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45732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45732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45732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45732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45732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45732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45732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45732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45732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45732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45732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45732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45732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45732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45732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45732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45732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45732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45732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45732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45732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45732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45732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45732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45732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45732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45732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45732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45732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45732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45732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45732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45732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45732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45732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45732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45732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45732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45732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45732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45732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45732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45732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45732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45732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45732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45732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45732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45732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45732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45732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45732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45732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45732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45732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45732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45732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45732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45732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45732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45732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45732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45732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45732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45732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45732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45732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45732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45732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45732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45732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45732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45732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45732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45732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45732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45732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45732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45732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45732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45732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45732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45732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45732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9060-2025</t>
        </is>
      </c>
      <c r="B96" s="1" t="n">
        <v>45713</v>
      </c>
      <c r="C96" s="1" t="n">
        <v>45732</v>
      </c>
      <c r="D96" t="inlineStr">
        <is>
          <t>VÄRMLANDS LÄN</t>
        </is>
      </c>
      <c r="E96" t="inlineStr">
        <is>
          <t>ARVIKA</t>
        </is>
      </c>
      <c r="G96" t="n">
        <v>5.8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HYPERLINK("https://klasma.github.io/Logging_1784/artfynd/A 9060-2025 artfynd.xlsx", "A 9060-2025")</f>
        <v/>
      </c>
      <c r="T96">
        <f>HYPERLINK("https://klasma.github.io/Logging_1784/kartor/A 9060-2025 karta.png", "A 9060-2025")</f>
        <v/>
      </c>
      <c r="V96">
        <f>HYPERLINK("https://klasma.github.io/Logging_1784/klagomål/A 9060-2025 FSC-klagomål.docx", "A 9060-2025")</f>
        <v/>
      </c>
      <c r="W96">
        <f>HYPERLINK("https://klasma.github.io/Logging_1784/klagomålsmail/A 9060-2025 FSC-klagomål mail.docx", "A 9060-2025")</f>
        <v/>
      </c>
      <c r="X96">
        <f>HYPERLINK("https://klasma.github.io/Logging_1784/tillsyn/A 9060-2025 tillsynsbegäran.docx", "A 9060-2025")</f>
        <v/>
      </c>
      <c r="Y96">
        <f>HYPERLINK("https://klasma.github.io/Logging_1784/tillsynsmail/A 9060-2025 tillsynsbegäran mail.docx", "A 9060-2025")</f>
        <v/>
      </c>
      <c r="Z96">
        <f>HYPERLINK("https://klasma.github.io/Logging_1784/fåglar/A 9060-2025 prioriterade fågelarter.docx", "A 9060-2025")</f>
        <v/>
      </c>
    </row>
    <row r="97" ht="15" customHeight="1">
      <c r="A97" t="inlineStr">
        <is>
          <t>A 9055-2025</t>
        </is>
      </c>
      <c r="B97" s="1" t="n">
        <v>45713</v>
      </c>
      <c r="C97" s="1" t="n">
        <v>45732</v>
      </c>
      <c r="D97" t="inlineStr">
        <is>
          <t>VÄRMLANDS LÄN</t>
        </is>
      </c>
      <c r="E97" t="inlineStr">
        <is>
          <t>ARVIKA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9055-2025 artfynd.xlsx", "A 9055-2025")</f>
        <v/>
      </c>
      <c r="T97">
        <f>HYPERLINK("https://klasma.github.io/Logging_1784/kartor/A 9055-2025 karta.png", "A 9055-2025")</f>
        <v/>
      </c>
      <c r="V97">
        <f>HYPERLINK("https://klasma.github.io/Logging_1784/klagomål/A 9055-2025 FSC-klagomål.docx", "A 9055-2025")</f>
        <v/>
      </c>
      <c r="W97">
        <f>HYPERLINK("https://klasma.github.io/Logging_1784/klagomålsmail/A 9055-2025 FSC-klagomål mail.docx", "A 9055-2025")</f>
        <v/>
      </c>
      <c r="X97">
        <f>HYPERLINK("https://klasma.github.io/Logging_1784/tillsyn/A 9055-2025 tillsynsbegäran.docx", "A 9055-2025")</f>
        <v/>
      </c>
      <c r="Y97">
        <f>HYPERLINK("https://klasma.github.io/Logging_1784/tillsynsmail/A 9055-2025 tillsynsbegäran mail.docx", "A 9055-2025")</f>
        <v/>
      </c>
      <c r="Z97">
        <f>HYPERLINK("https://klasma.github.io/Logging_1784/fåglar/A 9055-2025 prioriterade fågelarter.docx", "A 9055-2025")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45732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45732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45732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45732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45732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45732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45732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45732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45732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45732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45732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45732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45732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45732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45732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45732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45732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45732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45732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45732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45732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45732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45732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45732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45732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45732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45732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45732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45732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45732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45732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45732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45732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45732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45732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45732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45732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45732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45732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45732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45732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45732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45732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45732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45732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45732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45732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45732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45732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45732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45732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45732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45732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45732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45732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45732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45732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45732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45732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45732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45732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45732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45732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45732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45732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45732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45732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45732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45732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45732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45732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45732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45732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45732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45732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45732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45732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45732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45732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45732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45732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45732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45732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45732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45732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45732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45732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45732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45732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45732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45732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45732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45732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45732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45732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45732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45732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45732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45732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45732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45732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45732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45732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45732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45732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45732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45732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45732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45732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45732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45732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45732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45732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45732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45732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45732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45732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45732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45732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45732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45732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45732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45732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45732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45732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45732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45732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45732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45732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45732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45732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45732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45732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45732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45732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45732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45732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45732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45732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45732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45732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45732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45732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45732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45732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45732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45732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45732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45732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45732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45732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45732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45732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45732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45732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45732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45732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45732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45732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45732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45732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45732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45732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45732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45732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45732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45732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45732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45732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45732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45732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45732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45732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45732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45732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45732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45732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45732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45732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45732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45732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45732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45732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45732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45732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45732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45732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45732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45732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45732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45732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45732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45732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45732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45732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45732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45732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45732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45732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45732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45732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45732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45732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45732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45732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45732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45732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45732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45732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45732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45732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45732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45732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45732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45732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45732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45732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45732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45732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45732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45732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45732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45732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45732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45732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45732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45732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45732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45732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45732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45732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45732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45732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45732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45732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45732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45732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45732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45732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45732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45732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45732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45732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45732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45732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45732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45732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45732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45732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45732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45732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45732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45732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45732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45732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45732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45732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45732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45732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45732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45732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45732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45732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45732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45732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45732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45732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45732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45732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45732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45732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45732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45732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45732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45732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45732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45732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45732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45732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45732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45732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45732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45732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45732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45732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45732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45732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45732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45732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45732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45732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45732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45732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45732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45732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45732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45732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45732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45732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45732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45732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45732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45732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45732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45732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45732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45732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45732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45732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45732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45732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45732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45732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45732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45732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45732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45732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45732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45732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45732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45732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45732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45732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45732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45732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45732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45732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45732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45732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45732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45732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45732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45732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45732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45732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45732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45732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45732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45732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45732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45732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45732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45732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45732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45732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45732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45732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45732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45732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45732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45732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45732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45732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45732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45732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45732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45732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45732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45732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45732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45732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45732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45732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45732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45732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45732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45732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45732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45732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45732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45732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45732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45732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45732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45732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45732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45732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45732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45732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45732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45732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45732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45732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45732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45732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45732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45732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45732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45732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45732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45732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45732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45732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45732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45732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45732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45732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45732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45732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45732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45732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45732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45732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45732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45732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45732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45732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45732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45732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45732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45732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45732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45732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45732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45732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45732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45732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45732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45732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45732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45732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45732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45732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45732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45732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45732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45732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45732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45732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45732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45732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45732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45732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45732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45732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45732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45732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45732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45732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45732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45732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45732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45732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45732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45732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45732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45732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45732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45732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45732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45732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45732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45732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45732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45732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45732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45732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45732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45732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45732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45732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45732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45732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45732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45732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45732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45732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45732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45732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45732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45732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45732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45732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45732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45732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45732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45732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45732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45732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45732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45732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45732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45732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45732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45732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45732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45732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45732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45732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45732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45732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45732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45732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45732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45732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45732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45732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45732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45732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45732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45732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45732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45732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45732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45732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45732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45732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45732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45732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45732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45732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45732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45732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45732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45732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45732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45732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45732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45732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45732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45732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45732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45732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45732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45732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45732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45732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45732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45732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45732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45732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45732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45732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45732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45732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45732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45732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45732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45732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45732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45732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45732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45732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45732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45732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45732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45732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45732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45732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45732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45732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45732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45732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45732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45732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45732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45732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45732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45732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45732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45732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45732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45732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45732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45732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45732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45732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45732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45732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45732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45732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45732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45732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45732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45732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45732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45732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45732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45732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45732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45732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45732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45732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45732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45732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45732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45732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45732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45732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45732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45732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45732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45732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45732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45732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45732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45732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45732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45732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45732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45732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45732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45732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45732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45732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45732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45732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45732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45732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45732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45732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45732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45732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45732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45732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45732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45732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45732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45732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45732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45732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45732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45732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45732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45732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45732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45732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45732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45732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45732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45732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45732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45732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45732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45732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45732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45732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45732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45732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45732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45732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45732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45732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45732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45732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45732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45732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45732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45732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45732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45732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45732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45732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45732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45732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45732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45732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45732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45732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45732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45732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45732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45732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45732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45732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45732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45732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45732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45732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45732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45732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45732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45732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45732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45732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45732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45732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45732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45732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45732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45732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45732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45732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45732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45732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45732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45732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45732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45732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45732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45732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45732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45732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45732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45732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45732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45732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45732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45732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45732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45732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45732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45732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45732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45732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45732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45732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45732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45732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45732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45732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45732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45732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45732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45732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45732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45732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45732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45732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45732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45732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45732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45732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45732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45732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45732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45732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45732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45732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45732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45732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45732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45732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45732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45732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45732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45732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45732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45732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45732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45732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45732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45732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45732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45732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45732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45732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45732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45732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45732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45732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45732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45732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45732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45732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45732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45732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45732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45732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45732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45732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45732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45732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45732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45732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45732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45732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45732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45732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45732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45732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45732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45732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45732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45732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45732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45732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45732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45732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45732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45732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45732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45732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45732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45732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45732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45732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45732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45732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45732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45732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45732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45732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45732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45732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45732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45732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45732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45732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45732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45732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45732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45732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45732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45732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45732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45732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45732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45732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45732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45732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45732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45732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45732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45732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45732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45732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45732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45732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45732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45732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45732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45732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45732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45732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45732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45732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45732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45732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45732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45732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45732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45732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45732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45732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45732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45732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45732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45732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45732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45732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45732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45732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45732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45732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45732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45732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45732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45732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45732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45732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45732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45732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45732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45732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45732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45732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45732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45732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45732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45732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45732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45732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45732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45732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45732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45732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45732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45732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45732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45732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45732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45732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45732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45732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45732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45732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45732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45732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45732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45732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45732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45732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45732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45732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45732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45732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45732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45732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45732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45732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45732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45732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45732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45732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45732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45732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45732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45732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45732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45732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45732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45732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45732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45732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45732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45732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45732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45732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45732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45732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45732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45732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45732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45732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45732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45732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45732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45732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45732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45732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45732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45732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45732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45732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45732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45732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45732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45732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45732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45732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45732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45732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45732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45732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45732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45732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45732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45732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45732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45732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45732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45732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45732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45732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45732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45732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45732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45732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45732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45732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45732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45732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45732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45732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45732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45732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45732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45732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45732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45732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45732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45732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45732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45732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45732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45732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45732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45732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45732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45732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45732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45732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45732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45732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45732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45732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45732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45732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45732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45732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45732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45732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45732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45732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45732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45732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45732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45732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45732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45732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45732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45732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45732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45732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45732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45732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45732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45732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45732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45732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45732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45732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45732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45732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45732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45732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45732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45732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45732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45732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45732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45732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45732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45732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45732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45732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45732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45732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45732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45732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45732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45732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45732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45732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45732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45732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45732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45732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45732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45732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45732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45732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45732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45732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45732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45732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45732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45732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45732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45732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45732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45732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45732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45732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45732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45732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45732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45732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45732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45732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45732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45732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45732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45732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45732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45732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45732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45732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45732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45732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45732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45732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45732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45732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45732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45732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45732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45732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45732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45732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45732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45732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45732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45732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45732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45732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45732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45732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45732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45732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45732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45732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45732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45732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45732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45732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45732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45732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45732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45732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45732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45732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45732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45732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45732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45732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45732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45732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45732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45732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45732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45732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45732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45732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45732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45732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45732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45732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45732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45732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45732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45732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45732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45732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45732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45732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45732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45732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45732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45732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45732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45732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45732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45732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45732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45732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45732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45732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45732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45732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45732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45732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45732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45732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45732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45732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45732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45732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45732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45732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45732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45732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45732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45732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45732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45732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45732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45732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45732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45732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45732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45732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45732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45732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45732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45732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45732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45732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45732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45732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45732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45732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45732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45732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45732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45732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45732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45732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45732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45732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45732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45732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45732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45732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45732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45732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45732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45732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45732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45732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45732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45732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45732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45732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45732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45732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45732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45732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45732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45732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45732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45732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45732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45732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45732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45732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45732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45732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45732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45732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45732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45732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45732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45732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45732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45732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45732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45732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45732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45732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45732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45732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45732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45732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45732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45732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45732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45732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45732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45732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45732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45732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45732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45732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45732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45732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45732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45732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45732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45732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45732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45732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45732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45732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45732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45732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45732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45732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45732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45732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45732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45732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45732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45732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45732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45732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45732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45732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45732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45732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45732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45732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45732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45732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45732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45732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45732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45732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45732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45732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45732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45732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45732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45732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45732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45732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45732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45732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45732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45732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45732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45732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45732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45732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45732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45732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45732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45732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45732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45732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45732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45732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45732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45732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45732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45732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45732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45732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45732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45732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45732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45732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45732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45732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45732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45732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45732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45732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45732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45732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45732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45732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45732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45732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45732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45732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45732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45732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45732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45732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45732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45732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45732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45732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45732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45732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45732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45732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45732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45732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45732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45732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45732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45732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45732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45732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45732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45732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45732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45732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45732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45732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45732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45732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45732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45732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45732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45732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45732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45732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45732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45732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45732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45732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45732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45732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45732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45732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45732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45732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45732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45732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45732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45732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45732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45732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45732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45732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45732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45732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45732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45732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45732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45732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45732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45732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45732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45732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45732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45732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45732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45732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45732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45732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45732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45732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45732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45732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45732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45732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45732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45732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45732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45732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45732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45732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45732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45732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45732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45732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45732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45732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45732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45732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45732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45732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45732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45732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45732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45732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45732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45732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45732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45732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45732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45732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45732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45732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45732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45732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45732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45732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45732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45732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45732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45732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45732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45732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45732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45732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45732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45732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45732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45732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45732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45732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45732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45732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45732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45732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45732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45732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45732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45732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45732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45732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45732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45732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45732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45732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45732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45732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45732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45732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45732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45732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45732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45732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45732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45732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45732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45732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45732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45732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45732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45732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45732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45732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45732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45732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45732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45732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45732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45732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45732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45732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45732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45732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45732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45732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45732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45732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45732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45732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45732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45732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45732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45732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45732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45732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45732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45732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45732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45732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45732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45732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45732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45732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45732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45732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45732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45732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45732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45732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45732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45732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45732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45732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45732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45732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45732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45732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45732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45732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45732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45732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45732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45732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45732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45732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45732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45732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45732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45732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45732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45732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45732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45732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45732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45732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45732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45732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45732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45732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45732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45732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45732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45732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45732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45732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45732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45732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45732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45732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45732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45732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45732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45732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45732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45732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45732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45732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45732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45732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45732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45732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45732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45732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45732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45732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45732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45732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45732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45732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45732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45732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45732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45732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45732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45732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45732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45732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45732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45732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45732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45732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45732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45732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45732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45732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45732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45732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45732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45732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45732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45732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45732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45732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45732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45732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45732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45732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45732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45732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45732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45732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45732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45732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45732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45732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45732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45732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45732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45732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45732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45732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45732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45732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45732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45732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45732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45732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45732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45732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45732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45732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45732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45732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45732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45732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45732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45732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45732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45732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45732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45732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45732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45732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45732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45732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45732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45732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45732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45732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45732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45732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45732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45732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45732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45732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45732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45732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45732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45732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45732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45732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45732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45732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45732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45732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45732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45732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45732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45732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45732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45732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45732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45732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45732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45732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45732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45732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45732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45732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45732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45732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45732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45732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45732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45732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45732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45732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45732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45732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45732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45732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45732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45732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45732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45732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45732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45732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45732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45732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45732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45732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45732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45732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45732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45732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45732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45732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45732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45732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45732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45732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45732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45732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45732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45732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45732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45732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45732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45732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45732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45732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45732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45732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45732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45732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45732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45732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45732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45732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45732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45732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45732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45732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45732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45732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45732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45732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45732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45732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45732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45732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45732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45732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45732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45732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45732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45732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45732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45732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45732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45732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45732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45732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45732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45732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45732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45732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45732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45732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45732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45732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45732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45732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45732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45732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45732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45732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45732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45732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45732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45732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45732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45732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45732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45732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45732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45732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45732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45732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45732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45732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45732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45732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45732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45732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45732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45732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45732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45732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45732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45732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45732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45732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45732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45732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45732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45732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45732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45732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45732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45732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45732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45732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45732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45732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45732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45732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45732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45732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45732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45732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45732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45732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45732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45732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45732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45732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45732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45732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45732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45732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45732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45732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45732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45732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45732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45732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45732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45732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45732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45732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45732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45732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45732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45732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45732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45732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45732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45732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45732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45732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45732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45732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45732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45732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45732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45732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45732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45732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45732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45732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45732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45732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45732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45732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45732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45732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45732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45732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45732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45732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45732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45732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45732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45732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45732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45732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45732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45732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45732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45732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45732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45732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45732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45732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45732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45732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45732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45732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45732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45732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45732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45732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45732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45732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45732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45732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45732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45732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45732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45732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45732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45732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45732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45732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45732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45732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45732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45732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45732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45732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45732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45732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45732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45732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45732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45732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45732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45732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45732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45732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45732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45732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45732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45732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45732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45732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45732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45732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45732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45732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45732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45732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45732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45732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45732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45732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45732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45732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45732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45732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45732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45732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45732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45732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45732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45732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45732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45732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45732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45732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45732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45732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45732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45732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45732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45732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45732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45732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45732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45732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45732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45732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45732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45732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45732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45732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45732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45732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45732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45732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45732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45732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45732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45732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45732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45732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45732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45732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45732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45732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45732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45732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45732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45732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45732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45732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45732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45732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45732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45732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45732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45732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45732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45732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45732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45732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45732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45732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45732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45732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45732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45732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45732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45732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45732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45732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45732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45732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45732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45732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45732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45732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45732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45732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45732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45732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45732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45732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45732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45732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45732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45732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45732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45732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45732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45732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45732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45732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45732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45732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45732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45732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45732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45732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45732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45732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45732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45732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45732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45732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45732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45732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45732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45732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45732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45732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45732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45732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45732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45732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45732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45732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45732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45732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45732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45732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45732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45732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45732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7347-2025</t>
        </is>
      </c>
      <c r="B2271" s="1" t="n">
        <v>45703</v>
      </c>
      <c r="C2271" s="1" t="n">
        <v>45732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45732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7685-2025</t>
        </is>
      </c>
      <c r="B2273" s="1" t="n">
        <v>45706</v>
      </c>
      <c r="C2273" s="1" t="n">
        <v>45732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7741-2025</t>
        </is>
      </c>
      <c r="B2274" s="1" t="n">
        <v>45706</v>
      </c>
      <c r="C2274" s="1" t="n">
        <v>45732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45732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45732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7842-2025</t>
        </is>
      </c>
      <c r="B2277" s="1" t="n">
        <v>45706</v>
      </c>
      <c r="C2277" s="1" t="n">
        <v>45732</v>
      </c>
      <c r="D2277" t="inlineStr">
        <is>
          <t>VÄRMLANDS LÄN</t>
        </is>
      </c>
      <c r="E2277" t="inlineStr">
        <is>
          <t>ARVIKA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45732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45732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8156-2025</t>
        </is>
      </c>
      <c r="B2280" s="1" t="n">
        <v>45707</v>
      </c>
      <c r="C2280" s="1" t="n">
        <v>45732</v>
      </c>
      <c r="D2280" t="inlineStr">
        <is>
          <t>VÄRMLANDS LÄN</t>
        </is>
      </c>
      <c r="E2280" t="inlineStr">
        <is>
          <t>ARVIKA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7980-2025</t>
        </is>
      </c>
      <c r="B2281" s="1" t="n">
        <v>45707</v>
      </c>
      <c r="C2281" s="1" t="n">
        <v>45732</v>
      </c>
      <c r="D2281" t="inlineStr">
        <is>
          <t>VÄRMLANDS LÄN</t>
        </is>
      </c>
      <c r="E2281" t="inlineStr">
        <is>
          <t>ARVIKA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8061-2025</t>
        </is>
      </c>
      <c r="B2282" s="1" t="n">
        <v>45707</v>
      </c>
      <c r="C2282" s="1" t="n">
        <v>45732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45732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45732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45732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45732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45732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45732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45732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9057-2025</t>
        </is>
      </c>
      <c r="B2290" s="1" t="n">
        <v>45713</v>
      </c>
      <c r="C2290" s="1" t="n">
        <v>45732</v>
      </c>
      <c r="D2290" t="inlineStr">
        <is>
          <t>VÄRMLANDS LÄN</t>
        </is>
      </c>
      <c r="E2290" t="inlineStr">
        <is>
          <t>ARVIKA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45732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45732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9691-2025</t>
        </is>
      </c>
      <c r="B2293" s="1" t="n">
        <v>45716</v>
      </c>
      <c r="C2293" s="1" t="n">
        <v>45732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45732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45732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9749-2025</t>
        </is>
      </c>
      <c r="B2296" s="1" t="n">
        <v>45716</v>
      </c>
      <c r="C2296" s="1" t="n">
        <v>45732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45732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45732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45732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10475-2025</t>
        </is>
      </c>
      <c r="B2300" s="1" t="n">
        <v>45720</v>
      </c>
      <c r="C2300" s="1" t="n">
        <v>45732</v>
      </c>
      <c r="D2300" t="inlineStr">
        <is>
          <t>VÄRMLANDS LÄN</t>
        </is>
      </c>
      <c r="E2300" t="inlineStr">
        <is>
          <t>ARVIKA</t>
        </is>
      </c>
      <c r="F2300" t="inlineStr">
        <is>
          <t>Kyrkan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45732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45732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45732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10276-2025</t>
        </is>
      </c>
      <c r="B2304" s="1" t="n">
        <v>45720</v>
      </c>
      <c r="C2304" s="1" t="n">
        <v>45732</v>
      </c>
      <c r="D2304" t="inlineStr">
        <is>
          <t>VÄRMLANDS LÄN</t>
        </is>
      </c>
      <c r="E2304" t="inlineStr">
        <is>
          <t>ARVIKA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10411-2025</t>
        </is>
      </c>
      <c r="B2305" s="1" t="n">
        <v>45720</v>
      </c>
      <c r="C2305" s="1" t="n">
        <v>45732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45732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45732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45732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45732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45732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45732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45732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45732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45732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45732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45732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11671-2025</t>
        </is>
      </c>
      <c r="B2317" s="1" t="n">
        <v>45727</v>
      </c>
      <c r="C2317" s="1" t="n">
        <v>45732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11647-2025</t>
        </is>
      </c>
      <c r="B2318" s="1" t="n">
        <v>45727</v>
      </c>
      <c r="C2318" s="1" t="n">
        <v>45732</v>
      </c>
      <c r="D2318" t="inlineStr">
        <is>
          <t>VÄRMLANDS LÄN</t>
        </is>
      </c>
      <c r="E2318" t="inlineStr">
        <is>
          <t>ARVIKA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11679-2025</t>
        </is>
      </c>
      <c r="B2319" s="1" t="n">
        <v>45727</v>
      </c>
      <c r="C2319" s="1" t="n">
        <v>45732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11890-2025</t>
        </is>
      </c>
      <c r="B2320" s="1" t="n">
        <v>45728</v>
      </c>
      <c r="C2320" s="1" t="n">
        <v>45732</v>
      </c>
      <c r="D2320" t="inlineStr">
        <is>
          <t>VÄRMLANDS LÄN</t>
        </is>
      </c>
      <c r="E2320" t="inlineStr">
        <is>
          <t>ARVIKA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45732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45732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11892-2025</t>
        </is>
      </c>
      <c r="B2323" s="1" t="n">
        <v>45728</v>
      </c>
      <c r="C2323" s="1" t="n">
        <v>45732</v>
      </c>
      <c r="D2323" t="inlineStr">
        <is>
          <t>VÄRMLANDS LÄN</t>
        </is>
      </c>
      <c r="E2323" t="inlineStr">
        <is>
          <t>ARVIKA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11913-2025</t>
        </is>
      </c>
      <c r="B2324" s="1" t="n">
        <v>45728</v>
      </c>
      <c r="C2324" s="1" t="n">
        <v>45732</v>
      </c>
      <c r="D2324" t="inlineStr">
        <is>
          <t>VÄRMLANDS LÄN</t>
        </is>
      </c>
      <c r="E2324" t="inlineStr">
        <is>
          <t>ARVIKA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45732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45732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12161-2025</t>
        </is>
      </c>
      <c r="B2327" s="1" t="n">
        <v>45729</v>
      </c>
      <c r="C2327" s="1" t="n">
        <v>45732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45732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45732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12162-2025</t>
        </is>
      </c>
      <c r="B2330" s="1" t="n">
        <v>45729</v>
      </c>
      <c r="C2330" s="1" t="n">
        <v>45732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12400-2025</t>
        </is>
      </c>
      <c r="B2331" s="1" t="n">
        <v>45730</v>
      </c>
      <c r="C2331" s="1" t="n">
        <v>45732</v>
      </c>
      <c r="D2331" t="inlineStr">
        <is>
          <t>VÄRMLANDS LÄN</t>
        </is>
      </c>
      <c r="E2331" t="inlineStr">
        <is>
          <t>ARVIKA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45732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>
      <c r="A2333" t="inlineStr">
        <is>
          <t>A 12539-2025</t>
        </is>
      </c>
      <c r="B2333" s="1" t="n">
        <v>45730</v>
      </c>
      <c r="C2333" s="1" t="n">
        <v>45732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2025-03-16T17:02:49Z</dcterms:created>
  <dcterms:modified xmlns:dcterms="http://purl.org/dc/terms/" xmlns:xsi="http://www.w3.org/2001/XMLSchema-instance" xsi:type="dcterms:W3CDTF">2025-03-16T17:02:50Z</dcterms:modified>
</cp:coreProperties>
</file>