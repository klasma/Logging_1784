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45877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45877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45877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45877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45877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45877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45877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45877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45877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45877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45877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45877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45877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45877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45877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45877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45877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45877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45877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45877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45877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45877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45877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45877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45877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45877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45877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45877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45877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45877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25234-2020</t>
        </is>
      </c>
      <c r="B32" s="1" t="n">
        <v>43979</v>
      </c>
      <c r="C32" s="1" t="n">
        <v>45877</v>
      </c>
      <c r="D32" t="inlineStr">
        <is>
          <t>VÄRMLANDS LÄN</t>
        </is>
      </c>
      <c r="E32" t="inlineStr">
        <is>
          <t>ARVIKA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Svartvit flugsnappare</t>
        </is>
      </c>
      <c r="S32">
        <f>HYPERLINK("https://klasma.github.io/Logging_1784/artfynd/A 25234-2020 artfynd.xlsx", "A 25234-2020")</f>
        <v/>
      </c>
      <c r="T32">
        <f>HYPERLINK("https://klasma.github.io/Logging_1784/kartor/A 25234-2020 karta.png", "A 25234-2020")</f>
        <v/>
      </c>
      <c r="V32">
        <f>HYPERLINK("https://klasma.github.io/Logging_1784/klagomål/A 25234-2020 FSC-klagomål.docx", "A 25234-2020")</f>
        <v/>
      </c>
      <c r="W32">
        <f>HYPERLINK("https://klasma.github.io/Logging_1784/klagomålsmail/A 25234-2020 FSC-klagomål mail.docx", "A 25234-2020")</f>
        <v/>
      </c>
      <c r="X32">
        <f>HYPERLINK("https://klasma.github.io/Logging_1784/tillsyn/A 25234-2020 tillsynsbegäran.docx", "A 25234-2020")</f>
        <v/>
      </c>
      <c r="Y32">
        <f>HYPERLINK("https://klasma.github.io/Logging_1784/tillsynsmail/A 25234-2020 tillsynsbegäran mail.docx", "A 25234-2020")</f>
        <v/>
      </c>
      <c r="Z32">
        <f>HYPERLINK("https://klasma.github.io/Logging_1784/fåglar/A 25234-2020 prioriterade fågelarter.docx", "A 25234-2020")</f>
        <v/>
      </c>
    </row>
    <row r="33" ht="15" customHeight="1">
      <c r="A33" t="inlineStr">
        <is>
          <t>A 51666-2020</t>
        </is>
      </c>
      <c r="B33" s="1" t="n">
        <v>44113</v>
      </c>
      <c r="C33" s="1" t="n">
        <v>45877</v>
      </c>
      <c r="D33" t="inlineStr">
        <is>
          <t>VÄRMLANDS LÄN</t>
        </is>
      </c>
      <c r="E33" t="inlineStr">
        <is>
          <t>ARVIKA</t>
        </is>
      </c>
      <c r="G33" t="n">
        <v>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Hjeltfibbla
Rönnfibbla</t>
        </is>
      </c>
      <c r="S33">
        <f>HYPERLINK("https://klasma.github.io/Logging_1784/artfynd/A 51666-2020 artfynd.xlsx", "A 51666-2020")</f>
        <v/>
      </c>
      <c r="T33">
        <f>HYPERLINK("https://klasma.github.io/Logging_1784/kartor/A 51666-2020 karta.png", "A 51666-2020")</f>
        <v/>
      </c>
      <c r="V33">
        <f>HYPERLINK("https://klasma.github.io/Logging_1784/klagomål/A 51666-2020 FSC-klagomål.docx", "A 51666-2020")</f>
        <v/>
      </c>
      <c r="W33">
        <f>HYPERLINK("https://klasma.github.io/Logging_1784/klagomålsmail/A 51666-2020 FSC-klagomål mail.docx", "A 51666-2020")</f>
        <v/>
      </c>
      <c r="X33">
        <f>HYPERLINK("https://klasma.github.io/Logging_1784/tillsyn/A 51666-2020 tillsynsbegäran.docx", "A 51666-2020")</f>
        <v/>
      </c>
      <c r="Y33">
        <f>HYPERLINK("https://klasma.github.io/Logging_1784/tillsynsmail/A 51666-2020 tillsynsbegäran mail.docx", "A 51666-2020")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45877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45877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61663-2021</t>
        </is>
      </c>
      <c r="B36" s="1" t="n">
        <v>44501</v>
      </c>
      <c r="C36" s="1" t="n">
        <v>45877</v>
      </c>
      <c r="D36" t="inlineStr">
        <is>
          <t>VÄRMLANDS LÄN</t>
        </is>
      </c>
      <c r="E36" t="inlineStr">
        <is>
          <t>ARVIKA</t>
        </is>
      </c>
      <c r="G36" t="n">
        <v>4.5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Reliktbock
Tallticka</t>
        </is>
      </c>
      <c r="S36">
        <f>HYPERLINK("https://klasma.github.io/Logging_1784/artfynd/A 61663-2021 artfynd.xlsx", "A 61663-2021")</f>
        <v/>
      </c>
      <c r="T36">
        <f>HYPERLINK("https://klasma.github.io/Logging_1784/kartor/A 61663-2021 karta.png", "A 61663-2021")</f>
        <v/>
      </c>
      <c r="V36">
        <f>HYPERLINK("https://klasma.github.io/Logging_1784/klagomål/A 61663-2021 FSC-klagomål.docx", "A 61663-2021")</f>
        <v/>
      </c>
      <c r="W36">
        <f>HYPERLINK("https://klasma.github.io/Logging_1784/klagomålsmail/A 61663-2021 FSC-klagomål mail.docx", "A 61663-2021")</f>
        <v/>
      </c>
      <c r="X36">
        <f>HYPERLINK("https://klasma.github.io/Logging_1784/tillsyn/A 61663-2021 tillsynsbegäran.docx", "A 61663-2021")</f>
        <v/>
      </c>
      <c r="Y36">
        <f>HYPERLINK("https://klasma.github.io/Logging_1784/tillsynsmail/A 61663-2021 tillsynsbegäran mail.docx", "A 61663-2021")</f>
        <v/>
      </c>
    </row>
    <row r="37" ht="15" customHeight="1">
      <c r="A37" t="inlineStr">
        <is>
          <t>A 66652-2021</t>
        </is>
      </c>
      <c r="B37" s="1" t="n">
        <v>44519</v>
      </c>
      <c r="C37" s="1" t="n">
        <v>45877</v>
      </c>
      <c r="D37" t="inlineStr">
        <is>
          <t>VÄRMLANDS LÄN</t>
        </is>
      </c>
      <c r="E37" t="inlineStr">
        <is>
          <t>ARVIKA</t>
        </is>
      </c>
      <c r="G37" t="n">
        <v>12.3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Korallblylav</t>
        </is>
      </c>
      <c r="S37">
        <f>HYPERLINK("https://klasma.github.io/Logging_1784/artfynd/A 66652-2021 artfynd.xlsx", "A 66652-2021")</f>
        <v/>
      </c>
      <c r="T37">
        <f>HYPERLINK("https://klasma.github.io/Logging_1784/kartor/A 66652-2021 karta.png", "A 66652-2021")</f>
        <v/>
      </c>
      <c r="V37">
        <f>HYPERLINK("https://klasma.github.io/Logging_1784/klagomål/A 66652-2021 FSC-klagomål.docx", "A 66652-2021")</f>
        <v/>
      </c>
      <c r="W37">
        <f>HYPERLINK("https://klasma.github.io/Logging_1784/klagomålsmail/A 66652-2021 FSC-klagomål mail.docx", "A 66652-2021")</f>
        <v/>
      </c>
      <c r="X37">
        <f>HYPERLINK("https://klasma.github.io/Logging_1784/tillsyn/A 66652-2021 tillsynsbegäran.docx", "A 66652-2021")</f>
        <v/>
      </c>
      <c r="Y37">
        <f>HYPERLINK("https://klasma.github.io/Logging_1784/tillsynsmail/A 66652-2021 tillsynsbegäran mail.docx", "A 66652-2021")</f>
        <v/>
      </c>
    </row>
    <row r="38" ht="15" customHeight="1">
      <c r="A38" t="inlineStr">
        <is>
          <t>A 69928-2021</t>
        </is>
      </c>
      <c r="B38" s="1" t="n">
        <v>44533</v>
      </c>
      <c r="C38" s="1" t="n">
        <v>45877</v>
      </c>
      <c r="D38" t="inlineStr">
        <is>
          <t>VÄRMLANDS LÄN</t>
        </is>
      </c>
      <c r="E38" t="inlineStr">
        <is>
          <t>ARVIKA</t>
        </is>
      </c>
      <c r="G38" t="n">
        <v>1.9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Rödgul trumpetsvamp</t>
        </is>
      </c>
      <c r="S38">
        <f>HYPERLINK("https://klasma.github.io/Logging_1784/artfynd/A 69928-2021 artfynd.xlsx", "A 69928-2021")</f>
        <v/>
      </c>
      <c r="T38">
        <f>HYPERLINK("https://klasma.github.io/Logging_1784/kartor/A 69928-2021 karta.png", "A 69928-2021")</f>
        <v/>
      </c>
      <c r="V38">
        <f>HYPERLINK("https://klasma.github.io/Logging_1784/klagomål/A 69928-2021 FSC-klagomål.docx", "A 69928-2021")</f>
        <v/>
      </c>
      <c r="W38">
        <f>HYPERLINK("https://klasma.github.io/Logging_1784/klagomålsmail/A 69928-2021 FSC-klagomål mail.docx", "A 69928-2021")</f>
        <v/>
      </c>
      <c r="X38">
        <f>HYPERLINK("https://klasma.github.io/Logging_1784/tillsyn/A 69928-2021 tillsynsbegäran.docx", "A 69928-2021")</f>
        <v/>
      </c>
      <c r="Y38">
        <f>HYPERLINK("https://klasma.github.io/Logging_1784/tillsynsmail/A 69928-2021 tillsynsbegäran mail.docx", "A 69928-2021")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45877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51769-2022</t>
        </is>
      </c>
      <c r="B40" s="1" t="n">
        <v>44872</v>
      </c>
      <c r="C40" s="1" t="n">
        <v>45877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HYPERLINK("https://klasma.github.io/Logging_1784/artfynd/A 51769-2022 artfynd.xlsx", "A 51769-2022")</f>
        <v/>
      </c>
      <c r="T40">
        <f>HYPERLINK("https://klasma.github.io/Logging_1784/kartor/A 51769-2022 karta.png", "A 51769-2022")</f>
        <v/>
      </c>
      <c r="U40">
        <f>HYPERLINK("https://klasma.github.io/Logging_1784/knärot/A 51769-2022 karta knärot.png", "A 51769-2022")</f>
        <v/>
      </c>
      <c r="V40">
        <f>HYPERLINK("https://klasma.github.io/Logging_1784/klagomål/A 51769-2022 FSC-klagomål.docx", "A 51769-2022")</f>
        <v/>
      </c>
      <c r="W40">
        <f>HYPERLINK("https://klasma.github.io/Logging_1784/klagomålsmail/A 51769-2022 FSC-klagomål mail.docx", "A 51769-2022")</f>
        <v/>
      </c>
      <c r="X40">
        <f>HYPERLINK("https://klasma.github.io/Logging_1784/tillsyn/A 51769-2022 tillsynsbegäran.docx", "A 51769-2022")</f>
        <v/>
      </c>
      <c r="Y40">
        <f>HYPERLINK("https://klasma.github.io/Logging_1784/tillsynsmail/A 51769-2022 tillsynsbegäran mail.docx", "A 51769-2022")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45877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13630-2023</t>
        </is>
      </c>
      <c r="B42" s="1" t="n">
        <v>45006</v>
      </c>
      <c r="C42" s="1" t="n">
        <v>45877</v>
      </c>
      <c r="D42" t="inlineStr">
        <is>
          <t>VÄRMLANDS LÄN</t>
        </is>
      </c>
      <c r="E42" t="inlineStr">
        <is>
          <t>ARVIKA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Skogsalm
Tibast</t>
        </is>
      </c>
      <c r="S42">
        <f>HYPERLINK("https://klasma.github.io/Logging_1784/artfynd/A 13630-2023 artfynd.xlsx", "A 13630-2023")</f>
        <v/>
      </c>
      <c r="T42">
        <f>HYPERLINK("https://klasma.github.io/Logging_1784/kartor/A 13630-2023 karta.png", "A 13630-2023")</f>
        <v/>
      </c>
      <c r="V42">
        <f>HYPERLINK("https://klasma.github.io/Logging_1784/klagomål/A 13630-2023 FSC-klagomål.docx", "A 13630-2023")</f>
        <v/>
      </c>
      <c r="W42">
        <f>HYPERLINK("https://klasma.github.io/Logging_1784/klagomålsmail/A 13630-2023 FSC-klagomål mail.docx", "A 13630-2023")</f>
        <v/>
      </c>
      <c r="X42">
        <f>HYPERLINK("https://klasma.github.io/Logging_1784/tillsyn/A 13630-2023 tillsynsbegäran.docx", "A 13630-2023")</f>
        <v/>
      </c>
      <c r="Y42">
        <f>HYPERLINK("https://klasma.github.io/Logging_1784/tillsynsmail/A 13630-2023 tillsynsbegäran mail.docx", "A 13630-2023")</f>
        <v/>
      </c>
    </row>
    <row r="43" ht="15" customHeight="1">
      <c r="A43" t="inlineStr">
        <is>
          <t>A 43389-2023</t>
        </is>
      </c>
      <c r="B43" s="1" t="n">
        <v>45183</v>
      </c>
      <c r="C43" s="1" t="n">
        <v>45877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1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Raggtaggsvamp
Knärot</t>
        </is>
      </c>
      <c r="S43">
        <f>HYPERLINK("https://klasma.github.io/Logging_1784/artfynd/A 43389-2023 artfynd.xlsx", "A 43389-2023")</f>
        <v/>
      </c>
      <c r="T43">
        <f>HYPERLINK("https://klasma.github.io/Logging_1784/kartor/A 43389-2023 karta.png", "A 43389-2023")</f>
        <v/>
      </c>
      <c r="U43">
        <f>HYPERLINK("https://klasma.github.io/Logging_1784/knärot/A 43389-2023 karta knärot.png", "A 43389-2023")</f>
        <v/>
      </c>
      <c r="V43">
        <f>HYPERLINK("https://klasma.github.io/Logging_1784/klagomål/A 43389-2023 FSC-klagomål.docx", "A 43389-2023")</f>
        <v/>
      </c>
      <c r="W43">
        <f>HYPERLINK("https://klasma.github.io/Logging_1784/klagomålsmail/A 43389-2023 FSC-klagomål mail.docx", "A 43389-2023")</f>
        <v/>
      </c>
      <c r="X43">
        <f>HYPERLINK("https://klasma.github.io/Logging_1784/tillsyn/A 43389-2023 tillsynsbegäran.docx", "A 43389-2023")</f>
        <v/>
      </c>
      <c r="Y43">
        <f>HYPERLINK("https://klasma.github.io/Logging_1784/tillsynsmail/A 43389-2023 tillsynsbegäran mail.docx", "A 43389-2023")</f>
        <v/>
      </c>
    </row>
    <row r="44" ht="15" customHeight="1">
      <c r="A44" t="inlineStr">
        <is>
          <t>A 45401-2023</t>
        </is>
      </c>
      <c r="B44" s="1" t="n">
        <v>45194</v>
      </c>
      <c r="C44" s="1" t="n">
        <v>45877</v>
      </c>
      <c r="D44" t="inlineStr">
        <is>
          <t>VÄRMLANDS LÄN</t>
        </is>
      </c>
      <c r="E44" t="inlineStr">
        <is>
          <t>ARVIKA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Skogsklocka</t>
        </is>
      </c>
      <c r="S44">
        <f>HYPERLINK("https://klasma.github.io/Logging_1784/artfynd/A 45401-2023 artfynd.xlsx", "A 45401-2023")</f>
        <v/>
      </c>
      <c r="T44">
        <f>HYPERLINK("https://klasma.github.io/Logging_1784/kartor/A 45401-2023 karta.png", "A 45401-2023")</f>
        <v/>
      </c>
      <c r="U44">
        <f>HYPERLINK("https://klasma.github.io/Logging_1784/knärot/A 45401-2023 karta knärot.png", "A 45401-2023")</f>
        <v/>
      </c>
      <c r="V44">
        <f>HYPERLINK("https://klasma.github.io/Logging_1784/klagomål/A 45401-2023 FSC-klagomål.docx", "A 45401-2023")</f>
        <v/>
      </c>
      <c r="W44">
        <f>HYPERLINK("https://klasma.github.io/Logging_1784/klagomålsmail/A 45401-2023 FSC-klagomål mail.docx", "A 45401-2023")</f>
        <v/>
      </c>
      <c r="X44">
        <f>HYPERLINK("https://klasma.github.io/Logging_1784/tillsyn/A 45401-2023 tillsynsbegäran.docx", "A 45401-2023")</f>
        <v/>
      </c>
      <c r="Y44">
        <f>HYPERLINK("https://klasma.github.io/Logging_1784/tillsynsmail/A 45401-2023 tillsynsbegäran mail.docx", "A 45401-2023")</f>
        <v/>
      </c>
    </row>
    <row r="45" ht="15" customHeight="1">
      <c r="A45" t="inlineStr">
        <is>
          <t>A 14025-2024</t>
        </is>
      </c>
      <c r="B45" s="1" t="n">
        <v>45392</v>
      </c>
      <c r="C45" s="1" t="n">
        <v>45877</v>
      </c>
      <c r="D45" t="inlineStr">
        <is>
          <t>VÄRMLANDS LÄN</t>
        </is>
      </c>
      <c r="E45" t="inlineStr">
        <is>
          <t>ARVIKA</t>
        </is>
      </c>
      <c r="G45" t="n">
        <v>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Fjällig taggsvamp s.str.</t>
        </is>
      </c>
      <c r="S45">
        <f>HYPERLINK("https://klasma.github.io/Logging_1784/artfynd/A 14025-2024 artfynd.xlsx", "A 14025-2024")</f>
        <v/>
      </c>
      <c r="T45">
        <f>HYPERLINK("https://klasma.github.io/Logging_1784/kartor/A 14025-2024 karta.png", "A 14025-2024")</f>
        <v/>
      </c>
      <c r="U45">
        <f>HYPERLINK("https://klasma.github.io/Logging_1784/knärot/A 14025-2024 karta knärot.png", "A 14025-2024")</f>
        <v/>
      </c>
      <c r="V45">
        <f>HYPERLINK("https://klasma.github.io/Logging_1784/klagomål/A 14025-2024 FSC-klagomål.docx", "A 14025-2024")</f>
        <v/>
      </c>
      <c r="W45">
        <f>HYPERLINK("https://klasma.github.io/Logging_1784/klagomålsmail/A 14025-2024 FSC-klagomål mail.docx", "A 14025-2024")</f>
        <v/>
      </c>
      <c r="X45">
        <f>HYPERLINK("https://klasma.github.io/Logging_1784/tillsyn/A 14025-2024 tillsynsbegäran.docx", "A 14025-2024")</f>
        <v/>
      </c>
      <c r="Y45">
        <f>HYPERLINK("https://klasma.github.io/Logging_1784/tillsynsmail/A 14025-2024 tillsynsbegäran mail.docx", "A 14025-2024")</f>
        <v/>
      </c>
    </row>
    <row r="46" ht="15" customHeight="1">
      <c r="A46" t="inlineStr">
        <is>
          <t>A 21248-2024</t>
        </is>
      </c>
      <c r="B46" s="1" t="n">
        <v>45440</v>
      </c>
      <c r="C46" s="1" t="n">
        <v>45877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1.1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Skinnlav</t>
        </is>
      </c>
      <c r="S46">
        <f>HYPERLINK("https://klasma.github.io/Logging_1784/artfynd/A 21248-2024 artfynd.xlsx", "A 21248-2024")</f>
        <v/>
      </c>
      <c r="T46">
        <f>HYPERLINK("https://klasma.github.io/Logging_1784/kartor/A 21248-2024 karta.png", "A 21248-2024")</f>
        <v/>
      </c>
      <c r="U46">
        <f>HYPERLINK("https://klasma.github.io/Logging_1784/knärot/A 21248-2024 karta knärot.png", "A 21248-2024")</f>
        <v/>
      </c>
      <c r="V46">
        <f>HYPERLINK("https://klasma.github.io/Logging_1784/klagomål/A 21248-2024 FSC-klagomål.docx", "A 21248-2024")</f>
        <v/>
      </c>
      <c r="W46">
        <f>HYPERLINK("https://klasma.github.io/Logging_1784/klagomålsmail/A 21248-2024 FSC-klagomål mail.docx", "A 21248-2024")</f>
        <v/>
      </c>
      <c r="X46">
        <f>HYPERLINK("https://klasma.github.io/Logging_1784/tillsyn/A 21248-2024 tillsynsbegäran.docx", "A 21248-2024")</f>
        <v/>
      </c>
      <c r="Y46">
        <f>HYPERLINK("https://klasma.github.io/Logging_1784/tillsynsmail/A 21248-2024 tillsynsbegäran mail.docx", "A 21248-2024")</f>
        <v/>
      </c>
      <c r="Z46">
        <f>HYPERLINK("https://klasma.github.io/Logging_1784/fåglar/A 21248-2024 prioriterade fågelarter.docx", "A 21248-2024")</f>
        <v/>
      </c>
    </row>
    <row r="47" ht="15" customHeight="1">
      <c r="A47" t="inlineStr">
        <is>
          <t>A 21223-2024</t>
        </is>
      </c>
      <c r="B47" s="1" t="n">
        <v>45440</v>
      </c>
      <c r="C47" s="1" t="n">
        <v>45877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Vedtrappmossa</t>
        </is>
      </c>
      <c r="S47">
        <f>HYPERLINK("https://klasma.github.io/Logging_1784/artfynd/A 21223-2024 artfynd.xlsx", "A 21223-2024")</f>
        <v/>
      </c>
      <c r="T47">
        <f>HYPERLINK("https://klasma.github.io/Logging_1784/kartor/A 21223-2024 karta.png", "A 21223-2024")</f>
        <v/>
      </c>
      <c r="U47">
        <f>HYPERLINK("https://klasma.github.io/Logging_1784/knärot/A 21223-2024 karta knärot.png", "A 21223-2024")</f>
        <v/>
      </c>
      <c r="V47">
        <f>HYPERLINK("https://klasma.github.io/Logging_1784/klagomål/A 21223-2024 FSC-klagomål.docx", "A 21223-2024")</f>
        <v/>
      </c>
      <c r="W47">
        <f>HYPERLINK("https://klasma.github.io/Logging_1784/klagomålsmail/A 21223-2024 FSC-klagomål mail.docx", "A 21223-2024")</f>
        <v/>
      </c>
      <c r="X47">
        <f>HYPERLINK("https://klasma.github.io/Logging_1784/tillsyn/A 21223-2024 tillsynsbegäran.docx", "A 21223-2024")</f>
        <v/>
      </c>
      <c r="Y47">
        <f>HYPERLINK("https://klasma.github.io/Logging_1784/tillsynsmail/A 21223-2024 tillsynsbegäran mail.docx", "A 21223-2024")</f>
        <v/>
      </c>
    </row>
    <row r="48" ht="15" customHeight="1">
      <c r="A48" t="inlineStr">
        <is>
          <t>A 23083-2024</t>
        </is>
      </c>
      <c r="B48" s="1" t="n">
        <v>45450</v>
      </c>
      <c r="C48" s="1" t="n">
        <v>45877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Gultoppig fingersvamp</t>
        </is>
      </c>
      <c r="S48">
        <f>HYPERLINK("https://klasma.github.io/Logging_1784/artfynd/A 23083-2024 artfynd.xlsx", "A 23083-2024")</f>
        <v/>
      </c>
      <c r="T48">
        <f>HYPERLINK("https://klasma.github.io/Logging_1784/kartor/A 23083-2024 karta.png", "A 23083-2024")</f>
        <v/>
      </c>
      <c r="U48">
        <f>HYPERLINK("https://klasma.github.io/Logging_1784/knärot/A 23083-2024 karta knärot.png", "A 23083-2024")</f>
        <v/>
      </c>
      <c r="V48">
        <f>HYPERLINK("https://klasma.github.io/Logging_1784/klagomål/A 23083-2024 FSC-klagomål.docx", "A 23083-2024")</f>
        <v/>
      </c>
      <c r="W48">
        <f>HYPERLINK("https://klasma.github.io/Logging_1784/klagomålsmail/A 23083-2024 FSC-klagomål mail.docx", "A 23083-2024")</f>
        <v/>
      </c>
      <c r="X48">
        <f>HYPERLINK("https://klasma.github.io/Logging_1784/tillsyn/A 23083-2024 tillsynsbegäran.docx", "A 23083-2024")</f>
        <v/>
      </c>
      <c r="Y48">
        <f>HYPERLINK("https://klasma.github.io/Logging_1784/tillsynsmail/A 23083-2024 tillsynsbegäran mail.docx", "A 23083-2024")</f>
        <v/>
      </c>
    </row>
    <row r="49" ht="15" customHeight="1">
      <c r="A49" t="inlineStr">
        <is>
          <t>A 8038-2025</t>
        </is>
      </c>
      <c r="B49" s="1" t="n">
        <v>45707</v>
      </c>
      <c r="C49" s="1" t="n">
        <v>45877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12.9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8038-2025 artfynd.xlsx", "A 8038-2025")</f>
        <v/>
      </c>
      <c r="T49">
        <f>HYPERLINK("https://klasma.github.io/Logging_1784/kartor/A 8038-2025 karta.png", "A 8038-2025")</f>
        <v/>
      </c>
      <c r="V49">
        <f>HYPERLINK("https://klasma.github.io/Logging_1784/klagomål/A 8038-2025 FSC-klagomål.docx", "A 8038-2025")</f>
        <v/>
      </c>
      <c r="W49">
        <f>HYPERLINK("https://klasma.github.io/Logging_1784/klagomålsmail/A 8038-2025 FSC-klagomål mail.docx", "A 8038-2025")</f>
        <v/>
      </c>
      <c r="X49">
        <f>HYPERLINK("https://klasma.github.io/Logging_1784/tillsyn/A 8038-2025 tillsynsbegäran.docx", "A 8038-2025")</f>
        <v/>
      </c>
      <c r="Y49">
        <f>HYPERLINK("https://klasma.github.io/Logging_1784/tillsynsmail/A 8038-2025 tillsynsbegäran mail.docx", "A 8038-2025")</f>
        <v/>
      </c>
      <c r="Z49">
        <f>HYPERLINK("https://klasma.github.io/Logging_1784/fåglar/A 8038-2025 prioriterade fågelarter.docx", "A 8038-2025")</f>
        <v/>
      </c>
    </row>
    <row r="50" ht="15" customHeight="1">
      <c r="A50" t="inlineStr">
        <is>
          <t>A 9032-2025</t>
        </is>
      </c>
      <c r="B50" s="1" t="n">
        <v>45713</v>
      </c>
      <c r="C50" s="1" t="n">
        <v>45877</v>
      </c>
      <c r="D50" t="inlineStr">
        <is>
          <t>VÄRMLANDS LÄN</t>
        </is>
      </c>
      <c r="E50" t="inlineStr">
        <is>
          <t>ARVIKA</t>
        </is>
      </c>
      <c r="G50" t="n">
        <v>3.2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HYPERLINK("https://klasma.github.io/Logging_1784/artfynd/A 9032-2025 artfynd.xlsx", "A 9032-2025")</f>
        <v/>
      </c>
      <c r="T50">
        <f>HYPERLINK("https://klasma.github.io/Logging_1784/kartor/A 9032-2025 karta.png", "A 9032-2025")</f>
        <v/>
      </c>
      <c r="V50">
        <f>HYPERLINK("https://klasma.github.io/Logging_1784/klagomål/A 9032-2025 FSC-klagomål.docx", "A 9032-2025")</f>
        <v/>
      </c>
      <c r="W50">
        <f>HYPERLINK("https://klasma.github.io/Logging_1784/klagomålsmail/A 9032-2025 FSC-klagomål mail.docx", "A 9032-2025")</f>
        <v/>
      </c>
      <c r="X50">
        <f>HYPERLINK("https://klasma.github.io/Logging_1784/tillsyn/A 9032-2025 tillsynsbegäran.docx", "A 9032-2025")</f>
        <v/>
      </c>
      <c r="Y50">
        <f>HYPERLINK("https://klasma.github.io/Logging_1784/tillsynsmail/A 9032-2025 tillsynsbegäran mail.docx", "A 9032-2025")</f>
        <v/>
      </c>
      <c r="Z50">
        <f>HYPERLINK("https://klasma.github.io/Logging_1784/fåglar/A 9032-2025 prioriterade fågelarter.docx", "A 9032-2025")</f>
        <v/>
      </c>
    </row>
    <row r="51" ht="15" customHeight="1">
      <c r="A51" t="inlineStr">
        <is>
          <t>A 19213-2019</t>
        </is>
      </c>
      <c r="B51" s="1" t="n">
        <v>43564</v>
      </c>
      <c r="C51" s="1" t="n">
        <v>45877</v>
      </c>
      <c r="D51" t="inlineStr">
        <is>
          <t>VÄRMLANDS LÄN</t>
        </is>
      </c>
      <c r="E51" t="inlineStr">
        <is>
          <t>ARVIKA</t>
        </is>
      </c>
      <c r="G51" t="n">
        <v>7.8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19213-2019 artfynd.xlsx", "A 19213-2019")</f>
        <v/>
      </c>
      <c r="T51">
        <f>HYPERLINK("https://klasma.github.io/Logging_1784/kartor/A 19213-2019 karta.png", "A 19213-2019")</f>
        <v/>
      </c>
      <c r="V51">
        <f>HYPERLINK("https://klasma.github.io/Logging_1784/klagomål/A 19213-2019 FSC-klagomål.docx", "A 19213-2019")</f>
        <v/>
      </c>
      <c r="W51">
        <f>HYPERLINK("https://klasma.github.io/Logging_1784/klagomålsmail/A 19213-2019 FSC-klagomål mail.docx", "A 19213-2019")</f>
        <v/>
      </c>
      <c r="X51">
        <f>HYPERLINK("https://klasma.github.io/Logging_1784/tillsyn/A 19213-2019 tillsynsbegäran.docx", "A 19213-2019")</f>
        <v/>
      </c>
      <c r="Y51">
        <f>HYPERLINK("https://klasma.github.io/Logging_1784/tillsynsmail/A 19213-2019 tillsynsbegäran mail.docx", "A 19213-2019")</f>
        <v/>
      </c>
    </row>
    <row r="52" ht="15" customHeight="1">
      <c r="A52" t="inlineStr">
        <is>
          <t>A 24687-2019</t>
        </is>
      </c>
      <c r="B52" s="1" t="n">
        <v>43601</v>
      </c>
      <c r="C52" s="1" t="n">
        <v>45877</v>
      </c>
      <c r="D52" t="inlineStr">
        <is>
          <t>VÄRMLANDS LÄN</t>
        </is>
      </c>
      <c r="E52" t="inlineStr">
        <is>
          <t>ARVIKA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HYPERLINK("https://klasma.github.io/Logging_1784/artfynd/A 24687-2019 artfynd.xlsx", "A 24687-2019")</f>
        <v/>
      </c>
      <c r="T52">
        <f>HYPERLINK("https://klasma.github.io/Logging_1784/kartor/A 24687-2019 karta.png", "A 24687-2019")</f>
        <v/>
      </c>
      <c r="V52">
        <f>HYPERLINK("https://klasma.github.io/Logging_1784/klagomål/A 24687-2019 FSC-klagomål.docx", "A 24687-2019")</f>
        <v/>
      </c>
      <c r="W52">
        <f>HYPERLINK("https://klasma.github.io/Logging_1784/klagomålsmail/A 24687-2019 FSC-klagomål mail.docx", "A 24687-2019")</f>
        <v/>
      </c>
      <c r="X52">
        <f>HYPERLINK("https://klasma.github.io/Logging_1784/tillsyn/A 24687-2019 tillsynsbegäran.docx", "A 24687-2019")</f>
        <v/>
      </c>
      <c r="Y52">
        <f>HYPERLINK("https://klasma.github.io/Logging_1784/tillsynsmail/A 24687-2019 tillsynsbegäran mail.docx", "A 24687-2019")</f>
        <v/>
      </c>
      <c r="Z52">
        <f>HYPERLINK("https://klasma.github.io/Logging_1784/fåglar/A 24687-2019 prioriterade fågelarter.docx", "A 24687-2019")</f>
        <v/>
      </c>
    </row>
    <row r="53" ht="15" customHeight="1">
      <c r="A53" t="inlineStr">
        <is>
          <t>A 30304-2019</t>
        </is>
      </c>
      <c r="B53" s="1" t="n">
        <v>43634</v>
      </c>
      <c r="C53" s="1" t="n">
        <v>45877</v>
      </c>
      <c r="D53" t="inlineStr">
        <is>
          <t>VÄRMLANDS LÄN</t>
        </is>
      </c>
      <c r="E53" t="inlineStr">
        <is>
          <t>ARVIKA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30304-2019 artfynd.xlsx", "A 30304-2019")</f>
        <v/>
      </c>
      <c r="T53">
        <f>HYPERLINK("https://klasma.github.io/Logging_1784/kartor/A 30304-2019 karta.png", "A 30304-2019")</f>
        <v/>
      </c>
      <c r="U53">
        <f>HYPERLINK("https://klasma.github.io/Logging_1784/knärot/A 30304-2019 karta knärot.png", "A 30304-2019")</f>
        <v/>
      </c>
      <c r="V53">
        <f>HYPERLINK("https://klasma.github.io/Logging_1784/klagomål/A 30304-2019 FSC-klagomål.docx", "A 30304-2019")</f>
        <v/>
      </c>
      <c r="W53">
        <f>HYPERLINK("https://klasma.github.io/Logging_1784/klagomålsmail/A 30304-2019 FSC-klagomål mail.docx", "A 30304-2019")</f>
        <v/>
      </c>
      <c r="X53">
        <f>HYPERLINK("https://klasma.github.io/Logging_1784/tillsyn/A 30304-2019 tillsynsbegäran.docx", "A 30304-2019")</f>
        <v/>
      </c>
      <c r="Y53">
        <f>HYPERLINK("https://klasma.github.io/Logging_1784/tillsynsmail/A 30304-2019 tillsynsbegäran mail.docx", "A 30304-2019")</f>
        <v/>
      </c>
    </row>
    <row r="54" ht="15" customHeight="1">
      <c r="A54" t="inlineStr">
        <is>
          <t>A 48854-2019</t>
        </is>
      </c>
      <c r="B54" s="1" t="n">
        <v>43728</v>
      </c>
      <c r="C54" s="1" t="n">
        <v>45877</v>
      </c>
      <c r="D54" t="inlineStr">
        <is>
          <t>VÄRMLANDS LÄN</t>
        </is>
      </c>
      <c r="E54" t="inlineStr">
        <is>
          <t>ARVIKA</t>
        </is>
      </c>
      <c r="G54" t="n">
        <v>8.1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48854-2019 artfynd.xlsx", "A 48854-2019")</f>
        <v/>
      </c>
      <c r="T54">
        <f>HYPERLINK("https://klasma.github.io/Logging_1784/kartor/A 48854-2019 karta.png", "A 48854-2019")</f>
        <v/>
      </c>
      <c r="U54">
        <f>HYPERLINK("https://klasma.github.io/Logging_1784/knärot/A 48854-2019 karta knärot.png", "A 48854-2019")</f>
        <v/>
      </c>
      <c r="V54">
        <f>HYPERLINK("https://klasma.github.io/Logging_1784/klagomål/A 48854-2019 FSC-klagomål.docx", "A 48854-2019")</f>
        <v/>
      </c>
      <c r="W54">
        <f>HYPERLINK("https://klasma.github.io/Logging_1784/klagomålsmail/A 48854-2019 FSC-klagomål mail.docx", "A 48854-2019")</f>
        <v/>
      </c>
      <c r="X54">
        <f>HYPERLINK("https://klasma.github.io/Logging_1784/tillsyn/A 48854-2019 tillsynsbegäran.docx", "A 48854-2019")</f>
        <v/>
      </c>
      <c r="Y54">
        <f>HYPERLINK("https://klasma.github.io/Logging_1784/tillsynsmail/A 48854-2019 tillsynsbegäran mail.docx", "A 48854-2019")</f>
        <v/>
      </c>
    </row>
    <row r="55" ht="15" customHeight="1">
      <c r="A55" t="inlineStr">
        <is>
          <t>A 55931-2019</t>
        </is>
      </c>
      <c r="B55" s="1" t="n">
        <v>43761</v>
      </c>
      <c r="C55" s="1" t="n">
        <v>45877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Blåtryffel</t>
        </is>
      </c>
      <c r="S55">
        <f>HYPERLINK("https://klasma.github.io/Logging_1784/artfynd/A 55931-2019 artfynd.xlsx", "A 55931-2019")</f>
        <v/>
      </c>
      <c r="T55">
        <f>HYPERLINK("https://klasma.github.io/Logging_1784/kartor/A 55931-2019 karta.png", "A 55931-2019")</f>
        <v/>
      </c>
      <c r="V55">
        <f>HYPERLINK("https://klasma.github.io/Logging_1784/klagomål/A 55931-2019 FSC-klagomål.docx", "A 55931-2019")</f>
        <v/>
      </c>
      <c r="W55">
        <f>HYPERLINK("https://klasma.github.io/Logging_1784/klagomålsmail/A 55931-2019 FSC-klagomål mail.docx", "A 55931-2019")</f>
        <v/>
      </c>
      <c r="X55">
        <f>HYPERLINK("https://klasma.github.io/Logging_1784/tillsyn/A 55931-2019 tillsynsbegäran.docx", "A 55931-2019")</f>
        <v/>
      </c>
      <c r="Y55">
        <f>HYPERLINK("https://klasma.github.io/Logging_1784/tillsynsmail/A 55931-2019 tillsynsbegäran mail.docx", "A 55931-2019")</f>
        <v/>
      </c>
    </row>
    <row r="56" ht="15" customHeight="1">
      <c r="A56" t="inlineStr">
        <is>
          <t>A 238-2020</t>
        </is>
      </c>
      <c r="B56" s="1" t="n">
        <v>43835</v>
      </c>
      <c r="C56" s="1" t="n">
        <v>45877</v>
      </c>
      <c r="D56" t="inlineStr">
        <is>
          <t>VÄRMLANDS LÄN</t>
        </is>
      </c>
      <c r="E56" t="inlineStr">
        <is>
          <t>ARVIKA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238-2020 artfynd.xlsx", "A 238-2020")</f>
        <v/>
      </c>
      <c r="T56">
        <f>HYPERLINK("https://klasma.github.io/Logging_1784/kartor/A 238-2020 karta.png", "A 238-2020")</f>
        <v/>
      </c>
      <c r="U56">
        <f>HYPERLINK("https://klasma.github.io/Logging_1784/knärot/A 238-2020 karta knärot.png", "A 238-2020")</f>
        <v/>
      </c>
      <c r="V56">
        <f>HYPERLINK("https://klasma.github.io/Logging_1784/klagomål/A 238-2020 FSC-klagomål.docx", "A 238-2020")</f>
        <v/>
      </c>
      <c r="W56">
        <f>HYPERLINK("https://klasma.github.io/Logging_1784/klagomålsmail/A 238-2020 FSC-klagomål mail.docx", "A 238-2020")</f>
        <v/>
      </c>
      <c r="X56">
        <f>HYPERLINK("https://klasma.github.io/Logging_1784/tillsyn/A 238-2020 tillsynsbegäran.docx", "A 238-2020")</f>
        <v/>
      </c>
      <c r="Y56">
        <f>HYPERLINK("https://klasma.github.io/Logging_1784/tillsynsmail/A 238-2020 tillsynsbegäran mail.docx", "A 238-2020")</f>
        <v/>
      </c>
    </row>
    <row r="57" ht="15" customHeight="1">
      <c r="A57" t="inlineStr">
        <is>
          <t>A 10858-2020</t>
        </is>
      </c>
      <c r="B57" s="1" t="n">
        <v>43889</v>
      </c>
      <c r="C57" s="1" t="n">
        <v>45877</v>
      </c>
      <c r="D57" t="inlineStr">
        <is>
          <t>VÄRMLANDS LÄN</t>
        </is>
      </c>
      <c r="E57" t="inlineStr">
        <is>
          <t>ARVIKA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HYPERLINK("https://klasma.github.io/Logging_1784/artfynd/A 10858-2020 artfynd.xlsx", "A 10858-2020")</f>
        <v/>
      </c>
      <c r="T57">
        <f>HYPERLINK("https://klasma.github.io/Logging_1784/kartor/A 10858-2020 karta.png", "A 10858-2020")</f>
        <v/>
      </c>
      <c r="V57">
        <f>HYPERLINK("https://klasma.github.io/Logging_1784/klagomål/A 10858-2020 FSC-klagomål.docx", "A 10858-2020")</f>
        <v/>
      </c>
      <c r="W57">
        <f>HYPERLINK("https://klasma.github.io/Logging_1784/klagomålsmail/A 10858-2020 FSC-klagomål mail.docx", "A 10858-2020")</f>
        <v/>
      </c>
      <c r="X57">
        <f>HYPERLINK("https://klasma.github.io/Logging_1784/tillsyn/A 10858-2020 tillsynsbegäran.docx", "A 10858-2020")</f>
        <v/>
      </c>
      <c r="Y57">
        <f>HYPERLINK("https://klasma.github.io/Logging_1784/tillsynsmail/A 10858-2020 tillsynsbegäran mail.docx", "A 10858-2020")</f>
        <v/>
      </c>
    </row>
    <row r="58" ht="15" customHeight="1">
      <c r="A58" t="inlineStr">
        <is>
          <t>A 13461-2020</t>
        </is>
      </c>
      <c r="B58" s="1" t="n">
        <v>43902</v>
      </c>
      <c r="C58" s="1" t="n">
        <v>45877</v>
      </c>
      <c r="D58" t="inlineStr">
        <is>
          <t>VÄRMLANDS LÄN</t>
        </is>
      </c>
      <c r="E58" t="inlineStr">
        <is>
          <t>ARVIKA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13461-2020 artfynd.xlsx", "A 13461-2020")</f>
        <v/>
      </c>
      <c r="T58">
        <f>HYPERLINK("https://klasma.github.io/Logging_1784/kartor/A 13461-2020 karta.png", "A 13461-2020")</f>
        <v/>
      </c>
      <c r="U58">
        <f>HYPERLINK("https://klasma.github.io/Logging_1784/knärot/A 13461-2020 karta knärot.png", "A 13461-2020")</f>
        <v/>
      </c>
      <c r="V58">
        <f>HYPERLINK("https://klasma.github.io/Logging_1784/klagomål/A 13461-2020 FSC-klagomål.docx", "A 13461-2020")</f>
        <v/>
      </c>
      <c r="W58">
        <f>HYPERLINK("https://klasma.github.io/Logging_1784/klagomålsmail/A 13461-2020 FSC-klagomål mail.docx", "A 13461-2020")</f>
        <v/>
      </c>
      <c r="X58">
        <f>HYPERLINK("https://klasma.github.io/Logging_1784/tillsyn/A 13461-2020 tillsynsbegäran.docx", "A 13461-2020")</f>
        <v/>
      </c>
      <c r="Y58">
        <f>HYPERLINK("https://klasma.github.io/Logging_1784/tillsynsmail/A 13461-2020 tillsynsbegäran mail.docx", "A 13461-2020")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45877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33847-2020</t>
        </is>
      </c>
      <c r="B60" s="1" t="n">
        <v>44027</v>
      </c>
      <c r="C60" s="1" t="n">
        <v>45877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HYPERLINK("https://klasma.github.io/Logging_1784/artfynd/A 33847-2020 artfynd.xlsx", "A 33847-2020")</f>
        <v/>
      </c>
      <c r="T60">
        <f>HYPERLINK("https://klasma.github.io/Logging_1784/kartor/A 33847-2020 karta.png", "A 33847-2020")</f>
        <v/>
      </c>
      <c r="V60">
        <f>HYPERLINK("https://klasma.github.io/Logging_1784/klagomål/A 33847-2020 FSC-klagomål.docx", "A 33847-2020")</f>
        <v/>
      </c>
      <c r="W60">
        <f>HYPERLINK("https://klasma.github.io/Logging_1784/klagomålsmail/A 33847-2020 FSC-klagomål mail.docx", "A 33847-2020")</f>
        <v/>
      </c>
      <c r="X60">
        <f>HYPERLINK("https://klasma.github.io/Logging_1784/tillsyn/A 33847-2020 tillsynsbegäran.docx", "A 33847-2020")</f>
        <v/>
      </c>
      <c r="Y60">
        <f>HYPERLINK("https://klasma.github.io/Logging_1784/tillsynsmail/A 33847-2020 tillsynsbegäran mail.docx", "A 33847-2020")</f>
        <v/>
      </c>
    </row>
    <row r="61" ht="15" customHeight="1">
      <c r="A61" t="inlineStr">
        <is>
          <t>A 34535-2020</t>
        </is>
      </c>
      <c r="B61" s="1" t="n">
        <v>44031</v>
      </c>
      <c r="C61" s="1" t="n">
        <v>45877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34535-2020 artfynd.xlsx", "A 34535-2020")</f>
        <v/>
      </c>
      <c r="T61">
        <f>HYPERLINK("https://klasma.github.io/Logging_1784/kartor/A 34535-2020 karta.png", "A 34535-2020")</f>
        <v/>
      </c>
      <c r="V61">
        <f>HYPERLINK("https://klasma.github.io/Logging_1784/klagomål/A 34535-2020 FSC-klagomål.docx", "A 34535-2020")</f>
        <v/>
      </c>
      <c r="W61">
        <f>HYPERLINK("https://klasma.github.io/Logging_1784/klagomålsmail/A 34535-2020 FSC-klagomål mail.docx", "A 34535-2020")</f>
        <v/>
      </c>
      <c r="X61">
        <f>HYPERLINK("https://klasma.github.io/Logging_1784/tillsyn/A 34535-2020 tillsynsbegäran.docx", "A 34535-2020")</f>
        <v/>
      </c>
      <c r="Y61">
        <f>HYPERLINK("https://klasma.github.io/Logging_1784/tillsynsmail/A 34535-2020 tillsynsbegäran mail.docx", "A 34535-2020")</f>
        <v/>
      </c>
    </row>
    <row r="62" ht="15" customHeight="1">
      <c r="A62" t="inlineStr">
        <is>
          <t>A 34769-2020</t>
        </is>
      </c>
      <c r="B62" s="1" t="n">
        <v>44035</v>
      </c>
      <c r="C62" s="1" t="n">
        <v>45877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34769-2020 artfynd.xlsx", "A 34769-2020")</f>
        <v/>
      </c>
      <c r="T62">
        <f>HYPERLINK("https://klasma.github.io/Logging_1784/kartor/A 34769-2020 karta.png", "A 34769-2020")</f>
        <v/>
      </c>
      <c r="U62">
        <f>HYPERLINK("https://klasma.github.io/Logging_1784/knärot/A 34769-2020 karta knärot.png", "A 34769-2020")</f>
        <v/>
      </c>
      <c r="V62">
        <f>HYPERLINK("https://klasma.github.io/Logging_1784/klagomål/A 34769-2020 FSC-klagomål.docx", "A 34769-2020")</f>
        <v/>
      </c>
      <c r="W62">
        <f>HYPERLINK("https://klasma.github.io/Logging_1784/klagomålsmail/A 34769-2020 FSC-klagomål mail.docx", "A 34769-2020")</f>
        <v/>
      </c>
      <c r="X62">
        <f>HYPERLINK("https://klasma.github.io/Logging_1784/tillsyn/A 34769-2020 tillsynsbegäran.docx", "A 34769-2020")</f>
        <v/>
      </c>
      <c r="Y62">
        <f>HYPERLINK("https://klasma.github.io/Logging_1784/tillsynsmail/A 34769-2020 tillsynsbegäran mail.docx", "A 34769-2020")</f>
        <v/>
      </c>
    </row>
    <row r="63" ht="15" customHeight="1">
      <c r="A63" t="inlineStr">
        <is>
          <t>A 36688-2020</t>
        </is>
      </c>
      <c r="B63" s="1" t="n">
        <v>44052</v>
      </c>
      <c r="C63" s="1" t="n">
        <v>45877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36688-2020 artfynd.xlsx", "A 36688-2020")</f>
        <v/>
      </c>
      <c r="T63">
        <f>HYPERLINK("https://klasma.github.io/Logging_1784/kartor/A 36688-2020 karta.png", "A 36688-2020")</f>
        <v/>
      </c>
      <c r="U63">
        <f>HYPERLINK("https://klasma.github.io/Logging_1784/knärot/A 36688-2020 karta knärot.png", "A 36688-2020")</f>
        <v/>
      </c>
      <c r="V63">
        <f>HYPERLINK("https://klasma.github.io/Logging_1784/klagomål/A 36688-2020 FSC-klagomål.docx", "A 36688-2020")</f>
        <v/>
      </c>
      <c r="W63">
        <f>HYPERLINK("https://klasma.github.io/Logging_1784/klagomålsmail/A 36688-2020 FSC-klagomål mail.docx", "A 36688-2020")</f>
        <v/>
      </c>
      <c r="X63">
        <f>HYPERLINK("https://klasma.github.io/Logging_1784/tillsyn/A 36688-2020 tillsynsbegäran.docx", "A 36688-2020")</f>
        <v/>
      </c>
      <c r="Y63">
        <f>HYPERLINK("https://klasma.github.io/Logging_1784/tillsynsmail/A 36688-2020 tillsynsbegäran mail.docx", "A 36688-2020")</f>
        <v/>
      </c>
    </row>
    <row r="64" ht="15" customHeight="1">
      <c r="A64" t="inlineStr">
        <is>
          <t>A 55736-2020</t>
        </is>
      </c>
      <c r="B64" s="1" t="n">
        <v>44132</v>
      </c>
      <c r="C64" s="1" t="n">
        <v>45877</v>
      </c>
      <c r="D64" t="inlineStr">
        <is>
          <t>VÄRMLANDS LÄN</t>
        </is>
      </c>
      <c r="E64" t="inlineStr">
        <is>
          <t>ARVIKA</t>
        </is>
      </c>
      <c r="G64" t="n">
        <v>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55736-2020 artfynd.xlsx", "A 55736-2020")</f>
        <v/>
      </c>
      <c r="T64">
        <f>HYPERLINK("https://klasma.github.io/Logging_1784/kartor/A 55736-2020 karta.png", "A 55736-2020")</f>
        <v/>
      </c>
      <c r="V64">
        <f>HYPERLINK("https://klasma.github.io/Logging_1784/klagomål/A 55736-2020 FSC-klagomål.docx", "A 55736-2020")</f>
        <v/>
      </c>
      <c r="W64">
        <f>HYPERLINK("https://klasma.github.io/Logging_1784/klagomålsmail/A 55736-2020 FSC-klagomål mail.docx", "A 55736-2020")</f>
        <v/>
      </c>
      <c r="X64">
        <f>HYPERLINK("https://klasma.github.io/Logging_1784/tillsyn/A 55736-2020 tillsynsbegäran.docx", "A 55736-2020")</f>
        <v/>
      </c>
      <c r="Y64">
        <f>HYPERLINK("https://klasma.github.io/Logging_1784/tillsynsmail/A 55736-2020 tillsynsbegäran mail.docx", "A 55736-2020")</f>
        <v/>
      </c>
    </row>
    <row r="65" ht="15" customHeight="1">
      <c r="A65" t="inlineStr">
        <is>
          <t>A 56253-2020</t>
        </is>
      </c>
      <c r="B65" s="1" t="n">
        <v>44134</v>
      </c>
      <c r="C65" s="1" t="n">
        <v>45877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HYPERLINK("https://klasma.github.io/Logging_1784/artfynd/A 56253-2020 artfynd.xlsx", "A 56253-2020")</f>
        <v/>
      </c>
      <c r="T65">
        <f>HYPERLINK("https://klasma.github.io/Logging_1784/kartor/A 56253-2020 karta.png", "A 56253-2020")</f>
        <v/>
      </c>
      <c r="V65">
        <f>HYPERLINK("https://klasma.github.io/Logging_1784/klagomål/A 56253-2020 FSC-klagomål.docx", "A 56253-2020")</f>
        <v/>
      </c>
      <c r="W65">
        <f>HYPERLINK("https://klasma.github.io/Logging_1784/klagomålsmail/A 56253-2020 FSC-klagomål mail.docx", "A 56253-2020")</f>
        <v/>
      </c>
      <c r="X65">
        <f>HYPERLINK("https://klasma.github.io/Logging_1784/tillsyn/A 56253-2020 tillsynsbegäran.docx", "A 56253-2020")</f>
        <v/>
      </c>
      <c r="Y65">
        <f>HYPERLINK("https://klasma.github.io/Logging_1784/tillsynsmail/A 56253-2020 tillsynsbegäran mail.docx", "A 56253-2020")</f>
        <v/>
      </c>
      <c r="Z65">
        <f>HYPERLINK("https://klasma.github.io/Logging_1784/fåglar/A 56253-2020 prioriterade fågelarter.docx", "A 56253-2020")</f>
        <v/>
      </c>
    </row>
    <row r="66" ht="15" customHeight="1">
      <c r="A66" t="inlineStr">
        <is>
          <t>A 63540-2020</t>
        </is>
      </c>
      <c r="B66" s="1" t="n">
        <v>44165</v>
      </c>
      <c r="C66" s="1" t="n">
        <v>45877</v>
      </c>
      <c r="D66" t="inlineStr">
        <is>
          <t>VÄRMLANDS LÄN</t>
        </is>
      </c>
      <c r="E66" t="inlineStr">
        <is>
          <t>ARVIKA</t>
        </is>
      </c>
      <c r="G66" t="n">
        <v>4.3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63540-2020 artfynd.xlsx", "A 63540-2020")</f>
        <v/>
      </c>
      <c r="T66">
        <f>HYPERLINK("https://klasma.github.io/Logging_1784/kartor/A 63540-2020 karta.png", "A 63540-2020")</f>
        <v/>
      </c>
      <c r="U66">
        <f>HYPERLINK("https://klasma.github.io/Logging_1784/knärot/A 63540-2020 karta knärot.png", "A 63540-2020")</f>
        <v/>
      </c>
      <c r="V66">
        <f>HYPERLINK("https://klasma.github.io/Logging_1784/klagomål/A 63540-2020 FSC-klagomål.docx", "A 63540-2020")</f>
        <v/>
      </c>
      <c r="W66">
        <f>HYPERLINK("https://klasma.github.io/Logging_1784/klagomålsmail/A 63540-2020 FSC-klagomål mail.docx", "A 63540-2020")</f>
        <v/>
      </c>
      <c r="X66">
        <f>HYPERLINK("https://klasma.github.io/Logging_1784/tillsyn/A 63540-2020 tillsynsbegäran.docx", "A 63540-2020")</f>
        <v/>
      </c>
      <c r="Y66">
        <f>HYPERLINK("https://klasma.github.io/Logging_1784/tillsynsmail/A 63540-2020 tillsynsbegäran mail.docx", "A 63540-2020")</f>
        <v/>
      </c>
    </row>
    <row r="67" ht="15" customHeight="1">
      <c r="A67" t="inlineStr">
        <is>
          <t>A 24022-2021</t>
        </is>
      </c>
      <c r="B67" s="1" t="n">
        <v>44336</v>
      </c>
      <c r="C67" s="1" t="n">
        <v>45877</v>
      </c>
      <c r="D67" t="inlineStr">
        <is>
          <t>VÄRMLANDS LÄN</t>
        </is>
      </c>
      <c r="E67" t="inlineStr">
        <is>
          <t>ARVIKA</t>
        </is>
      </c>
      <c r="G67" t="n">
        <v>6.8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HYPERLINK("https://klasma.github.io/Logging_1784/artfynd/A 24022-2021 artfynd.xlsx", "A 24022-2021")</f>
        <v/>
      </c>
      <c r="T67">
        <f>HYPERLINK("https://klasma.github.io/Logging_1784/kartor/A 24022-2021 karta.png", "A 24022-2021")</f>
        <v/>
      </c>
      <c r="V67">
        <f>HYPERLINK("https://klasma.github.io/Logging_1784/klagomål/A 24022-2021 FSC-klagomål.docx", "A 24022-2021")</f>
        <v/>
      </c>
      <c r="W67">
        <f>HYPERLINK("https://klasma.github.io/Logging_1784/klagomålsmail/A 24022-2021 FSC-klagomål mail.docx", "A 24022-2021")</f>
        <v/>
      </c>
      <c r="X67">
        <f>HYPERLINK("https://klasma.github.io/Logging_1784/tillsyn/A 24022-2021 tillsynsbegäran.docx", "A 24022-2021")</f>
        <v/>
      </c>
      <c r="Y67">
        <f>HYPERLINK("https://klasma.github.io/Logging_1784/tillsynsmail/A 24022-2021 tillsynsbegäran mail.docx", "A 24022-2021")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45877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37342-2021</t>
        </is>
      </c>
      <c r="B69" s="1" t="n">
        <v>44397</v>
      </c>
      <c r="C69" s="1" t="n">
        <v>45877</v>
      </c>
      <c r="D69" t="inlineStr">
        <is>
          <t>VÄRMLANDS LÄN</t>
        </is>
      </c>
      <c r="E69" t="inlineStr">
        <is>
          <t>ARVIKA</t>
        </is>
      </c>
      <c r="G69" t="n">
        <v>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37342-2021 artfynd.xlsx", "A 37342-2021")</f>
        <v/>
      </c>
      <c r="T69">
        <f>HYPERLINK("https://klasma.github.io/Logging_1784/kartor/A 37342-2021 karta.png", "A 37342-2021")</f>
        <v/>
      </c>
      <c r="U69">
        <f>HYPERLINK("https://klasma.github.io/Logging_1784/knärot/A 37342-2021 karta knärot.png", "A 37342-2021")</f>
        <v/>
      </c>
      <c r="V69">
        <f>HYPERLINK("https://klasma.github.io/Logging_1784/klagomål/A 37342-2021 FSC-klagomål.docx", "A 37342-2021")</f>
        <v/>
      </c>
      <c r="W69">
        <f>HYPERLINK("https://klasma.github.io/Logging_1784/klagomålsmail/A 37342-2021 FSC-klagomål mail.docx", "A 37342-2021")</f>
        <v/>
      </c>
      <c r="X69">
        <f>HYPERLINK("https://klasma.github.io/Logging_1784/tillsyn/A 37342-2021 tillsynsbegäran.docx", "A 37342-2021")</f>
        <v/>
      </c>
      <c r="Y69">
        <f>HYPERLINK("https://klasma.github.io/Logging_1784/tillsynsmail/A 37342-2021 tillsynsbegäran mail.docx", "A 37342-2021")</f>
        <v/>
      </c>
    </row>
    <row r="70" ht="15" customHeight="1">
      <c r="A70" t="inlineStr">
        <is>
          <t>A 56872-2021</t>
        </is>
      </c>
      <c r="B70" s="1" t="n">
        <v>44481</v>
      </c>
      <c r="C70" s="1" t="n">
        <v>45877</v>
      </c>
      <c r="D70" t="inlineStr">
        <is>
          <t>VÄRMLANDS LÄN</t>
        </is>
      </c>
      <c r="E70" t="inlineStr">
        <is>
          <t>ARVIKA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56872-2021 artfynd.xlsx", "A 56872-2021")</f>
        <v/>
      </c>
      <c r="T70">
        <f>HYPERLINK("https://klasma.github.io/Logging_1784/kartor/A 56872-2021 karta.png", "A 56872-2021")</f>
        <v/>
      </c>
      <c r="U70">
        <f>HYPERLINK("https://klasma.github.io/Logging_1784/knärot/A 56872-2021 karta knärot.png", "A 56872-2021")</f>
        <v/>
      </c>
      <c r="V70">
        <f>HYPERLINK("https://klasma.github.io/Logging_1784/klagomål/A 56872-2021 FSC-klagomål.docx", "A 56872-2021")</f>
        <v/>
      </c>
      <c r="W70">
        <f>HYPERLINK("https://klasma.github.io/Logging_1784/klagomålsmail/A 56872-2021 FSC-klagomål mail.docx", "A 56872-2021")</f>
        <v/>
      </c>
      <c r="X70">
        <f>HYPERLINK("https://klasma.github.io/Logging_1784/tillsyn/A 56872-2021 tillsynsbegäran.docx", "A 56872-2021")</f>
        <v/>
      </c>
      <c r="Y70">
        <f>HYPERLINK("https://klasma.github.io/Logging_1784/tillsynsmail/A 56872-2021 tillsynsbegäran mail.docx", "A 56872-2021")</f>
        <v/>
      </c>
    </row>
    <row r="71" ht="15" customHeight="1">
      <c r="A71" t="inlineStr">
        <is>
          <t>A 62619-2021</t>
        </is>
      </c>
      <c r="B71" s="1" t="n">
        <v>44503</v>
      </c>
      <c r="C71" s="1" t="n">
        <v>45877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Smålom</t>
        </is>
      </c>
      <c r="S71">
        <f>HYPERLINK("https://klasma.github.io/Logging_1784/artfynd/A 62619-2021 artfynd.xlsx", "A 62619-2021")</f>
        <v/>
      </c>
      <c r="T71">
        <f>HYPERLINK("https://klasma.github.io/Logging_1784/kartor/A 62619-2021 karta.png", "A 62619-2021")</f>
        <v/>
      </c>
      <c r="V71">
        <f>HYPERLINK("https://klasma.github.io/Logging_1784/klagomål/A 62619-2021 FSC-klagomål.docx", "A 62619-2021")</f>
        <v/>
      </c>
      <c r="W71">
        <f>HYPERLINK("https://klasma.github.io/Logging_1784/klagomålsmail/A 62619-2021 FSC-klagomål mail.docx", "A 62619-2021")</f>
        <v/>
      </c>
      <c r="X71">
        <f>HYPERLINK("https://klasma.github.io/Logging_1784/tillsyn/A 62619-2021 tillsynsbegäran.docx", "A 62619-2021")</f>
        <v/>
      </c>
      <c r="Y71">
        <f>HYPERLINK("https://klasma.github.io/Logging_1784/tillsynsmail/A 62619-2021 tillsynsbegäran mail.docx", "A 62619-2021")</f>
        <v/>
      </c>
      <c r="Z71">
        <f>HYPERLINK("https://klasma.github.io/Logging_1784/fåglar/A 62619-2021 prioriterade fågelarter.docx", "A 62619-2021")</f>
        <v/>
      </c>
    </row>
    <row r="72" ht="15" customHeight="1">
      <c r="A72" t="inlineStr">
        <is>
          <t>A 64590-2021</t>
        </is>
      </c>
      <c r="B72" s="1" t="n">
        <v>44511</v>
      </c>
      <c r="C72" s="1" t="n">
        <v>45877</v>
      </c>
      <c r="D72" t="inlineStr">
        <is>
          <t>VÄRMLANDS LÄN</t>
        </is>
      </c>
      <c r="E72" t="inlineStr">
        <is>
          <t>ARVIKA</t>
        </is>
      </c>
      <c r="G72" t="n">
        <v>4.1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HYPERLINK("https://klasma.github.io/Logging_1784/artfynd/A 64590-2021 artfynd.xlsx", "A 64590-2021")</f>
        <v/>
      </c>
      <c r="T72">
        <f>HYPERLINK("https://klasma.github.io/Logging_1784/kartor/A 64590-2021 karta.png", "A 64590-2021")</f>
        <v/>
      </c>
      <c r="V72">
        <f>HYPERLINK("https://klasma.github.io/Logging_1784/klagomål/A 64590-2021 FSC-klagomål.docx", "A 64590-2021")</f>
        <v/>
      </c>
      <c r="W72">
        <f>HYPERLINK("https://klasma.github.io/Logging_1784/klagomålsmail/A 64590-2021 FSC-klagomål mail.docx", "A 64590-2021")</f>
        <v/>
      </c>
      <c r="X72">
        <f>HYPERLINK("https://klasma.github.io/Logging_1784/tillsyn/A 64590-2021 tillsynsbegäran.docx", "A 64590-2021")</f>
        <v/>
      </c>
      <c r="Y72">
        <f>HYPERLINK("https://klasma.github.io/Logging_1784/tillsynsmail/A 64590-2021 tillsynsbegäran mail.docx", "A 64590-2021")</f>
        <v/>
      </c>
      <c r="Z72">
        <f>HYPERLINK("https://klasma.github.io/Logging_1784/fåglar/A 64590-2021 prioriterade fågelarter.docx", "A 64590-2021")</f>
        <v/>
      </c>
    </row>
    <row r="73" ht="15" customHeight="1">
      <c r="A73" t="inlineStr">
        <is>
          <t>A 72222-2021</t>
        </is>
      </c>
      <c r="B73" s="1" t="n">
        <v>44544</v>
      </c>
      <c r="C73" s="1" t="n">
        <v>45877</v>
      </c>
      <c r="D73" t="inlineStr">
        <is>
          <t>VÄRMLANDS LÄN</t>
        </is>
      </c>
      <c r="E73" t="inlineStr">
        <is>
          <t>ARVIKA</t>
        </is>
      </c>
      <c r="G73" t="n">
        <v>2.1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72222-2021 artfynd.xlsx", "A 72222-2021")</f>
        <v/>
      </c>
      <c r="T73">
        <f>HYPERLINK("https://klasma.github.io/Logging_1784/kartor/A 72222-2021 karta.png", "A 72222-2021")</f>
        <v/>
      </c>
      <c r="U73">
        <f>HYPERLINK("https://klasma.github.io/Logging_1784/knärot/A 72222-2021 karta knärot.png", "A 72222-2021")</f>
        <v/>
      </c>
      <c r="V73">
        <f>HYPERLINK("https://klasma.github.io/Logging_1784/klagomål/A 72222-2021 FSC-klagomål.docx", "A 72222-2021")</f>
        <v/>
      </c>
      <c r="W73">
        <f>HYPERLINK("https://klasma.github.io/Logging_1784/klagomålsmail/A 72222-2021 FSC-klagomål mail.docx", "A 72222-2021")</f>
        <v/>
      </c>
      <c r="X73">
        <f>HYPERLINK("https://klasma.github.io/Logging_1784/tillsyn/A 72222-2021 tillsynsbegäran.docx", "A 72222-2021")</f>
        <v/>
      </c>
      <c r="Y73">
        <f>HYPERLINK("https://klasma.github.io/Logging_1784/tillsynsmail/A 72222-2021 tillsynsbegäran mail.docx", "A 72222-2021")</f>
        <v/>
      </c>
    </row>
    <row r="74" ht="15" customHeight="1">
      <c r="A74" t="inlineStr">
        <is>
          <t>A 72829-2021</t>
        </is>
      </c>
      <c r="B74" s="1" t="n">
        <v>44547</v>
      </c>
      <c r="C74" s="1" t="n">
        <v>45877</v>
      </c>
      <c r="D74" t="inlineStr">
        <is>
          <t>VÄRMLANDS LÄN</t>
        </is>
      </c>
      <c r="E74" t="inlineStr">
        <is>
          <t>ARVIKA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72829-2021 artfynd.xlsx", "A 72829-2021")</f>
        <v/>
      </c>
      <c r="T74">
        <f>HYPERLINK("https://klasma.github.io/Logging_1784/kartor/A 72829-2021 karta.png", "A 72829-2021")</f>
        <v/>
      </c>
      <c r="U74">
        <f>HYPERLINK("https://klasma.github.io/Logging_1784/knärot/A 72829-2021 karta knärot.png", "A 72829-2021")</f>
        <v/>
      </c>
      <c r="V74">
        <f>HYPERLINK("https://klasma.github.io/Logging_1784/klagomål/A 72829-2021 FSC-klagomål.docx", "A 72829-2021")</f>
        <v/>
      </c>
      <c r="W74">
        <f>HYPERLINK("https://klasma.github.io/Logging_1784/klagomålsmail/A 72829-2021 FSC-klagomål mail.docx", "A 72829-2021")</f>
        <v/>
      </c>
      <c r="X74">
        <f>HYPERLINK("https://klasma.github.io/Logging_1784/tillsyn/A 72829-2021 tillsynsbegäran.docx", "A 72829-2021")</f>
        <v/>
      </c>
      <c r="Y74">
        <f>HYPERLINK("https://klasma.github.io/Logging_1784/tillsynsmail/A 72829-2021 tillsynsbegäran mail.docx", "A 72829-2021")</f>
        <v/>
      </c>
    </row>
    <row r="75" ht="15" customHeight="1">
      <c r="A75" t="inlineStr">
        <is>
          <t>A 73999-2021</t>
        </is>
      </c>
      <c r="B75" s="1" t="n">
        <v>44557</v>
      </c>
      <c r="C75" s="1" t="n">
        <v>45877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73999-2021 artfynd.xlsx", "A 73999-2021")</f>
        <v/>
      </c>
      <c r="T75">
        <f>HYPERLINK("https://klasma.github.io/Logging_1784/kartor/A 73999-2021 karta.png", "A 73999-2021")</f>
        <v/>
      </c>
      <c r="U75">
        <f>HYPERLINK("https://klasma.github.io/Logging_1784/knärot/A 73999-2021 karta knärot.png", "A 73999-2021")</f>
        <v/>
      </c>
      <c r="V75">
        <f>HYPERLINK("https://klasma.github.io/Logging_1784/klagomål/A 73999-2021 FSC-klagomål.docx", "A 73999-2021")</f>
        <v/>
      </c>
      <c r="W75">
        <f>HYPERLINK("https://klasma.github.io/Logging_1784/klagomålsmail/A 73999-2021 FSC-klagomål mail.docx", "A 73999-2021")</f>
        <v/>
      </c>
      <c r="X75">
        <f>HYPERLINK("https://klasma.github.io/Logging_1784/tillsyn/A 73999-2021 tillsynsbegäran.docx", "A 73999-2021")</f>
        <v/>
      </c>
      <c r="Y75">
        <f>HYPERLINK("https://klasma.github.io/Logging_1784/tillsynsmail/A 73999-2021 tillsynsbegäran mail.docx", "A 73999-2021")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45877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6814-2022</t>
        </is>
      </c>
      <c r="B77" s="1" t="n">
        <v>44602</v>
      </c>
      <c r="C77" s="1" t="n">
        <v>45877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6814-2022 artfynd.xlsx", "A 6814-2022")</f>
        <v/>
      </c>
      <c r="T77">
        <f>HYPERLINK("https://klasma.github.io/Logging_1784/kartor/A 6814-2022 karta.png", "A 6814-2022")</f>
        <v/>
      </c>
      <c r="V77">
        <f>HYPERLINK("https://klasma.github.io/Logging_1784/klagomål/A 6814-2022 FSC-klagomål.docx", "A 6814-2022")</f>
        <v/>
      </c>
      <c r="W77">
        <f>HYPERLINK("https://klasma.github.io/Logging_1784/klagomålsmail/A 6814-2022 FSC-klagomål mail.docx", "A 6814-2022")</f>
        <v/>
      </c>
      <c r="X77">
        <f>HYPERLINK("https://klasma.github.io/Logging_1784/tillsyn/A 6814-2022 tillsynsbegäran.docx", "A 6814-2022")</f>
        <v/>
      </c>
      <c r="Y77">
        <f>HYPERLINK("https://klasma.github.io/Logging_1784/tillsynsmail/A 6814-2022 tillsynsbegäran mail.docx", "A 6814-2022")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45877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24756-2022</t>
        </is>
      </c>
      <c r="B79" s="1" t="n">
        <v>44728</v>
      </c>
      <c r="C79" s="1" t="n">
        <v>45877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HYPERLINK("https://klasma.github.io/Logging_1784/artfynd/A 24756-2022 artfynd.xlsx", "A 24756-2022")</f>
        <v/>
      </c>
      <c r="T79">
        <f>HYPERLINK("https://klasma.github.io/Logging_1784/kartor/A 24756-2022 karta.png", "A 24756-2022")</f>
        <v/>
      </c>
      <c r="V79">
        <f>HYPERLINK("https://klasma.github.io/Logging_1784/klagomål/A 24756-2022 FSC-klagomål.docx", "A 24756-2022")</f>
        <v/>
      </c>
      <c r="W79">
        <f>HYPERLINK("https://klasma.github.io/Logging_1784/klagomålsmail/A 24756-2022 FSC-klagomål mail.docx", "A 24756-2022")</f>
        <v/>
      </c>
      <c r="X79">
        <f>HYPERLINK("https://klasma.github.io/Logging_1784/tillsyn/A 24756-2022 tillsynsbegäran.docx", "A 24756-2022")</f>
        <v/>
      </c>
      <c r="Y79">
        <f>HYPERLINK("https://klasma.github.io/Logging_1784/tillsynsmail/A 24756-2022 tillsynsbegäran mail.docx", "A 24756-2022")</f>
        <v/>
      </c>
      <c r="Z79">
        <f>HYPERLINK("https://klasma.github.io/Logging_1784/fåglar/A 24756-2022 prioriterade fågelarter.docx", "A 24756-2022")</f>
        <v/>
      </c>
    </row>
    <row r="80" ht="15" customHeight="1">
      <c r="A80" t="inlineStr">
        <is>
          <t>A 46927-2022</t>
        </is>
      </c>
      <c r="B80" s="1" t="n">
        <v>44851</v>
      </c>
      <c r="C80" s="1" t="n">
        <v>45877</v>
      </c>
      <c r="D80" t="inlineStr">
        <is>
          <t>VÄRMLANDS LÄN</t>
        </is>
      </c>
      <c r="E80" t="inlineStr">
        <is>
          <t>ARVIKA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46927-2022 artfynd.xlsx", "A 46927-2022")</f>
        <v/>
      </c>
      <c r="T80">
        <f>HYPERLINK("https://klasma.github.io/Logging_1784/kartor/A 46927-2022 karta.png", "A 46927-2022")</f>
        <v/>
      </c>
      <c r="U80">
        <f>HYPERLINK("https://klasma.github.io/Logging_1784/knärot/A 46927-2022 karta knärot.png", "A 46927-2022")</f>
        <v/>
      </c>
      <c r="V80">
        <f>HYPERLINK("https://klasma.github.io/Logging_1784/klagomål/A 46927-2022 FSC-klagomål.docx", "A 46927-2022")</f>
        <v/>
      </c>
      <c r="W80">
        <f>HYPERLINK("https://klasma.github.io/Logging_1784/klagomålsmail/A 46927-2022 FSC-klagomål mail.docx", "A 46927-2022")</f>
        <v/>
      </c>
      <c r="X80">
        <f>HYPERLINK("https://klasma.github.io/Logging_1784/tillsyn/A 46927-2022 tillsynsbegäran.docx", "A 46927-2022")</f>
        <v/>
      </c>
      <c r="Y80">
        <f>HYPERLINK("https://klasma.github.io/Logging_1784/tillsynsmail/A 46927-2022 tillsynsbegäran mail.docx", "A 46927-2022")</f>
        <v/>
      </c>
    </row>
    <row r="81" ht="15" customHeight="1">
      <c r="A81" t="inlineStr">
        <is>
          <t>A 47699-2022</t>
        </is>
      </c>
      <c r="B81" s="1" t="n">
        <v>44854</v>
      </c>
      <c r="C81" s="1" t="n">
        <v>45877</v>
      </c>
      <c r="D81" t="inlineStr">
        <is>
          <t>VÄRMLANDS LÄN</t>
        </is>
      </c>
      <c r="E81" t="inlineStr">
        <is>
          <t>ARVIKA</t>
        </is>
      </c>
      <c r="G81" t="n">
        <v>20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47699-2022 artfynd.xlsx", "A 47699-2022")</f>
        <v/>
      </c>
      <c r="T81">
        <f>HYPERLINK("https://klasma.github.io/Logging_1784/kartor/A 47699-2022 karta.png", "A 47699-2022")</f>
        <v/>
      </c>
      <c r="V81">
        <f>HYPERLINK("https://klasma.github.io/Logging_1784/klagomål/A 47699-2022 FSC-klagomål.docx", "A 47699-2022")</f>
        <v/>
      </c>
      <c r="W81">
        <f>HYPERLINK("https://klasma.github.io/Logging_1784/klagomålsmail/A 47699-2022 FSC-klagomål mail.docx", "A 47699-2022")</f>
        <v/>
      </c>
      <c r="X81">
        <f>HYPERLINK("https://klasma.github.io/Logging_1784/tillsyn/A 47699-2022 tillsynsbegäran.docx", "A 47699-2022")</f>
        <v/>
      </c>
      <c r="Y81">
        <f>HYPERLINK("https://klasma.github.io/Logging_1784/tillsynsmail/A 47699-2022 tillsynsbegäran mail.docx", "A 47699-2022")</f>
        <v/>
      </c>
    </row>
    <row r="82" ht="15" customHeight="1">
      <c r="A82" t="inlineStr">
        <is>
          <t>A 56676-2022</t>
        </is>
      </c>
      <c r="B82" s="1" t="n">
        <v>44893</v>
      </c>
      <c r="C82" s="1" t="n">
        <v>45877</v>
      </c>
      <c r="D82" t="inlineStr">
        <is>
          <t>VÄRMLANDS LÄN</t>
        </is>
      </c>
      <c r="E82" t="inlineStr">
        <is>
          <t>ARVIKA</t>
        </is>
      </c>
      <c r="F82" t="inlineStr">
        <is>
          <t>Övriga Aktiebolag</t>
        </is>
      </c>
      <c r="G82" t="n">
        <v>5.2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56676-2022 artfynd.xlsx", "A 56676-2022")</f>
        <v/>
      </c>
      <c r="T82">
        <f>HYPERLINK("https://klasma.github.io/Logging_1784/kartor/A 56676-2022 karta.png", "A 56676-2022")</f>
        <v/>
      </c>
      <c r="U82">
        <f>HYPERLINK("https://klasma.github.io/Logging_1784/knärot/A 56676-2022 karta knärot.png", "A 56676-2022")</f>
        <v/>
      </c>
      <c r="V82">
        <f>HYPERLINK("https://klasma.github.io/Logging_1784/klagomål/A 56676-2022 FSC-klagomål.docx", "A 56676-2022")</f>
        <v/>
      </c>
      <c r="W82">
        <f>HYPERLINK("https://klasma.github.io/Logging_1784/klagomålsmail/A 56676-2022 FSC-klagomål mail.docx", "A 56676-2022")</f>
        <v/>
      </c>
      <c r="X82">
        <f>HYPERLINK("https://klasma.github.io/Logging_1784/tillsyn/A 56676-2022 tillsynsbegäran.docx", "A 56676-2022")</f>
        <v/>
      </c>
      <c r="Y82">
        <f>HYPERLINK("https://klasma.github.io/Logging_1784/tillsynsmail/A 56676-2022 tillsynsbegäran mail.docx", "A 56676-2022")</f>
        <v/>
      </c>
    </row>
    <row r="83" ht="15" customHeight="1">
      <c r="A83" t="inlineStr">
        <is>
          <t>A 60602-2022</t>
        </is>
      </c>
      <c r="B83" s="1" t="n">
        <v>44911</v>
      </c>
      <c r="C83" s="1" t="n">
        <v>45877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23.3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HYPERLINK("https://klasma.github.io/Logging_1784/artfynd/A 60602-2022 artfynd.xlsx", "A 60602-2022")</f>
        <v/>
      </c>
      <c r="T83">
        <f>HYPERLINK("https://klasma.github.io/Logging_1784/kartor/A 60602-2022 karta.png", "A 60602-2022")</f>
        <v/>
      </c>
      <c r="V83">
        <f>HYPERLINK("https://klasma.github.io/Logging_1784/klagomål/A 60602-2022 FSC-klagomål.docx", "A 60602-2022")</f>
        <v/>
      </c>
      <c r="W83">
        <f>HYPERLINK("https://klasma.github.io/Logging_1784/klagomålsmail/A 60602-2022 FSC-klagomål mail.docx", "A 60602-2022")</f>
        <v/>
      </c>
      <c r="X83">
        <f>HYPERLINK("https://klasma.github.io/Logging_1784/tillsyn/A 60602-2022 tillsynsbegäran.docx", "A 60602-2022")</f>
        <v/>
      </c>
      <c r="Y83">
        <f>HYPERLINK("https://klasma.github.io/Logging_1784/tillsynsmail/A 60602-2022 tillsynsbegäran mail.docx", "A 60602-2022")</f>
        <v/>
      </c>
      <c r="Z83">
        <f>HYPERLINK("https://klasma.github.io/Logging_1784/fåglar/A 60602-2022 prioriterade fågelarter.docx", "A 60602-2022")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45877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10814-2023</t>
        </is>
      </c>
      <c r="B85" s="1" t="n">
        <v>44990</v>
      </c>
      <c r="C85" s="1" t="n">
        <v>45877</v>
      </c>
      <c r="D85" t="inlineStr">
        <is>
          <t>VÄRMLANDS LÄN</t>
        </is>
      </c>
      <c r="E85" t="inlineStr">
        <is>
          <t>ARVIKA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Ryl</t>
        </is>
      </c>
      <c r="S85">
        <f>HYPERLINK("https://klasma.github.io/Logging_1784/artfynd/A 10814-2023 artfynd.xlsx", "A 10814-2023")</f>
        <v/>
      </c>
      <c r="T85">
        <f>HYPERLINK("https://klasma.github.io/Logging_1784/kartor/A 10814-2023 karta.png", "A 10814-2023")</f>
        <v/>
      </c>
      <c r="V85">
        <f>HYPERLINK("https://klasma.github.io/Logging_1784/klagomål/A 10814-2023 FSC-klagomål.docx", "A 10814-2023")</f>
        <v/>
      </c>
      <c r="W85">
        <f>HYPERLINK("https://klasma.github.io/Logging_1784/klagomålsmail/A 10814-2023 FSC-klagomål mail.docx", "A 10814-2023")</f>
        <v/>
      </c>
      <c r="X85">
        <f>HYPERLINK("https://klasma.github.io/Logging_1784/tillsyn/A 10814-2023 tillsynsbegäran.docx", "A 10814-2023")</f>
        <v/>
      </c>
      <c r="Y85">
        <f>HYPERLINK("https://klasma.github.io/Logging_1784/tillsynsmail/A 10814-2023 tillsynsbegäran mail.docx", "A 10814-2023")</f>
        <v/>
      </c>
    </row>
    <row r="86" ht="15" customHeight="1">
      <c r="A86" t="inlineStr">
        <is>
          <t>A 15145-2023</t>
        </is>
      </c>
      <c r="B86" s="1" t="n">
        <v>45016</v>
      </c>
      <c r="C86" s="1" t="n">
        <v>45877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15145-2023 artfynd.xlsx", "A 15145-2023")</f>
        <v/>
      </c>
      <c r="T86">
        <f>HYPERLINK("https://klasma.github.io/Logging_1784/kartor/A 15145-2023 karta.png", "A 15145-2023")</f>
        <v/>
      </c>
      <c r="U86">
        <f>HYPERLINK("https://klasma.github.io/Logging_1784/knärot/A 15145-2023 karta knärot.png", "A 15145-2023")</f>
        <v/>
      </c>
      <c r="V86">
        <f>HYPERLINK("https://klasma.github.io/Logging_1784/klagomål/A 15145-2023 FSC-klagomål.docx", "A 15145-2023")</f>
        <v/>
      </c>
      <c r="W86">
        <f>HYPERLINK("https://klasma.github.io/Logging_1784/klagomålsmail/A 15145-2023 FSC-klagomål mail.docx", "A 15145-2023")</f>
        <v/>
      </c>
      <c r="X86">
        <f>HYPERLINK("https://klasma.github.io/Logging_1784/tillsyn/A 15145-2023 tillsynsbegäran.docx", "A 15145-2023")</f>
        <v/>
      </c>
      <c r="Y86">
        <f>HYPERLINK("https://klasma.github.io/Logging_1784/tillsynsmail/A 15145-2023 tillsynsbegäran mail.docx", "A 15145-2023")</f>
        <v/>
      </c>
    </row>
    <row r="87" ht="15" customHeight="1">
      <c r="A87" t="inlineStr">
        <is>
          <t>A 16391-2023</t>
        </is>
      </c>
      <c r="B87" s="1" t="n">
        <v>45029</v>
      </c>
      <c r="C87" s="1" t="n">
        <v>45877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Kulfibbla</t>
        </is>
      </c>
      <c r="S87">
        <f>HYPERLINK("https://klasma.github.io/Logging_1784/artfynd/A 16391-2023 artfynd.xlsx", "A 16391-2023")</f>
        <v/>
      </c>
      <c r="T87">
        <f>HYPERLINK("https://klasma.github.io/Logging_1784/kartor/A 16391-2023 karta.png", "A 16391-2023")</f>
        <v/>
      </c>
      <c r="V87">
        <f>HYPERLINK("https://klasma.github.io/Logging_1784/klagomål/A 16391-2023 FSC-klagomål.docx", "A 16391-2023")</f>
        <v/>
      </c>
      <c r="W87">
        <f>HYPERLINK("https://klasma.github.io/Logging_1784/klagomålsmail/A 16391-2023 FSC-klagomål mail.docx", "A 16391-2023")</f>
        <v/>
      </c>
      <c r="X87">
        <f>HYPERLINK("https://klasma.github.io/Logging_1784/tillsyn/A 16391-2023 tillsynsbegäran.docx", "A 16391-2023")</f>
        <v/>
      </c>
      <c r="Y87">
        <f>HYPERLINK("https://klasma.github.io/Logging_1784/tillsynsmail/A 16391-2023 tillsynsbegäran mail.docx", "A 16391-2023")</f>
        <v/>
      </c>
    </row>
    <row r="88" ht="15" customHeight="1">
      <c r="A88" t="inlineStr">
        <is>
          <t>A 17398-2023</t>
        </is>
      </c>
      <c r="B88" s="1" t="n">
        <v>45035</v>
      </c>
      <c r="C88" s="1" t="n">
        <v>45877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HYPERLINK("https://klasma.github.io/Logging_1784/artfynd/A 17398-2023 artfynd.xlsx", "A 17398-2023")</f>
        <v/>
      </c>
      <c r="T88">
        <f>HYPERLINK("https://klasma.github.io/Logging_1784/kartor/A 17398-2023 karta.png", "A 17398-2023")</f>
        <v/>
      </c>
      <c r="V88">
        <f>HYPERLINK("https://klasma.github.io/Logging_1784/klagomål/A 17398-2023 FSC-klagomål.docx", "A 17398-2023")</f>
        <v/>
      </c>
      <c r="W88">
        <f>HYPERLINK("https://klasma.github.io/Logging_1784/klagomålsmail/A 17398-2023 FSC-klagomål mail.docx", "A 17398-2023")</f>
        <v/>
      </c>
      <c r="X88">
        <f>HYPERLINK("https://klasma.github.io/Logging_1784/tillsyn/A 17398-2023 tillsynsbegäran.docx", "A 17398-2023")</f>
        <v/>
      </c>
      <c r="Y88">
        <f>HYPERLINK("https://klasma.github.io/Logging_1784/tillsynsmail/A 17398-2023 tillsynsbegäran mail.docx", "A 17398-2023")</f>
        <v/>
      </c>
    </row>
    <row r="89" ht="15" customHeight="1">
      <c r="A89" t="inlineStr">
        <is>
          <t>A 24239-2023</t>
        </is>
      </c>
      <c r="B89" s="1" t="n">
        <v>45079</v>
      </c>
      <c r="C89" s="1" t="n">
        <v>45877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24239-2023 artfynd.xlsx", "A 24239-2023")</f>
        <v/>
      </c>
      <c r="T89">
        <f>HYPERLINK("https://klasma.github.io/Logging_1784/kartor/A 24239-2023 karta.png", "A 24239-2023")</f>
        <v/>
      </c>
      <c r="U89">
        <f>HYPERLINK("https://klasma.github.io/Logging_1784/knärot/A 24239-2023 karta knärot.png", "A 24239-2023")</f>
        <v/>
      </c>
      <c r="V89">
        <f>HYPERLINK("https://klasma.github.io/Logging_1784/klagomål/A 24239-2023 FSC-klagomål.docx", "A 24239-2023")</f>
        <v/>
      </c>
      <c r="W89">
        <f>HYPERLINK("https://klasma.github.io/Logging_1784/klagomålsmail/A 24239-2023 FSC-klagomål mail.docx", "A 24239-2023")</f>
        <v/>
      </c>
      <c r="X89">
        <f>HYPERLINK("https://klasma.github.io/Logging_1784/tillsyn/A 24239-2023 tillsynsbegäran.docx", "A 24239-2023")</f>
        <v/>
      </c>
      <c r="Y89">
        <f>HYPERLINK("https://klasma.github.io/Logging_1784/tillsynsmail/A 24239-2023 tillsynsbegäran mail.docx", "A 24239-2023")</f>
        <v/>
      </c>
    </row>
    <row r="90" ht="15" customHeight="1">
      <c r="A90" t="inlineStr">
        <is>
          <t>A 25913-2023</t>
        </is>
      </c>
      <c r="B90" s="1" t="n">
        <v>45090</v>
      </c>
      <c r="C90" s="1" t="n">
        <v>45877</v>
      </c>
      <c r="D90" t="inlineStr">
        <is>
          <t>VÄRMLANDS LÄN</t>
        </is>
      </c>
      <c r="E90" t="inlineStr">
        <is>
          <t>ARVIKA</t>
        </is>
      </c>
      <c r="G90" t="n">
        <v>4.3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Gråspett</t>
        </is>
      </c>
      <c r="S90">
        <f>HYPERLINK("https://klasma.github.io/Logging_1784/artfynd/A 25913-2023 artfynd.xlsx", "A 25913-2023")</f>
        <v/>
      </c>
      <c r="T90">
        <f>HYPERLINK("https://klasma.github.io/Logging_1784/kartor/A 25913-2023 karta.png", "A 25913-2023")</f>
        <v/>
      </c>
      <c r="V90">
        <f>HYPERLINK("https://klasma.github.io/Logging_1784/klagomål/A 25913-2023 FSC-klagomål.docx", "A 25913-2023")</f>
        <v/>
      </c>
      <c r="W90">
        <f>HYPERLINK("https://klasma.github.io/Logging_1784/klagomålsmail/A 25913-2023 FSC-klagomål mail.docx", "A 25913-2023")</f>
        <v/>
      </c>
      <c r="X90">
        <f>HYPERLINK("https://klasma.github.io/Logging_1784/tillsyn/A 25913-2023 tillsynsbegäran.docx", "A 25913-2023")</f>
        <v/>
      </c>
      <c r="Y90">
        <f>HYPERLINK("https://klasma.github.io/Logging_1784/tillsynsmail/A 25913-2023 tillsynsbegäran mail.docx", "A 25913-2023")</f>
        <v/>
      </c>
      <c r="Z90">
        <f>HYPERLINK("https://klasma.github.io/Logging_1784/fåglar/A 25913-2023 prioriterade fågelarter.docx", "A 25913-2023")</f>
        <v/>
      </c>
    </row>
    <row r="91" ht="15" customHeight="1">
      <c r="A91" t="inlineStr">
        <is>
          <t>A 32877-2023</t>
        </is>
      </c>
      <c r="B91" s="1" t="n">
        <v>45124</v>
      </c>
      <c r="C91" s="1" t="n">
        <v>45877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HYPERLINK("https://klasma.github.io/Logging_1784/artfynd/A 32877-2023 artfynd.xlsx", "A 32877-2023")</f>
        <v/>
      </c>
      <c r="T91">
        <f>HYPERLINK("https://klasma.github.io/Logging_1784/kartor/A 32877-2023 karta.png", "A 32877-2023")</f>
        <v/>
      </c>
      <c r="U91">
        <f>HYPERLINK("https://klasma.github.io/Logging_1784/knärot/A 32877-2023 karta knärot.png", "A 32877-2023")</f>
        <v/>
      </c>
      <c r="V91">
        <f>HYPERLINK("https://klasma.github.io/Logging_1784/klagomål/A 32877-2023 FSC-klagomål.docx", "A 32877-2023")</f>
        <v/>
      </c>
      <c r="W91">
        <f>HYPERLINK("https://klasma.github.io/Logging_1784/klagomålsmail/A 32877-2023 FSC-klagomål mail.docx", "A 32877-2023")</f>
        <v/>
      </c>
      <c r="X91">
        <f>HYPERLINK("https://klasma.github.io/Logging_1784/tillsyn/A 32877-2023 tillsynsbegäran.docx", "A 32877-2023")</f>
        <v/>
      </c>
      <c r="Y91">
        <f>HYPERLINK("https://klasma.github.io/Logging_1784/tillsynsmail/A 32877-2023 tillsynsbegäran mail.docx", "A 32877-2023")</f>
        <v/>
      </c>
    </row>
    <row r="92" ht="15" customHeight="1">
      <c r="A92" t="inlineStr">
        <is>
          <t>A 43388-2023</t>
        </is>
      </c>
      <c r="B92" s="1" t="n">
        <v>45183</v>
      </c>
      <c r="C92" s="1" t="n">
        <v>45877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43388-2023 artfynd.xlsx", "A 43388-2023")</f>
        <v/>
      </c>
      <c r="T92">
        <f>HYPERLINK("https://klasma.github.io/Logging_1784/kartor/A 43388-2023 karta.png", "A 43388-2023")</f>
        <v/>
      </c>
      <c r="U92">
        <f>HYPERLINK("https://klasma.github.io/Logging_1784/knärot/A 43388-2023 karta knärot.png", "A 43388-2023")</f>
        <v/>
      </c>
      <c r="V92">
        <f>HYPERLINK("https://klasma.github.io/Logging_1784/klagomål/A 43388-2023 FSC-klagomål.docx", "A 43388-2023")</f>
        <v/>
      </c>
      <c r="W92">
        <f>HYPERLINK("https://klasma.github.io/Logging_1784/klagomålsmail/A 43388-2023 FSC-klagomål mail.docx", "A 43388-2023")</f>
        <v/>
      </c>
      <c r="X92">
        <f>HYPERLINK("https://klasma.github.io/Logging_1784/tillsyn/A 43388-2023 tillsynsbegäran.docx", "A 43388-2023")</f>
        <v/>
      </c>
      <c r="Y92">
        <f>HYPERLINK("https://klasma.github.io/Logging_1784/tillsynsmail/A 43388-2023 tillsynsbegäran mail.docx", "A 43388-2023")</f>
        <v/>
      </c>
    </row>
    <row r="93" ht="15" customHeight="1">
      <c r="A93" t="inlineStr">
        <is>
          <t>A 47141-2023</t>
        </is>
      </c>
      <c r="B93" s="1" t="n">
        <v>45201</v>
      </c>
      <c r="C93" s="1" t="n">
        <v>45877</v>
      </c>
      <c r="D93" t="inlineStr">
        <is>
          <t>VÄRMLANDS LÄN</t>
        </is>
      </c>
      <c r="E93" t="inlineStr">
        <is>
          <t>ARVIKA</t>
        </is>
      </c>
      <c r="G93" t="n">
        <v>3.7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47141-2023 artfynd.xlsx", "A 47141-2023")</f>
        <v/>
      </c>
      <c r="T93">
        <f>HYPERLINK("https://klasma.github.io/Logging_1784/kartor/A 47141-2023 karta.png", "A 47141-2023")</f>
        <v/>
      </c>
      <c r="U93">
        <f>HYPERLINK("https://klasma.github.io/Logging_1784/knärot/A 47141-2023 karta knärot.png", "A 47141-2023")</f>
        <v/>
      </c>
      <c r="V93">
        <f>HYPERLINK("https://klasma.github.io/Logging_1784/klagomål/A 47141-2023 FSC-klagomål.docx", "A 47141-2023")</f>
        <v/>
      </c>
      <c r="W93">
        <f>HYPERLINK("https://klasma.github.io/Logging_1784/klagomålsmail/A 47141-2023 FSC-klagomål mail.docx", "A 47141-2023")</f>
        <v/>
      </c>
      <c r="X93">
        <f>HYPERLINK("https://klasma.github.io/Logging_1784/tillsyn/A 47141-2023 tillsynsbegäran.docx", "A 47141-2023")</f>
        <v/>
      </c>
      <c r="Y93">
        <f>HYPERLINK("https://klasma.github.io/Logging_1784/tillsynsmail/A 47141-2023 tillsynsbegäran mail.docx", "A 47141-2023")</f>
        <v/>
      </c>
    </row>
    <row r="94" ht="15" customHeight="1">
      <c r="A94" t="inlineStr">
        <is>
          <t>A 48464-2023</t>
        </is>
      </c>
      <c r="B94" s="1" t="n">
        <v>45206</v>
      </c>
      <c r="C94" s="1" t="n">
        <v>45877</v>
      </c>
      <c r="D94" t="inlineStr">
        <is>
          <t>VÄRMLANDS LÄN</t>
        </is>
      </c>
      <c r="E94" t="inlineStr">
        <is>
          <t>ARVIKA</t>
        </is>
      </c>
      <c r="G94" t="n">
        <v>7.9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48464-2023 artfynd.xlsx", "A 48464-2023")</f>
        <v/>
      </c>
      <c r="T94">
        <f>HYPERLINK("https://klasma.github.io/Logging_1784/kartor/A 48464-2023 karta.png", "A 48464-2023")</f>
        <v/>
      </c>
      <c r="U94">
        <f>HYPERLINK("https://klasma.github.io/Logging_1784/knärot/A 48464-2023 karta knärot.png", "A 48464-2023")</f>
        <v/>
      </c>
      <c r="V94">
        <f>HYPERLINK("https://klasma.github.io/Logging_1784/klagomål/A 48464-2023 FSC-klagomål.docx", "A 48464-2023")</f>
        <v/>
      </c>
      <c r="W94">
        <f>HYPERLINK("https://klasma.github.io/Logging_1784/klagomålsmail/A 48464-2023 FSC-klagomål mail.docx", "A 48464-2023")</f>
        <v/>
      </c>
      <c r="X94">
        <f>HYPERLINK("https://klasma.github.io/Logging_1784/tillsyn/A 48464-2023 tillsynsbegäran.docx", "A 48464-2023")</f>
        <v/>
      </c>
      <c r="Y94">
        <f>HYPERLINK("https://klasma.github.io/Logging_1784/tillsynsmail/A 48464-2023 tillsynsbegäran mail.docx", "A 48464-2023")</f>
        <v/>
      </c>
    </row>
    <row r="95" ht="15" customHeight="1">
      <c r="A95" t="inlineStr">
        <is>
          <t>A 53630-2023</t>
        </is>
      </c>
      <c r="B95" s="1" t="n">
        <v>45230</v>
      </c>
      <c r="C95" s="1" t="n">
        <v>45877</v>
      </c>
      <c r="D95" t="inlineStr">
        <is>
          <t>VÄRMLANDS LÄN</t>
        </is>
      </c>
      <c r="E95" t="inlineStr">
        <is>
          <t>ARVIKA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HYPERLINK("https://klasma.github.io/Logging_1784/artfynd/A 53630-2023 artfynd.xlsx", "A 53630-2023")</f>
        <v/>
      </c>
      <c r="T95">
        <f>HYPERLINK("https://klasma.github.io/Logging_1784/kartor/A 53630-2023 karta.png", "A 53630-2023")</f>
        <v/>
      </c>
      <c r="V95">
        <f>HYPERLINK("https://klasma.github.io/Logging_1784/klagomål/A 53630-2023 FSC-klagomål.docx", "A 53630-2023")</f>
        <v/>
      </c>
      <c r="W95">
        <f>HYPERLINK("https://klasma.github.io/Logging_1784/klagomålsmail/A 53630-2023 FSC-klagomål mail.docx", "A 53630-2023")</f>
        <v/>
      </c>
      <c r="X95">
        <f>HYPERLINK("https://klasma.github.io/Logging_1784/tillsyn/A 53630-2023 tillsynsbegäran.docx", "A 53630-2023")</f>
        <v/>
      </c>
      <c r="Y95">
        <f>HYPERLINK("https://klasma.github.io/Logging_1784/tillsynsmail/A 53630-2023 tillsynsbegäran mail.docx", "A 53630-2023")</f>
        <v/>
      </c>
    </row>
    <row r="96" ht="15" customHeight="1">
      <c r="A96" t="inlineStr">
        <is>
          <t>A 61004-2023</t>
        </is>
      </c>
      <c r="B96" s="1" t="n">
        <v>45261</v>
      </c>
      <c r="C96" s="1" t="n">
        <v>45877</v>
      </c>
      <c r="D96" t="inlineStr">
        <is>
          <t>VÄRMLANDS LÄN</t>
        </is>
      </c>
      <c r="E96" t="inlineStr">
        <is>
          <t>ARVIKA</t>
        </is>
      </c>
      <c r="G96" t="n">
        <v>3.6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61004-2023 artfynd.xlsx", "A 61004-2023")</f>
        <v/>
      </c>
      <c r="T96">
        <f>HYPERLINK("https://klasma.github.io/Logging_1784/kartor/A 61004-2023 karta.png", "A 61004-2023")</f>
        <v/>
      </c>
      <c r="U96">
        <f>HYPERLINK("https://klasma.github.io/Logging_1784/knärot/A 61004-2023 karta knärot.png", "A 61004-2023")</f>
        <v/>
      </c>
      <c r="V96">
        <f>HYPERLINK("https://klasma.github.io/Logging_1784/klagomål/A 61004-2023 FSC-klagomål.docx", "A 61004-2023")</f>
        <v/>
      </c>
      <c r="W96">
        <f>HYPERLINK("https://klasma.github.io/Logging_1784/klagomålsmail/A 61004-2023 FSC-klagomål mail.docx", "A 61004-2023")</f>
        <v/>
      </c>
      <c r="X96">
        <f>HYPERLINK("https://klasma.github.io/Logging_1784/tillsyn/A 61004-2023 tillsynsbegäran.docx", "A 61004-2023")</f>
        <v/>
      </c>
      <c r="Y96">
        <f>HYPERLINK("https://klasma.github.io/Logging_1784/tillsynsmail/A 61004-2023 tillsynsbegäran mail.docx", "A 61004-2023")</f>
        <v/>
      </c>
    </row>
    <row r="97" ht="15" customHeight="1">
      <c r="A97" t="inlineStr">
        <is>
          <t>A 9629-2024</t>
        </is>
      </c>
      <c r="B97" s="1" t="n">
        <v>45362</v>
      </c>
      <c r="C97" s="1" t="n">
        <v>45877</v>
      </c>
      <c r="D97" t="inlineStr">
        <is>
          <t>VÄRMLANDS LÄN</t>
        </is>
      </c>
      <c r="E97" t="inlineStr">
        <is>
          <t>ARVIKA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9629-2024 artfynd.xlsx", "A 9629-2024")</f>
        <v/>
      </c>
      <c r="T97">
        <f>HYPERLINK("https://klasma.github.io/Logging_1784/kartor/A 9629-2024 karta.png", "A 9629-2024")</f>
        <v/>
      </c>
      <c r="V97">
        <f>HYPERLINK("https://klasma.github.io/Logging_1784/klagomål/A 9629-2024 FSC-klagomål.docx", "A 9629-2024")</f>
        <v/>
      </c>
      <c r="W97">
        <f>HYPERLINK("https://klasma.github.io/Logging_1784/klagomålsmail/A 9629-2024 FSC-klagomål mail.docx", "A 9629-2024")</f>
        <v/>
      </c>
      <c r="X97">
        <f>HYPERLINK("https://klasma.github.io/Logging_1784/tillsyn/A 9629-2024 tillsynsbegäran.docx", "A 9629-2024")</f>
        <v/>
      </c>
      <c r="Y97">
        <f>HYPERLINK("https://klasma.github.io/Logging_1784/tillsynsmail/A 9629-2024 tillsynsbegäran mail.docx", "A 9629-2024")</f>
        <v/>
      </c>
      <c r="Z97">
        <f>HYPERLINK("https://klasma.github.io/Logging_1784/fåglar/A 9629-2024 prioriterade fågelarter.docx", "A 9629-2024")</f>
        <v/>
      </c>
    </row>
    <row r="98" ht="15" customHeight="1">
      <c r="A98" t="inlineStr">
        <is>
          <t>A 9628-2024</t>
        </is>
      </c>
      <c r="B98" s="1" t="n">
        <v>45362</v>
      </c>
      <c r="C98" s="1" t="n">
        <v>45877</v>
      </c>
      <c r="D98" t="inlineStr">
        <is>
          <t>VÄRMLANDS LÄN</t>
        </is>
      </c>
      <c r="E98" t="inlineStr">
        <is>
          <t>ARVIKA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HYPERLINK("https://klasma.github.io/Logging_1784/artfynd/A 9628-2024 artfynd.xlsx", "A 9628-2024")</f>
        <v/>
      </c>
      <c r="T98">
        <f>HYPERLINK("https://klasma.github.io/Logging_1784/kartor/A 9628-2024 karta.png", "A 9628-2024")</f>
        <v/>
      </c>
      <c r="V98">
        <f>HYPERLINK("https://klasma.github.io/Logging_1784/klagomål/A 9628-2024 FSC-klagomål.docx", "A 9628-2024")</f>
        <v/>
      </c>
      <c r="W98">
        <f>HYPERLINK("https://klasma.github.io/Logging_1784/klagomålsmail/A 9628-2024 FSC-klagomål mail.docx", "A 9628-2024")</f>
        <v/>
      </c>
      <c r="X98">
        <f>HYPERLINK("https://klasma.github.io/Logging_1784/tillsyn/A 9628-2024 tillsynsbegäran.docx", "A 9628-2024")</f>
        <v/>
      </c>
      <c r="Y98">
        <f>HYPERLINK("https://klasma.github.io/Logging_1784/tillsynsmail/A 9628-2024 tillsynsbegäran mail.docx", "A 9628-2024")</f>
        <v/>
      </c>
      <c r="Z98">
        <f>HYPERLINK("https://klasma.github.io/Logging_1784/fåglar/A 9628-2024 prioriterade fågelarter.docx", "A 9628-2024")</f>
        <v/>
      </c>
    </row>
    <row r="99" ht="15" customHeight="1">
      <c r="A99" t="inlineStr">
        <is>
          <t>A 14030-2024</t>
        </is>
      </c>
      <c r="B99" s="1" t="n">
        <v>45392</v>
      </c>
      <c r="C99" s="1" t="n">
        <v>45877</v>
      </c>
      <c r="D99" t="inlineStr">
        <is>
          <t>VÄRMLANDS LÄN</t>
        </is>
      </c>
      <c r="E99" t="inlineStr">
        <is>
          <t>ARVIKA</t>
        </is>
      </c>
      <c r="F99" t="inlineStr">
        <is>
          <t>Kyrkan</t>
        </is>
      </c>
      <c r="G99" t="n">
        <v>32.2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14030-2024 artfynd.xlsx", "A 14030-2024")</f>
        <v/>
      </c>
      <c r="T99">
        <f>HYPERLINK("https://klasma.github.io/Logging_1784/kartor/A 14030-2024 karta.png", "A 14030-2024")</f>
        <v/>
      </c>
      <c r="U99">
        <f>HYPERLINK("https://klasma.github.io/Logging_1784/knärot/A 14030-2024 karta knärot.png", "A 14030-2024")</f>
        <v/>
      </c>
      <c r="V99">
        <f>HYPERLINK("https://klasma.github.io/Logging_1784/klagomål/A 14030-2024 FSC-klagomål.docx", "A 14030-2024")</f>
        <v/>
      </c>
      <c r="W99">
        <f>HYPERLINK("https://klasma.github.io/Logging_1784/klagomålsmail/A 14030-2024 FSC-klagomål mail.docx", "A 14030-2024")</f>
        <v/>
      </c>
      <c r="X99">
        <f>HYPERLINK("https://klasma.github.io/Logging_1784/tillsyn/A 14030-2024 tillsynsbegäran.docx", "A 14030-2024")</f>
        <v/>
      </c>
      <c r="Y99">
        <f>HYPERLINK("https://klasma.github.io/Logging_1784/tillsynsmail/A 14030-2024 tillsynsbegäran mail.docx", "A 14030-2024")</f>
        <v/>
      </c>
    </row>
    <row r="100" ht="15" customHeight="1">
      <c r="A100" t="inlineStr">
        <is>
          <t>A 17928-2024</t>
        </is>
      </c>
      <c r="B100" s="1" t="n">
        <v>45419</v>
      </c>
      <c r="C100" s="1" t="n">
        <v>45877</v>
      </c>
      <c r="D100" t="inlineStr">
        <is>
          <t>VÄRMLANDS LÄN</t>
        </is>
      </c>
      <c r="E100" t="inlineStr">
        <is>
          <t>ARVIKA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Bårdlav</t>
        </is>
      </c>
      <c r="S100">
        <f>HYPERLINK("https://klasma.github.io/Logging_1784/artfynd/A 17928-2024 artfynd.xlsx", "A 17928-2024")</f>
        <v/>
      </c>
      <c r="T100">
        <f>HYPERLINK("https://klasma.github.io/Logging_1784/kartor/A 17928-2024 karta.png", "A 17928-2024")</f>
        <v/>
      </c>
      <c r="V100">
        <f>HYPERLINK("https://klasma.github.io/Logging_1784/klagomål/A 17928-2024 FSC-klagomål.docx", "A 17928-2024")</f>
        <v/>
      </c>
      <c r="W100">
        <f>HYPERLINK("https://klasma.github.io/Logging_1784/klagomålsmail/A 17928-2024 FSC-klagomål mail.docx", "A 17928-2024")</f>
        <v/>
      </c>
      <c r="X100">
        <f>HYPERLINK("https://klasma.github.io/Logging_1784/tillsyn/A 17928-2024 tillsynsbegäran.docx", "A 17928-2024")</f>
        <v/>
      </c>
      <c r="Y100">
        <f>HYPERLINK("https://klasma.github.io/Logging_1784/tillsynsmail/A 17928-2024 tillsynsbegäran mail.docx", "A 17928-2024")</f>
        <v/>
      </c>
    </row>
    <row r="101" ht="15" customHeight="1">
      <c r="A101" t="inlineStr">
        <is>
          <t>A 19026-2024</t>
        </is>
      </c>
      <c r="B101" s="1" t="n">
        <v>45427</v>
      </c>
      <c r="C101" s="1" t="n">
        <v>45877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Blomkålssvamp</t>
        </is>
      </c>
      <c r="S101">
        <f>HYPERLINK("https://klasma.github.io/Logging_1784/artfynd/A 19026-2024 artfynd.xlsx", "A 19026-2024")</f>
        <v/>
      </c>
      <c r="T101">
        <f>HYPERLINK("https://klasma.github.io/Logging_1784/kartor/A 19026-2024 karta.png", "A 19026-2024")</f>
        <v/>
      </c>
      <c r="V101">
        <f>HYPERLINK("https://klasma.github.io/Logging_1784/klagomål/A 19026-2024 FSC-klagomål.docx", "A 19026-2024")</f>
        <v/>
      </c>
      <c r="W101">
        <f>HYPERLINK("https://klasma.github.io/Logging_1784/klagomålsmail/A 19026-2024 FSC-klagomål mail.docx", "A 19026-2024")</f>
        <v/>
      </c>
      <c r="X101">
        <f>HYPERLINK("https://klasma.github.io/Logging_1784/tillsyn/A 19026-2024 tillsynsbegäran.docx", "A 19026-2024")</f>
        <v/>
      </c>
      <c r="Y101">
        <f>HYPERLINK("https://klasma.github.io/Logging_1784/tillsynsmail/A 19026-2024 tillsynsbegäran mail.docx", "A 19026-2024")</f>
        <v/>
      </c>
    </row>
    <row r="102" ht="15" customHeight="1">
      <c r="A102" t="inlineStr">
        <is>
          <t>A 21252-2024</t>
        </is>
      </c>
      <c r="B102" s="1" t="n">
        <v>45440</v>
      </c>
      <c r="C102" s="1" t="n">
        <v>45877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21252-2024 artfynd.xlsx", "A 21252-2024")</f>
        <v/>
      </c>
      <c r="T102">
        <f>HYPERLINK("https://klasma.github.io/Logging_1784/kartor/A 21252-2024 karta.png", "A 21252-2024")</f>
        <v/>
      </c>
      <c r="U102">
        <f>HYPERLINK("https://klasma.github.io/Logging_1784/knärot/A 21252-2024 karta knärot.png", "A 21252-2024")</f>
        <v/>
      </c>
      <c r="V102">
        <f>HYPERLINK("https://klasma.github.io/Logging_1784/klagomål/A 21252-2024 FSC-klagomål.docx", "A 21252-2024")</f>
        <v/>
      </c>
      <c r="W102">
        <f>HYPERLINK("https://klasma.github.io/Logging_1784/klagomålsmail/A 21252-2024 FSC-klagomål mail.docx", "A 21252-2024")</f>
        <v/>
      </c>
      <c r="X102">
        <f>HYPERLINK("https://klasma.github.io/Logging_1784/tillsyn/A 21252-2024 tillsynsbegäran.docx", "A 21252-2024")</f>
        <v/>
      </c>
      <c r="Y102">
        <f>HYPERLINK("https://klasma.github.io/Logging_1784/tillsynsmail/A 21252-2024 tillsynsbegäran mail.docx", "A 21252-2024")</f>
        <v/>
      </c>
    </row>
    <row r="103" ht="15" customHeight="1">
      <c r="A103" t="inlineStr">
        <is>
          <t>A 36475-2024</t>
        </is>
      </c>
      <c r="B103" s="1" t="n">
        <v>45537</v>
      </c>
      <c r="C103" s="1" t="n">
        <v>45877</v>
      </c>
      <c r="D103" t="inlineStr">
        <is>
          <t>VÄRMLANDS LÄN</t>
        </is>
      </c>
      <c r="E103" t="inlineStr">
        <is>
          <t>ARVIKA</t>
        </is>
      </c>
      <c r="F103" t="inlineStr">
        <is>
          <t>Kommuner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Slåttergubbemal</t>
        </is>
      </c>
      <c r="S103">
        <f>HYPERLINK("https://klasma.github.io/Logging_1784/artfynd/A 36475-2024 artfynd.xlsx", "A 36475-2024")</f>
        <v/>
      </c>
      <c r="T103">
        <f>HYPERLINK("https://klasma.github.io/Logging_1784/kartor/A 36475-2024 karta.png", "A 36475-2024")</f>
        <v/>
      </c>
      <c r="V103">
        <f>HYPERLINK("https://klasma.github.io/Logging_1784/klagomål/A 36475-2024 FSC-klagomål.docx", "A 36475-2024")</f>
        <v/>
      </c>
      <c r="W103">
        <f>HYPERLINK("https://klasma.github.io/Logging_1784/klagomålsmail/A 36475-2024 FSC-klagomål mail.docx", "A 36475-2024")</f>
        <v/>
      </c>
      <c r="X103">
        <f>HYPERLINK("https://klasma.github.io/Logging_1784/tillsyn/A 36475-2024 tillsynsbegäran.docx", "A 36475-2024")</f>
        <v/>
      </c>
      <c r="Y103">
        <f>HYPERLINK("https://klasma.github.io/Logging_1784/tillsynsmail/A 36475-2024 tillsynsbegäran mail.docx", "A 36475-2024")</f>
        <v/>
      </c>
    </row>
    <row r="104" ht="15" customHeight="1">
      <c r="A104" t="inlineStr">
        <is>
          <t>A 47217-2024</t>
        </is>
      </c>
      <c r="B104" s="1" t="n">
        <v>45586</v>
      </c>
      <c r="C104" s="1" t="n">
        <v>45877</v>
      </c>
      <c r="D104" t="inlineStr">
        <is>
          <t>VÄRMLANDS LÄN</t>
        </is>
      </c>
      <c r="E104" t="inlineStr">
        <is>
          <t>ARVIKA</t>
        </is>
      </c>
      <c r="G104" t="n">
        <v>5.6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47217-2024 artfynd.xlsx", "A 47217-2024")</f>
        <v/>
      </c>
      <c r="T104">
        <f>HYPERLINK("https://klasma.github.io/Logging_1784/kartor/A 47217-2024 karta.png", "A 47217-2024")</f>
        <v/>
      </c>
      <c r="U104">
        <f>HYPERLINK("https://klasma.github.io/Logging_1784/knärot/A 47217-2024 karta knärot.png", "A 47217-2024")</f>
        <v/>
      </c>
      <c r="V104">
        <f>HYPERLINK("https://klasma.github.io/Logging_1784/klagomål/A 47217-2024 FSC-klagomål.docx", "A 47217-2024")</f>
        <v/>
      </c>
      <c r="W104">
        <f>HYPERLINK("https://klasma.github.io/Logging_1784/klagomålsmail/A 47217-2024 FSC-klagomål mail.docx", "A 47217-2024")</f>
        <v/>
      </c>
      <c r="X104">
        <f>HYPERLINK("https://klasma.github.io/Logging_1784/tillsyn/A 47217-2024 tillsynsbegäran.docx", "A 47217-2024")</f>
        <v/>
      </c>
      <c r="Y104">
        <f>HYPERLINK("https://klasma.github.io/Logging_1784/tillsynsmail/A 47217-2024 tillsynsbegäran mail.docx", "A 47217-2024")</f>
        <v/>
      </c>
    </row>
    <row r="105" ht="15" customHeight="1">
      <c r="A105" t="inlineStr">
        <is>
          <t>A 48010-2024</t>
        </is>
      </c>
      <c r="B105" s="1" t="n">
        <v>45589</v>
      </c>
      <c r="C105" s="1" t="n">
        <v>45877</v>
      </c>
      <c r="D105" t="inlineStr">
        <is>
          <t>VÄRMLANDS LÄN</t>
        </is>
      </c>
      <c r="E105" t="inlineStr">
        <is>
          <t>ARVIKA</t>
        </is>
      </c>
      <c r="G105" t="n">
        <v>6.7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48010-2024 artfynd.xlsx", "A 48010-2024")</f>
        <v/>
      </c>
      <c r="T105">
        <f>HYPERLINK("https://klasma.github.io/Logging_1784/kartor/A 48010-2024 karta.png", "A 48010-2024")</f>
        <v/>
      </c>
      <c r="U105">
        <f>HYPERLINK("https://klasma.github.io/Logging_1784/knärot/A 48010-2024 karta knärot.png", "A 48010-2024")</f>
        <v/>
      </c>
      <c r="V105">
        <f>HYPERLINK("https://klasma.github.io/Logging_1784/klagomål/A 48010-2024 FSC-klagomål.docx", "A 48010-2024")</f>
        <v/>
      </c>
      <c r="W105">
        <f>HYPERLINK("https://klasma.github.io/Logging_1784/klagomålsmail/A 48010-2024 FSC-klagomål mail.docx", "A 48010-2024")</f>
        <v/>
      </c>
      <c r="X105">
        <f>HYPERLINK("https://klasma.github.io/Logging_1784/tillsyn/A 48010-2024 tillsynsbegäran.docx", "A 48010-2024")</f>
        <v/>
      </c>
      <c r="Y105">
        <f>HYPERLINK("https://klasma.github.io/Logging_1784/tillsynsmail/A 48010-2024 tillsynsbegäran mail.docx", "A 48010-2024")</f>
        <v/>
      </c>
    </row>
    <row r="106" ht="15" customHeight="1">
      <c r="A106" t="inlineStr">
        <is>
          <t>A 58108-2024</t>
        </is>
      </c>
      <c r="B106" s="1" t="n">
        <v>45632</v>
      </c>
      <c r="C106" s="1" t="n">
        <v>45877</v>
      </c>
      <c r="D106" t="inlineStr">
        <is>
          <t>VÄRMLANDS LÄN</t>
        </is>
      </c>
      <c r="E106" t="inlineStr">
        <is>
          <t>ARVIKA</t>
        </is>
      </c>
      <c r="G106" t="n">
        <v>10.5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58108-2024 artfynd.xlsx", "A 58108-2024")</f>
        <v/>
      </c>
      <c r="T106">
        <f>HYPERLINK("https://klasma.github.io/Logging_1784/kartor/A 58108-2024 karta.png", "A 58108-2024")</f>
        <v/>
      </c>
      <c r="U106">
        <f>HYPERLINK("https://klasma.github.io/Logging_1784/knärot/A 58108-2024 karta knärot.png", "A 58108-2024")</f>
        <v/>
      </c>
      <c r="V106">
        <f>HYPERLINK("https://klasma.github.io/Logging_1784/klagomål/A 58108-2024 FSC-klagomål.docx", "A 58108-2024")</f>
        <v/>
      </c>
      <c r="W106">
        <f>HYPERLINK("https://klasma.github.io/Logging_1784/klagomålsmail/A 58108-2024 FSC-klagomål mail.docx", "A 58108-2024")</f>
        <v/>
      </c>
      <c r="X106">
        <f>HYPERLINK("https://klasma.github.io/Logging_1784/tillsyn/A 58108-2024 tillsynsbegäran.docx", "A 58108-2024")</f>
        <v/>
      </c>
      <c r="Y106">
        <f>HYPERLINK("https://klasma.github.io/Logging_1784/tillsynsmail/A 58108-2024 tillsynsbegäran mail.docx", "A 58108-2024")</f>
        <v/>
      </c>
    </row>
    <row r="107" ht="15" customHeight="1">
      <c r="A107" t="inlineStr">
        <is>
          <t>A 865-2025</t>
        </is>
      </c>
      <c r="B107" s="1" t="n">
        <v>45665</v>
      </c>
      <c r="C107" s="1" t="n">
        <v>45877</v>
      </c>
      <c r="D107" t="inlineStr">
        <is>
          <t>VÄRMLANDS LÄN</t>
        </is>
      </c>
      <c r="E107" t="inlineStr">
        <is>
          <t>ARVIKA</t>
        </is>
      </c>
      <c r="G107" t="n">
        <v>7.7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HYPERLINK("https://klasma.github.io/Logging_1784/artfynd/A 865-2025 artfynd.xlsx", "A 865-2025")</f>
        <v/>
      </c>
      <c r="T107">
        <f>HYPERLINK("https://klasma.github.io/Logging_1784/kartor/A 865-2025 karta.png", "A 865-2025")</f>
        <v/>
      </c>
      <c r="V107">
        <f>HYPERLINK("https://klasma.github.io/Logging_1784/klagomål/A 865-2025 FSC-klagomål.docx", "A 865-2025")</f>
        <v/>
      </c>
      <c r="W107">
        <f>HYPERLINK("https://klasma.github.io/Logging_1784/klagomålsmail/A 865-2025 FSC-klagomål mail.docx", "A 865-2025")</f>
        <v/>
      </c>
      <c r="X107">
        <f>HYPERLINK("https://klasma.github.io/Logging_1784/tillsyn/A 865-2025 tillsynsbegäran.docx", "A 865-2025")</f>
        <v/>
      </c>
      <c r="Y107">
        <f>HYPERLINK("https://klasma.github.io/Logging_1784/tillsynsmail/A 865-2025 tillsynsbegäran mail.docx", "A 865-2025")</f>
        <v/>
      </c>
    </row>
    <row r="108" ht="15" customHeight="1">
      <c r="A108" t="inlineStr">
        <is>
          <t>A 5779-2025</t>
        </is>
      </c>
      <c r="B108" s="1" t="n">
        <v>45694</v>
      </c>
      <c r="C108" s="1" t="n">
        <v>45877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HYPERLINK("https://klasma.github.io/Logging_1784/artfynd/A 5779-2025 artfynd.xlsx", "A 5779-2025")</f>
        <v/>
      </c>
      <c r="T108">
        <f>HYPERLINK("https://klasma.github.io/Logging_1784/kartor/A 5779-2025 karta.png", "A 5779-2025")</f>
        <v/>
      </c>
      <c r="V108">
        <f>HYPERLINK("https://klasma.github.io/Logging_1784/klagomål/A 5779-2025 FSC-klagomål.docx", "A 5779-2025")</f>
        <v/>
      </c>
      <c r="W108">
        <f>HYPERLINK("https://klasma.github.io/Logging_1784/klagomålsmail/A 5779-2025 FSC-klagomål mail.docx", "A 5779-2025")</f>
        <v/>
      </c>
      <c r="X108">
        <f>HYPERLINK("https://klasma.github.io/Logging_1784/tillsyn/A 5779-2025 tillsynsbegäran.docx", "A 5779-2025")</f>
        <v/>
      </c>
      <c r="Y108">
        <f>HYPERLINK("https://klasma.github.io/Logging_1784/tillsynsmail/A 5779-2025 tillsynsbegäran mail.docx", "A 5779-2025")</f>
        <v/>
      </c>
    </row>
    <row r="109" ht="15" customHeight="1">
      <c r="A109" t="inlineStr">
        <is>
          <t>A 6966-2025</t>
        </is>
      </c>
      <c r="B109" s="1" t="n">
        <v>45701</v>
      </c>
      <c r="C109" s="1" t="n">
        <v>45877</v>
      </c>
      <c r="D109" t="inlineStr">
        <is>
          <t>VÄRMLANDS LÄN</t>
        </is>
      </c>
      <c r="E109" t="inlineStr">
        <is>
          <t>ARVIKA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HYPERLINK("https://klasma.github.io/Logging_1784/artfynd/A 6966-2025 artfynd.xlsx", "A 6966-2025")</f>
        <v/>
      </c>
      <c r="T109">
        <f>HYPERLINK("https://klasma.github.io/Logging_1784/kartor/A 6966-2025 karta.png", "A 6966-2025")</f>
        <v/>
      </c>
      <c r="U109">
        <f>HYPERLINK("https://klasma.github.io/Logging_1784/knärot/A 6966-2025 karta knärot.png", "A 6966-2025")</f>
        <v/>
      </c>
      <c r="V109">
        <f>HYPERLINK("https://klasma.github.io/Logging_1784/klagomål/A 6966-2025 FSC-klagomål.docx", "A 6966-2025")</f>
        <v/>
      </c>
      <c r="W109">
        <f>HYPERLINK("https://klasma.github.io/Logging_1784/klagomålsmail/A 6966-2025 FSC-klagomål mail.docx", "A 6966-2025")</f>
        <v/>
      </c>
      <c r="X109">
        <f>HYPERLINK("https://klasma.github.io/Logging_1784/tillsyn/A 6966-2025 tillsynsbegäran.docx", "A 6966-2025")</f>
        <v/>
      </c>
      <c r="Y109">
        <f>HYPERLINK("https://klasma.github.io/Logging_1784/tillsynsmail/A 6966-2025 tillsynsbegäran mail.docx", "A 6966-2025")</f>
        <v/>
      </c>
    </row>
    <row r="110" ht="15" customHeight="1">
      <c r="A110" t="inlineStr">
        <is>
          <t>A 8165-2025</t>
        </is>
      </c>
      <c r="B110" s="1" t="n">
        <v>45708</v>
      </c>
      <c r="C110" s="1" t="n">
        <v>45877</v>
      </c>
      <c r="D110" t="inlineStr">
        <is>
          <t>VÄRMLANDS LÄN</t>
        </is>
      </c>
      <c r="E110" t="inlineStr">
        <is>
          <t>ARVIKA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HYPERLINK("https://klasma.github.io/Logging_1784/artfynd/A 8165-2025 artfynd.xlsx", "A 8165-2025")</f>
        <v/>
      </c>
      <c r="T110">
        <f>HYPERLINK("https://klasma.github.io/Logging_1784/kartor/A 8165-2025 karta.png", "A 8165-2025")</f>
        <v/>
      </c>
      <c r="U110">
        <f>HYPERLINK("https://klasma.github.io/Logging_1784/knärot/A 8165-2025 karta knärot.png", "A 8165-2025")</f>
        <v/>
      </c>
      <c r="V110">
        <f>HYPERLINK("https://klasma.github.io/Logging_1784/klagomål/A 8165-2025 FSC-klagomål.docx", "A 8165-2025")</f>
        <v/>
      </c>
      <c r="W110">
        <f>HYPERLINK("https://klasma.github.io/Logging_1784/klagomålsmail/A 8165-2025 FSC-klagomål mail.docx", "A 8165-2025")</f>
        <v/>
      </c>
      <c r="X110">
        <f>HYPERLINK("https://klasma.github.io/Logging_1784/tillsyn/A 8165-2025 tillsynsbegäran.docx", "A 8165-2025")</f>
        <v/>
      </c>
      <c r="Y110">
        <f>HYPERLINK("https://klasma.github.io/Logging_1784/tillsynsmail/A 8165-2025 tillsynsbegäran mail.docx", "A 8165-2025")</f>
        <v/>
      </c>
    </row>
    <row r="111" ht="15" customHeight="1">
      <c r="A111" t="inlineStr">
        <is>
          <t>A 9055-2025</t>
        </is>
      </c>
      <c r="B111" s="1" t="n">
        <v>45713</v>
      </c>
      <c r="C111" s="1" t="n">
        <v>45877</v>
      </c>
      <c r="D111" t="inlineStr">
        <is>
          <t>VÄRMLANDS LÄN</t>
        </is>
      </c>
      <c r="E111" t="inlineStr">
        <is>
          <t>ARVIKA</t>
        </is>
      </c>
      <c r="G111" t="n">
        <v>2.4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HYPERLINK("https://klasma.github.io/Logging_1784/artfynd/A 9055-2025 artfynd.xlsx", "A 9055-2025")</f>
        <v/>
      </c>
      <c r="T111">
        <f>HYPERLINK("https://klasma.github.io/Logging_1784/kartor/A 9055-2025 karta.png", "A 9055-2025")</f>
        <v/>
      </c>
      <c r="V111">
        <f>HYPERLINK("https://klasma.github.io/Logging_1784/klagomål/A 9055-2025 FSC-klagomål.docx", "A 9055-2025")</f>
        <v/>
      </c>
      <c r="W111">
        <f>HYPERLINK("https://klasma.github.io/Logging_1784/klagomålsmail/A 9055-2025 FSC-klagomål mail.docx", "A 9055-2025")</f>
        <v/>
      </c>
      <c r="X111">
        <f>HYPERLINK("https://klasma.github.io/Logging_1784/tillsyn/A 9055-2025 tillsynsbegäran.docx", "A 9055-2025")</f>
        <v/>
      </c>
      <c r="Y111">
        <f>HYPERLINK("https://klasma.github.io/Logging_1784/tillsynsmail/A 9055-2025 tillsynsbegäran mail.docx", "A 9055-2025")</f>
        <v/>
      </c>
      <c r="Z111">
        <f>HYPERLINK("https://klasma.github.io/Logging_1784/fåglar/A 9055-2025 prioriterade fågelarter.docx", "A 9055-2025")</f>
        <v/>
      </c>
    </row>
    <row r="112" ht="15" customHeight="1">
      <c r="A112" t="inlineStr">
        <is>
          <t>A 9060-2025</t>
        </is>
      </c>
      <c r="B112" s="1" t="n">
        <v>45713</v>
      </c>
      <c r="C112" s="1" t="n">
        <v>45877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HYPERLINK("https://klasma.github.io/Logging_1784/artfynd/A 9060-2025 artfynd.xlsx", "A 9060-2025")</f>
        <v/>
      </c>
      <c r="T112">
        <f>HYPERLINK("https://klasma.github.io/Logging_1784/kartor/A 9060-2025 karta.png", "A 9060-2025")</f>
        <v/>
      </c>
      <c r="V112">
        <f>HYPERLINK("https://klasma.github.io/Logging_1784/klagomål/A 9060-2025 FSC-klagomål.docx", "A 9060-2025")</f>
        <v/>
      </c>
      <c r="W112">
        <f>HYPERLINK("https://klasma.github.io/Logging_1784/klagomålsmail/A 9060-2025 FSC-klagomål mail.docx", "A 9060-2025")</f>
        <v/>
      </c>
      <c r="X112">
        <f>HYPERLINK("https://klasma.github.io/Logging_1784/tillsyn/A 9060-2025 tillsynsbegäran.docx", "A 9060-2025")</f>
        <v/>
      </c>
      <c r="Y112">
        <f>HYPERLINK("https://klasma.github.io/Logging_1784/tillsynsmail/A 9060-2025 tillsynsbegäran mail.docx", "A 9060-2025")</f>
        <v/>
      </c>
      <c r="Z112">
        <f>HYPERLINK("https://klasma.github.io/Logging_1784/fåglar/A 9060-2025 prioriterade fågelarter.docx", "A 9060-2025")</f>
        <v/>
      </c>
    </row>
    <row r="113" ht="15" customHeight="1">
      <c r="A113" t="inlineStr">
        <is>
          <t>A 15988-2025</t>
        </is>
      </c>
      <c r="B113" s="1" t="n">
        <v>45749</v>
      </c>
      <c r="C113" s="1" t="n">
        <v>45877</v>
      </c>
      <c r="D113" t="inlineStr">
        <is>
          <t>VÄRMLANDS LÄN</t>
        </is>
      </c>
      <c r="E113" t="inlineStr">
        <is>
          <t>ARVIKA</t>
        </is>
      </c>
      <c r="G113" t="n">
        <v>6.5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Göktyta</t>
        </is>
      </c>
      <c r="S113">
        <f>HYPERLINK("https://klasma.github.io/Logging_171784/artfynd/A 15988-2025 artfynd.xlsx", "A 15988-2025")</f>
        <v/>
      </c>
      <c r="T113">
        <f>HYPERLINK("https://klasma.github.io/Logging_171784/kartor/A 15988-2025 karta.png", "A 15988-2025")</f>
        <v/>
      </c>
      <c r="V113">
        <f>HYPERLINK("https://klasma.github.io/Logging_171784/klagomål/A 15988-2025 FSC-klagomål.docx", "A 15988-2025")</f>
        <v/>
      </c>
      <c r="W113">
        <f>HYPERLINK("https://klasma.github.io/Logging_171784/klagomålsmail/A 15988-2025 FSC-klagomål mail.docx", "A 15988-2025")</f>
        <v/>
      </c>
      <c r="X113">
        <f>HYPERLINK("https://klasma.github.io/Logging_171784/tillsyn/A 15988-2025 tillsynsbegäran.docx", "A 15988-2025")</f>
        <v/>
      </c>
      <c r="Y113">
        <f>HYPERLINK("https://klasma.github.io/Logging_171784/tillsynsmail/A 15988-2025 tillsynsbegäran mail.docx", "A 15988-2025")</f>
        <v/>
      </c>
      <c r="Z113">
        <f>HYPERLINK("https://klasma.github.io/Logging_171784/fåglar/A 15988-2025 prioriterade fågelarter.docx", "A 15988-2025")</f>
        <v/>
      </c>
    </row>
    <row r="114" ht="15" customHeight="1">
      <c r="A114" t="inlineStr">
        <is>
          <t>A 19301-2025</t>
        </is>
      </c>
      <c r="B114" s="1" t="n">
        <v>45769</v>
      </c>
      <c r="C114" s="1" t="n">
        <v>45877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3.1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Lappuggla</t>
        </is>
      </c>
      <c r="S114">
        <f>HYPERLINK("https://klasma.github.io/Logging_171784/artfynd/A 19301-2025 artfynd.xlsx", "A 19301-2025")</f>
        <v/>
      </c>
      <c r="T114">
        <f>HYPERLINK("https://klasma.github.io/Logging_171784/kartor/A 19301-2025 karta.png", "A 19301-2025")</f>
        <v/>
      </c>
      <c r="V114">
        <f>HYPERLINK("https://klasma.github.io/Logging_171784/klagomål/A 19301-2025 FSC-klagomål.docx", "A 19301-2025")</f>
        <v/>
      </c>
      <c r="W114">
        <f>HYPERLINK("https://klasma.github.io/Logging_171784/klagomålsmail/A 19301-2025 FSC-klagomål mail.docx", "A 19301-2025")</f>
        <v/>
      </c>
      <c r="X114">
        <f>HYPERLINK("https://klasma.github.io/Logging_171784/tillsyn/A 19301-2025 tillsynsbegäran.docx", "A 19301-2025")</f>
        <v/>
      </c>
      <c r="Y114">
        <f>HYPERLINK("https://klasma.github.io/Logging_171784/tillsynsmail/A 19301-2025 tillsynsbegäran mail.docx", "A 19301-2025")</f>
        <v/>
      </c>
      <c r="Z114">
        <f>HYPERLINK("https://klasma.github.io/Logging_171784/fåglar/A 19301-2025 prioriterade fågelarter.docx", "A 19301-2025")</f>
        <v/>
      </c>
    </row>
    <row r="115" ht="15" customHeight="1">
      <c r="A115" t="inlineStr">
        <is>
          <t>A 25477-2025</t>
        </is>
      </c>
      <c r="B115" s="1" t="n">
        <v>45802</v>
      </c>
      <c r="C115" s="1" t="n">
        <v>45877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HYPERLINK("https://klasma.github.io/Logging_171784/artfynd/A 25477-2025 artfynd.xlsx", "A 25477-2025")</f>
        <v/>
      </c>
      <c r="T115">
        <f>HYPERLINK("https://klasma.github.io/Logging_171784/kartor/A 25477-2025 karta.png", "A 25477-2025")</f>
        <v/>
      </c>
      <c r="V115">
        <f>HYPERLINK("https://klasma.github.io/Logging_171784/klagomål/A 25477-2025 FSC-klagomål.docx", "A 25477-2025")</f>
        <v/>
      </c>
      <c r="W115">
        <f>HYPERLINK("https://klasma.github.io/Logging_171784/klagomålsmail/A 25477-2025 FSC-klagomål mail.docx", "A 25477-2025")</f>
        <v/>
      </c>
      <c r="X115">
        <f>HYPERLINK("https://klasma.github.io/Logging_171784/tillsyn/A 25477-2025 tillsynsbegäran.docx", "A 25477-2025")</f>
        <v/>
      </c>
      <c r="Y115">
        <f>HYPERLINK("https://klasma.github.io/Logging_171784/tillsynsmail/A 25477-2025 tillsynsbegäran mail.docx", "A 25477-2025")</f>
        <v/>
      </c>
    </row>
    <row r="116" ht="15" customHeight="1">
      <c r="A116" t="inlineStr">
        <is>
          <t>A 29160-2025</t>
        </is>
      </c>
      <c r="B116" s="1" t="n">
        <v>45821</v>
      </c>
      <c r="C116" s="1" t="n">
        <v>45877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3.6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HYPERLINK("https://klasma.github.io/Logging_171784/artfynd/A 29160-2025 artfynd.xlsx", "A 29160-2025")</f>
        <v/>
      </c>
      <c r="T116">
        <f>HYPERLINK("https://klasma.github.io/Logging_171784/kartor/A 29160-2025 karta.png", "A 29160-2025")</f>
        <v/>
      </c>
      <c r="V116">
        <f>HYPERLINK("https://klasma.github.io/Logging_171784/klagomål/A 29160-2025 FSC-klagomål.docx", "A 29160-2025")</f>
        <v/>
      </c>
      <c r="W116">
        <f>HYPERLINK("https://klasma.github.io/Logging_171784/klagomålsmail/A 29160-2025 FSC-klagomål mail.docx", "A 29160-2025")</f>
        <v/>
      </c>
      <c r="X116">
        <f>HYPERLINK("https://klasma.github.io/Logging_171784/tillsyn/A 29160-2025 tillsynsbegäran.docx", "A 29160-2025")</f>
        <v/>
      </c>
      <c r="Y116">
        <f>HYPERLINK("https://klasma.github.io/Logging_171784/tillsynsmail/A 29160-2025 tillsynsbegäran mail.docx", "A 29160-2025")</f>
        <v/>
      </c>
      <c r="Z116">
        <f>HYPERLINK("https://klasma.github.io/Logging_171784/fåglar/A 29160-2025 prioriterade fågelarter.docx", "A 29160-2025")</f>
        <v/>
      </c>
    </row>
    <row r="117" ht="15" customHeight="1">
      <c r="A117" t="inlineStr">
        <is>
          <t>A 29432-2025</t>
        </is>
      </c>
      <c r="B117" s="1" t="n">
        <v>45824</v>
      </c>
      <c r="C117" s="1" t="n">
        <v>45877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HYPERLINK("https://klasma.github.io/Logging_171784/artfynd/A 29432-2025 artfynd.xlsx", "A 29432-2025")</f>
        <v/>
      </c>
      <c r="T117">
        <f>HYPERLINK("https://klasma.github.io/Logging_171784/kartor/A 29432-2025 karta.png", "A 29432-2025")</f>
        <v/>
      </c>
      <c r="V117">
        <f>HYPERLINK("https://klasma.github.io/Logging_171784/klagomål/A 29432-2025 FSC-klagomål.docx", "A 29432-2025")</f>
        <v/>
      </c>
      <c r="W117">
        <f>HYPERLINK("https://klasma.github.io/Logging_171784/klagomålsmail/A 29432-2025 FSC-klagomål mail.docx", "A 29432-2025")</f>
        <v/>
      </c>
      <c r="X117">
        <f>HYPERLINK("https://klasma.github.io/Logging_171784/tillsyn/A 29432-2025 tillsynsbegäran.docx", "A 29432-2025")</f>
        <v/>
      </c>
      <c r="Y117">
        <f>HYPERLINK("https://klasma.github.io/Logging_171784/tillsynsmail/A 29432-2025 tillsynsbegäran mail.docx", "A 29432-2025")</f>
        <v/>
      </c>
    </row>
    <row r="118" ht="15" customHeight="1">
      <c r="A118" t="inlineStr">
        <is>
          <t>A 30071-2025</t>
        </is>
      </c>
      <c r="B118" s="1" t="n">
        <v>45826</v>
      </c>
      <c r="C118" s="1" t="n">
        <v>45877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HYPERLINK("https://klasma.github.io/Logging_171784/artfynd/A 30071-2025 artfynd.xlsx", "A 30071-2025")</f>
        <v/>
      </c>
      <c r="T118">
        <f>HYPERLINK("https://klasma.github.io/Logging_171784/kartor/A 30071-2025 karta.png", "A 30071-2025")</f>
        <v/>
      </c>
      <c r="V118">
        <f>HYPERLINK("https://klasma.github.io/Logging_171784/klagomål/A 30071-2025 FSC-klagomål.docx", "A 30071-2025")</f>
        <v/>
      </c>
      <c r="W118">
        <f>HYPERLINK("https://klasma.github.io/Logging_171784/klagomålsmail/A 30071-2025 FSC-klagomål mail.docx", "A 30071-2025")</f>
        <v/>
      </c>
      <c r="X118">
        <f>HYPERLINK("https://klasma.github.io/Logging_171784/tillsyn/A 30071-2025 tillsynsbegäran.docx", "A 30071-2025")</f>
        <v/>
      </c>
      <c r="Y118">
        <f>HYPERLINK("https://klasma.github.io/Logging_171784/tillsynsmail/A 30071-2025 tillsynsbegäran mail.docx", "A 30071-2025")</f>
        <v/>
      </c>
    </row>
    <row r="119" ht="15" customHeight="1">
      <c r="A119" t="inlineStr">
        <is>
          <t>A 31588-2025</t>
        </is>
      </c>
      <c r="B119" s="1" t="n">
        <v>45833</v>
      </c>
      <c r="C119" s="1" t="n">
        <v>45877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HYPERLINK("https://klasma.github.io/Logging_171784/artfynd/A 31588-2025 artfynd.xlsx", "A 31588-2025")</f>
        <v/>
      </c>
      <c r="T119">
        <f>HYPERLINK("https://klasma.github.io/Logging_171784/kartor/A 31588-2025 karta.png", "A 31588-2025")</f>
        <v/>
      </c>
      <c r="V119">
        <f>HYPERLINK("https://klasma.github.io/Logging_171784/klagomål/A 31588-2025 FSC-klagomål.docx", "A 31588-2025")</f>
        <v/>
      </c>
      <c r="W119">
        <f>HYPERLINK("https://klasma.github.io/Logging_171784/klagomålsmail/A 31588-2025 FSC-klagomål mail.docx", "A 31588-2025")</f>
        <v/>
      </c>
      <c r="X119">
        <f>HYPERLINK("https://klasma.github.io/Logging_171784/tillsyn/A 31588-2025 tillsynsbegäran.docx", "A 31588-2025")</f>
        <v/>
      </c>
      <c r="Y119">
        <f>HYPERLINK("https://klasma.github.io/Logging_171784/tillsynsmail/A 31588-2025 tillsynsbegäran mail.docx", "A 31588-2025")</f>
        <v/>
      </c>
    </row>
    <row r="120" ht="15" customHeight="1">
      <c r="A120" t="inlineStr">
        <is>
          <t>A 17779-2019</t>
        </is>
      </c>
      <c r="B120" s="1" t="n">
        <v>43556</v>
      </c>
      <c r="C120" s="1" t="n">
        <v>45877</v>
      </c>
      <c r="D120" t="inlineStr">
        <is>
          <t>VÄRMLANDS LÄN</t>
        </is>
      </c>
      <c r="E120" t="inlineStr">
        <is>
          <t>ARVIKA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18001-2019</t>
        </is>
      </c>
      <c r="B121" s="1" t="n">
        <v>43556</v>
      </c>
      <c r="C121" s="1" t="n">
        <v>45877</v>
      </c>
      <c r="D121" t="inlineStr">
        <is>
          <t>VÄRMLANDS LÄN</t>
        </is>
      </c>
      <c r="E121" t="inlineStr">
        <is>
          <t>ARVIKA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18243-2019</t>
        </is>
      </c>
      <c r="B122" s="1" t="n">
        <v>43557</v>
      </c>
      <c r="C122" s="1" t="n">
        <v>45877</v>
      </c>
      <c r="D122" t="inlineStr">
        <is>
          <t>VÄRMLANDS LÄN</t>
        </is>
      </c>
      <c r="E122" t="inlineStr">
        <is>
          <t>ARVIKA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18249-2019</t>
        </is>
      </c>
      <c r="B123" s="1" t="n">
        <v>43557</v>
      </c>
      <c r="C123" s="1" t="n">
        <v>45877</v>
      </c>
      <c r="D123" t="inlineStr">
        <is>
          <t>VÄRMLANDS LÄN</t>
        </is>
      </c>
      <c r="E123" t="inlineStr">
        <is>
          <t>ARVIKA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18117-2019</t>
        </is>
      </c>
      <c r="B124" s="1" t="n">
        <v>43558</v>
      </c>
      <c r="C124" s="1" t="n">
        <v>45877</v>
      </c>
      <c r="D124" t="inlineStr">
        <is>
          <t>VÄRMLANDS LÄN</t>
        </is>
      </c>
      <c r="E124" t="inlineStr">
        <is>
          <t>ARVIKA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18153-2019</t>
        </is>
      </c>
      <c r="B125" s="1" t="n">
        <v>43558</v>
      </c>
      <c r="C125" s="1" t="n">
        <v>45877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18574-2019</t>
        </is>
      </c>
      <c r="B126" s="1" t="n">
        <v>43560</v>
      </c>
      <c r="C126" s="1" t="n">
        <v>45877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19011-2019</t>
        </is>
      </c>
      <c r="B127" s="1" t="n">
        <v>43563</v>
      </c>
      <c r="C127" s="1" t="n">
        <v>45877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19096-2019</t>
        </is>
      </c>
      <c r="B128" s="1" t="n">
        <v>43564</v>
      </c>
      <c r="C128" s="1" t="n">
        <v>45877</v>
      </c>
      <c r="D128" t="inlineStr">
        <is>
          <t>VÄRMLANDS LÄN</t>
        </is>
      </c>
      <c r="E128" t="inlineStr">
        <is>
          <t>ARVIKA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19164-2019</t>
        </is>
      </c>
      <c r="B129" s="1" t="n">
        <v>43564</v>
      </c>
      <c r="C129" s="1" t="n">
        <v>45877</v>
      </c>
      <c r="D129" t="inlineStr">
        <is>
          <t>VÄRMLANDS LÄN</t>
        </is>
      </c>
      <c r="E129" t="inlineStr">
        <is>
          <t>ARVIKA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20364-2019</t>
        </is>
      </c>
      <c r="B130" s="1" t="n">
        <v>43571</v>
      </c>
      <c r="C130" s="1" t="n">
        <v>45877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20329-2019</t>
        </is>
      </c>
      <c r="B131" s="1" t="n">
        <v>43571</v>
      </c>
      <c r="C131" s="1" t="n">
        <v>45877</v>
      </c>
      <c r="D131" t="inlineStr">
        <is>
          <t>VÄRMLANDS LÄN</t>
        </is>
      </c>
      <c r="E131" t="inlineStr">
        <is>
          <t>ARVIKA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20927-2019</t>
        </is>
      </c>
      <c r="B132" s="1" t="n">
        <v>43578</v>
      </c>
      <c r="C132" s="1" t="n">
        <v>45877</v>
      </c>
      <c r="D132" t="inlineStr">
        <is>
          <t>VÄRMLANDS LÄN</t>
        </is>
      </c>
      <c r="E132" t="inlineStr">
        <is>
          <t>ARVIKA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21299-2019</t>
        </is>
      </c>
      <c r="B133" s="1" t="n">
        <v>43579</v>
      </c>
      <c r="C133" s="1" t="n">
        <v>45877</v>
      </c>
      <c r="D133" t="inlineStr">
        <is>
          <t>VÄRMLANDS LÄN</t>
        </is>
      </c>
      <c r="E133" t="inlineStr">
        <is>
          <t>ARVIKA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21447-2019</t>
        </is>
      </c>
      <c r="B134" s="1" t="n">
        <v>43580</v>
      </c>
      <c r="C134" s="1" t="n">
        <v>45877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21802-2019</t>
        </is>
      </c>
      <c r="B135" s="1" t="n">
        <v>43582</v>
      </c>
      <c r="C135" s="1" t="n">
        <v>45877</v>
      </c>
      <c r="D135" t="inlineStr">
        <is>
          <t>VÄRMLANDS LÄN</t>
        </is>
      </c>
      <c r="E135" t="inlineStr">
        <is>
          <t>ARVIKA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21804-2019</t>
        </is>
      </c>
      <c r="B136" s="1" t="n">
        <v>43582</v>
      </c>
      <c r="C136" s="1" t="n">
        <v>45877</v>
      </c>
      <c r="D136" t="inlineStr">
        <is>
          <t>VÄRMLANDS LÄN</t>
        </is>
      </c>
      <c r="E136" t="inlineStr">
        <is>
          <t>ARVIKA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23122-2019</t>
        </is>
      </c>
      <c r="B137" s="1" t="n">
        <v>43592</v>
      </c>
      <c r="C137" s="1" t="n">
        <v>45877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23646-2019</t>
        </is>
      </c>
      <c r="B138" s="1" t="n">
        <v>43594</v>
      </c>
      <c r="C138" s="1" t="n">
        <v>45877</v>
      </c>
      <c r="D138" t="inlineStr">
        <is>
          <t>VÄRMLANDS LÄN</t>
        </is>
      </c>
      <c r="E138" t="inlineStr">
        <is>
          <t>ARVIKA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24236-2019</t>
        </is>
      </c>
      <c r="B139" s="1" t="n">
        <v>43596</v>
      </c>
      <c r="C139" s="1" t="n">
        <v>45877</v>
      </c>
      <c r="D139" t="inlineStr">
        <is>
          <t>VÄRMLANDS LÄN</t>
        </is>
      </c>
      <c r="E139" t="inlineStr">
        <is>
          <t>ARVIKA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24240-2019</t>
        </is>
      </c>
      <c r="B140" s="1" t="n">
        <v>43596</v>
      </c>
      <c r="C140" s="1" t="n">
        <v>45877</v>
      </c>
      <c r="D140" t="inlineStr">
        <is>
          <t>VÄRMLANDS LÄN</t>
        </is>
      </c>
      <c r="E140" t="inlineStr">
        <is>
          <t>ARVIKA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24235-2019</t>
        </is>
      </c>
      <c r="B141" s="1" t="n">
        <v>43596</v>
      </c>
      <c r="C141" s="1" t="n">
        <v>45877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24249-2019</t>
        </is>
      </c>
      <c r="B142" s="1" t="n">
        <v>43596</v>
      </c>
      <c r="C142" s="1" t="n">
        <v>45877</v>
      </c>
      <c r="D142" t="inlineStr">
        <is>
          <t>VÄRMLANDS LÄN</t>
        </is>
      </c>
      <c r="E142" t="inlineStr">
        <is>
          <t>ARVIKA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24414-2019</t>
        </is>
      </c>
      <c r="B143" s="1" t="n">
        <v>43600</v>
      </c>
      <c r="C143" s="1" t="n">
        <v>45877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24468-2019</t>
        </is>
      </c>
      <c r="B144" s="1" t="n">
        <v>43600</v>
      </c>
      <c r="C144" s="1" t="n">
        <v>45877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24763-2019</t>
        </is>
      </c>
      <c r="B145" s="1" t="n">
        <v>43601</v>
      </c>
      <c r="C145" s="1" t="n">
        <v>45877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26527-2019</t>
        </is>
      </c>
      <c r="B146" s="1" t="n">
        <v>43612</v>
      </c>
      <c r="C146" s="1" t="n">
        <v>45877</v>
      </c>
      <c r="D146" t="inlineStr">
        <is>
          <t>VÄRMLANDS LÄN</t>
        </is>
      </c>
      <c r="E146" t="inlineStr">
        <is>
          <t>ARVIKA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26372-2019</t>
        </is>
      </c>
      <c r="B147" s="1" t="n">
        <v>43612</v>
      </c>
      <c r="C147" s="1" t="n">
        <v>45877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26653-2019</t>
        </is>
      </c>
      <c r="B148" s="1" t="n">
        <v>43613</v>
      </c>
      <c r="C148" s="1" t="n">
        <v>45877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26719-2019</t>
        </is>
      </c>
      <c r="B149" s="1" t="n">
        <v>43613</v>
      </c>
      <c r="C149" s="1" t="n">
        <v>45877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27076-2019</t>
        </is>
      </c>
      <c r="B150" s="1" t="n">
        <v>43614</v>
      </c>
      <c r="C150" s="1" t="n">
        <v>45877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29593-2019</t>
        </is>
      </c>
      <c r="B151" s="1" t="n">
        <v>43628</v>
      </c>
      <c r="C151" s="1" t="n">
        <v>45877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29588-2019</t>
        </is>
      </c>
      <c r="B152" s="1" t="n">
        <v>43628</v>
      </c>
      <c r="C152" s="1" t="n">
        <v>45877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29803-2019</t>
        </is>
      </c>
      <c r="B153" s="1" t="n">
        <v>43629</v>
      </c>
      <c r="C153" s="1" t="n">
        <v>45877</v>
      </c>
      <c r="D153" t="inlineStr">
        <is>
          <t>VÄRMLANDS LÄN</t>
        </is>
      </c>
      <c r="E153" t="inlineStr">
        <is>
          <t>ARVIKA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30328-2019</t>
        </is>
      </c>
      <c r="B154" s="1" t="n">
        <v>43633</v>
      </c>
      <c r="C154" s="1" t="n">
        <v>45877</v>
      </c>
      <c r="D154" t="inlineStr">
        <is>
          <t>VÄRMLANDS LÄN</t>
        </is>
      </c>
      <c r="E154" t="inlineStr">
        <is>
          <t>ARVIKA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30316-2019</t>
        </is>
      </c>
      <c r="B155" s="1" t="n">
        <v>43633</v>
      </c>
      <c r="C155" s="1" t="n">
        <v>45877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30325-2019</t>
        </is>
      </c>
      <c r="B156" s="1" t="n">
        <v>43633</v>
      </c>
      <c r="C156" s="1" t="n">
        <v>45877</v>
      </c>
      <c r="D156" t="inlineStr">
        <is>
          <t>VÄRMLANDS LÄN</t>
        </is>
      </c>
      <c r="E156" t="inlineStr">
        <is>
          <t>ARVIKA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30310-2019</t>
        </is>
      </c>
      <c r="B157" s="1" t="n">
        <v>43634</v>
      </c>
      <c r="C157" s="1" t="n">
        <v>45877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30353-2019</t>
        </is>
      </c>
      <c r="B158" s="1" t="n">
        <v>43634</v>
      </c>
      <c r="C158" s="1" t="n">
        <v>45877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30643-2019</t>
        </is>
      </c>
      <c r="B159" s="1" t="n">
        <v>43635</v>
      </c>
      <c r="C159" s="1" t="n">
        <v>45877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30636-2019</t>
        </is>
      </c>
      <c r="B160" s="1" t="n">
        <v>43635</v>
      </c>
      <c r="C160" s="1" t="n">
        <v>45877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622-2020</t>
        </is>
      </c>
      <c r="B161" s="1" t="n">
        <v>43635</v>
      </c>
      <c r="C161" s="1" t="n">
        <v>45877</v>
      </c>
      <c r="D161" t="inlineStr">
        <is>
          <t>VÄRMLANDS LÄN</t>
        </is>
      </c>
      <c r="E161" t="inlineStr">
        <is>
          <t>ARVIKA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30885-2019</t>
        </is>
      </c>
      <c r="B162" s="1" t="n">
        <v>43636</v>
      </c>
      <c r="C162" s="1" t="n">
        <v>45877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31218-2019</t>
        </is>
      </c>
      <c r="B163" s="1" t="n">
        <v>43640</v>
      </c>
      <c r="C163" s="1" t="n">
        <v>45877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31327-2019</t>
        </is>
      </c>
      <c r="B164" s="1" t="n">
        <v>43641</v>
      </c>
      <c r="C164" s="1" t="n">
        <v>45877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32185-2019</t>
        </is>
      </c>
      <c r="B165" s="1" t="n">
        <v>43643</v>
      </c>
      <c r="C165" s="1" t="n">
        <v>45877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32413-2019</t>
        </is>
      </c>
      <c r="B166" s="1" t="n">
        <v>43644</v>
      </c>
      <c r="C166" s="1" t="n">
        <v>45877</v>
      </c>
      <c r="D166" t="inlineStr">
        <is>
          <t>VÄRMLANDS LÄN</t>
        </is>
      </c>
      <c r="E166" t="inlineStr">
        <is>
          <t>ARVIKA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34023-2019</t>
        </is>
      </c>
      <c r="B167" s="1" t="n">
        <v>43654</v>
      </c>
      <c r="C167" s="1" t="n">
        <v>45877</v>
      </c>
      <c r="D167" t="inlineStr">
        <is>
          <t>VÄRMLANDS LÄN</t>
        </is>
      </c>
      <c r="E167" t="inlineStr">
        <is>
          <t>ARVIKA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36041-2019</t>
        </is>
      </c>
      <c r="B168" s="1" t="n">
        <v>43657</v>
      </c>
      <c r="C168" s="1" t="n">
        <v>45877</v>
      </c>
      <c r="D168" t="inlineStr">
        <is>
          <t>VÄRMLANDS LÄN</t>
        </is>
      </c>
      <c r="E168" t="inlineStr">
        <is>
          <t>ARVIKA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34582-2019</t>
        </is>
      </c>
      <c r="B169" s="1" t="n">
        <v>43657</v>
      </c>
      <c r="C169" s="1" t="n">
        <v>45877</v>
      </c>
      <c r="D169" t="inlineStr">
        <is>
          <t>VÄRMLANDS LÄN</t>
        </is>
      </c>
      <c r="E169" t="inlineStr">
        <is>
          <t>ARVIKA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36309-2019</t>
        </is>
      </c>
      <c r="B170" s="1" t="n">
        <v>43661</v>
      </c>
      <c r="C170" s="1" t="n">
        <v>45877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35181-2019</t>
        </is>
      </c>
      <c r="B171" s="1" t="n">
        <v>43662</v>
      </c>
      <c r="C171" s="1" t="n">
        <v>45877</v>
      </c>
      <c r="D171" t="inlineStr">
        <is>
          <t>VÄRMLANDS LÄN</t>
        </is>
      </c>
      <c r="E171" t="inlineStr">
        <is>
          <t>ARVIKA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36106-2019</t>
        </is>
      </c>
      <c r="B172" s="1" t="n">
        <v>43668</v>
      </c>
      <c r="C172" s="1" t="n">
        <v>45877</v>
      </c>
      <c r="D172" t="inlineStr">
        <is>
          <t>VÄRMLANDS LÄN</t>
        </is>
      </c>
      <c r="E172" t="inlineStr">
        <is>
          <t>ARVIKA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36648-2019</t>
        </is>
      </c>
      <c r="B173" s="1" t="n">
        <v>43671</v>
      </c>
      <c r="C173" s="1" t="n">
        <v>45877</v>
      </c>
      <c r="D173" t="inlineStr">
        <is>
          <t>VÄRMLANDS LÄN</t>
        </is>
      </c>
      <c r="E173" t="inlineStr">
        <is>
          <t>ARVIKA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37000-2019</t>
        </is>
      </c>
      <c r="B174" s="1" t="n">
        <v>43676</v>
      </c>
      <c r="C174" s="1" t="n">
        <v>45877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36999-2019</t>
        </is>
      </c>
      <c r="B175" s="1" t="n">
        <v>43676</v>
      </c>
      <c r="C175" s="1" t="n">
        <v>45877</v>
      </c>
      <c r="D175" t="inlineStr">
        <is>
          <t>VÄRMLANDS LÄN</t>
        </is>
      </c>
      <c r="E175" t="inlineStr">
        <is>
          <t>ARVIKA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37165-2019</t>
        </is>
      </c>
      <c r="B176" s="1" t="n">
        <v>43677</v>
      </c>
      <c r="C176" s="1" t="n">
        <v>45877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37199-2019</t>
        </is>
      </c>
      <c r="B177" s="1" t="n">
        <v>43677</v>
      </c>
      <c r="C177" s="1" t="n">
        <v>45877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37147-2019</t>
        </is>
      </c>
      <c r="B178" s="1" t="n">
        <v>43677</v>
      </c>
      <c r="C178" s="1" t="n">
        <v>45877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38002-2019</t>
        </is>
      </c>
      <c r="B179" s="1" t="n">
        <v>43683</v>
      </c>
      <c r="C179" s="1" t="n">
        <v>45877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38410-2019</t>
        </is>
      </c>
      <c r="B180" s="1" t="n">
        <v>43685</v>
      </c>
      <c r="C180" s="1" t="n">
        <v>45877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39740-2019</t>
        </is>
      </c>
      <c r="B181" s="1" t="n">
        <v>43691</v>
      </c>
      <c r="C181" s="1" t="n">
        <v>45877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40159-2019</t>
        </is>
      </c>
      <c r="B182" s="1" t="n">
        <v>43693</v>
      </c>
      <c r="C182" s="1" t="n">
        <v>45877</v>
      </c>
      <c r="D182" t="inlineStr">
        <is>
          <t>VÄRMLANDS LÄN</t>
        </is>
      </c>
      <c r="E182" t="inlineStr">
        <is>
          <t>ARVIKA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40397-2019</t>
        </is>
      </c>
      <c r="B183" s="1" t="n">
        <v>43696</v>
      </c>
      <c r="C183" s="1" t="n">
        <v>45877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41531-2019</t>
        </is>
      </c>
      <c r="B184" s="1" t="n">
        <v>43699</v>
      </c>
      <c r="C184" s="1" t="n">
        <v>45877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42102-2019</t>
        </is>
      </c>
      <c r="B185" s="1" t="n">
        <v>43702</v>
      </c>
      <c r="C185" s="1" t="n">
        <v>45877</v>
      </c>
      <c r="D185" t="inlineStr">
        <is>
          <t>VÄRMLANDS LÄN</t>
        </is>
      </c>
      <c r="E185" t="inlineStr">
        <is>
          <t>ARVIKA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42692-2019</t>
        </is>
      </c>
      <c r="B186" s="1" t="n">
        <v>43704</v>
      </c>
      <c r="C186" s="1" t="n">
        <v>45877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42485-2019</t>
        </is>
      </c>
      <c r="B187" s="1" t="n">
        <v>43704</v>
      </c>
      <c r="C187" s="1" t="n">
        <v>45877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42854-2019</t>
        </is>
      </c>
      <c r="B188" s="1" t="n">
        <v>43705</v>
      </c>
      <c r="C188" s="1" t="n">
        <v>45877</v>
      </c>
      <c r="D188" t="inlineStr">
        <is>
          <t>VÄRMLANDS LÄN</t>
        </is>
      </c>
      <c r="E188" t="inlineStr">
        <is>
          <t>ARVIKA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43146-2019</t>
        </is>
      </c>
      <c r="B189" s="1" t="n">
        <v>43705</v>
      </c>
      <c r="C189" s="1" t="n">
        <v>45877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44468-2019</t>
        </is>
      </c>
      <c r="B190" s="1" t="n">
        <v>43711</v>
      </c>
      <c r="C190" s="1" t="n">
        <v>45877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45796-2019</t>
        </is>
      </c>
      <c r="B191" s="1" t="n">
        <v>43712</v>
      </c>
      <c r="C191" s="1" t="n">
        <v>45877</v>
      </c>
      <c r="D191" t="inlineStr">
        <is>
          <t>VÄRMLANDS LÄN</t>
        </is>
      </c>
      <c r="E191" t="inlineStr">
        <is>
          <t>ARVIKA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44646-2019</t>
        </is>
      </c>
      <c r="B192" s="1" t="n">
        <v>43712</v>
      </c>
      <c r="C192" s="1" t="n">
        <v>45877</v>
      </c>
      <c r="D192" t="inlineStr">
        <is>
          <t>VÄRMLANDS LÄN</t>
        </is>
      </c>
      <c r="E192" t="inlineStr">
        <is>
          <t>ARVIKA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46270-2019</t>
        </is>
      </c>
      <c r="B193" s="1" t="n">
        <v>43718</v>
      </c>
      <c r="C193" s="1" t="n">
        <v>45877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46129-2019</t>
        </is>
      </c>
      <c r="B194" s="1" t="n">
        <v>43718</v>
      </c>
      <c r="C194" s="1" t="n">
        <v>45877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48077-2019</t>
        </is>
      </c>
      <c r="B195" s="1" t="n">
        <v>43725</v>
      </c>
      <c r="C195" s="1" t="n">
        <v>45877</v>
      </c>
      <c r="D195" t="inlineStr">
        <is>
          <t>VÄRMLANDS LÄN</t>
        </is>
      </c>
      <c r="E195" t="inlineStr">
        <is>
          <t>ARVIKA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48026-2019</t>
        </is>
      </c>
      <c r="B196" s="1" t="n">
        <v>43725</v>
      </c>
      <c r="C196" s="1" t="n">
        <v>45877</v>
      </c>
      <c r="D196" t="inlineStr">
        <is>
          <t>VÄRMLANDS LÄN</t>
        </is>
      </c>
      <c r="E196" t="inlineStr">
        <is>
          <t>ARVIKA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48549-2019</t>
        </is>
      </c>
      <c r="B197" s="1" t="n">
        <v>43727</v>
      </c>
      <c r="C197" s="1" t="n">
        <v>45877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48428-2019</t>
        </is>
      </c>
      <c r="B198" s="1" t="n">
        <v>43727</v>
      </c>
      <c r="C198" s="1" t="n">
        <v>45877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48892-2019</t>
        </is>
      </c>
      <c r="B199" s="1" t="n">
        <v>43728</v>
      </c>
      <c r="C199" s="1" t="n">
        <v>45877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49965-2019</t>
        </is>
      </c>
      <c r="B200" s="1" t="n">
        <v>43733</v>
      </c>
      <c r="C200" s="1" t="n">
        <v>45877</v>
      </c>
      <c r="D200" t="inlineStr">
        <is>
          <t>VÄRMLANDS LÄN</t>
        </is>
      </c>
      <c r="E200" t="inlineStr">
        <is>
          <t>ARVIKA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50540-2019</t>
        </is>
      </c>
      <c r="B201" s="1" t="n">
        <v>43735</v>
      </c>
      <c r="C201" s="1" t="n">
        <v>45877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50309-2019</t>
        </is>
      </c>
      <c r="B202" s="1" t="n">
        <v>43735</v>
      </c>
      <c r="C202" s="1" t="n">
        <v>45877</v>
      </c>
      <c r="D202" t="inlineStr">
        <is>
          <t>VÄRMLANDS LÄN</t>
        </is>
      </c>
      <c r="E202" t="inlineStr">
        <is>
          <t>ARVIKA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50953-2019</t>
        </is>
      </c>
      <c r="B203" s="1" t="n">
        <v>43738</v>
      </c>
      <c r="C203" s="1" t="n">
        <v>45877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51301-2019</t>
        </is>
      </c>
      <c r="B204" s="1" t="n">
        <v>43739</v>
      </c>
      <c r="C204" s="1" t="n">
        <v>45877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54709-2019</t>
        </is>
      </c>
      <c r="B205" s="1" t="n">
        <v>43748</v>
      </c>
      <c r="C205" s="1" t="n">
        <v>45877</v>
      </c>
      <c r="D205" t="inlineStr">
        <is>
          <t>VÄRMLANDS LÄN</t>
        </is>
      </c>
      <c r="E205" t="inlineStr">
        <is>
          <t>ARVIKA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53665-2019</t>
        </is>
      </c>
      <c r="B206" s="1" t="n">
        <v>43749</v>
      </c>
      <c r="C206" s="1" t="n">
        <v>45877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53491-2019</t>
        </is>
      </c>
      <c r="B207" s="1" t="n">
        <v>43749</v>
      </c>
      <c r="C207" s="1" t="n">
        <v>45877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55810-2019</t>
        </is>
      </c>
      <c r="B208" s="1" t="n">
        <v>43759</v>
      </c>
      <c r="C208" s="1" t="n">
        <v>45877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55608-2019</t>
        </is>
      </c>
      <c r="B209" s="1" t="n">
        <v>43760</v>
      </c>
      <c r="C209" s="1" t="n">
        <v>45877</v>
      </c>
      <c r="D209" t="inlineStr">
        <is>
          <t>VÄRMLANDS LÄN</t>
        </is>
      </c>
      <c r="E209" t="inlineStr">
        <is>
          <t>ARVIKA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56391-2019</t>
        </is>
      </c>
      <c r="B210" s="1" t="n">
        <v>43762</v>
      </c>
      <c r="C210" s="1" t="n">
        <v>45877</v>
      </c>
      <c r="D210" t="inlineStr">
        <is>
          <t>VÄRMLANDS LÄN</t>
        </is>
      </c>
      <c r="E210" t="inlineStr">
        <is>
          <t>ARVIKA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57350-2019</t>
        </is>
      </c>
      <c r="B211" s="1" t="n">
        <v>43767</v>
      </c>
      <c r="C211" s="1" t="n">
        <v>45877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58130-2019</t>
        </is>
      </c>
      <c r="B212" s="1" t="n">
        <v>43769</v>
      </c>
      <c r="C212" s="1" t="n">
        <v>45877</v>
      </c>
      <c r="D212" t="inlineStr">
        <is>
          <t>VÄRMLANDS LÄN</t>
        </is>
      </c>
      <c r="E212" t="inlineStr">
        <is>
          <t>ARVIKA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58733-2019</t>
        </is>
      </c>
      <c r="B213" s="1" t="n">
        <v>43773</v>
      </c>
      <c r="C213" s="1" t="n">
        <v>45877</v>
      </c>
      <c r="D213" t="inlineStr">
        <is>
          <t>VÄRMLANDS LÄN</t>
        </is>
      </c>
      <c r="E213" t="inlineStr">
        <is>
          <t>ARVIKA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58540-2019</t>
        </is>
      </c>
      <c r="B214" s="1" t="n">
        <v>43773</v>
      </c>
      <c r="C214" s="1" t="n">
        <v>45877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59389-2019</t>
        </is>
      </c>
      <c r="B215" s="1" t="n">
        <v>43775</v>
      </c>
      <c r="C215" s="1" t="n">
        <v>45877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59607-2019</t>
        </is>
      </c>
      <c r="B216" s="1" t="n">
        <v>43776</v>
      </c>
      <c r="C216" s="1" t="n">
        <v>45877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61098-2019</t>
        </is>
      </c>
      <c r="B217" s="1" t="n">
        <v>43782</v>
      </c>
      <c r="C217" s="1" t="n">
        <v>45877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61104-2019</t>
        </is>
      </c>
      <c r="B218" s="1" t="n">
        <v>43782</v>
      </c>
      <c r="C218" s="1" t="n">
        <v>45877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61099-2019</t>
        </is>
      </c>
      <c r="B219" s="1" t="n">
        <v>43782</v>
      </c>
      <c r="C219" s="1" t="n">
        <v>45877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61800-2019</t>
        </is>
      </c>
      <c r="B220" s="1" t="n">
        <v>43786</v>
      </c>
      <c r="C220" s="1" t="n">
        <v>45877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62238-2019</t>
        </is>
      </c>
      <c r="B221" s="1" t="n">
        <v>43788</v>
      </c>
      <c r="C221" s="1" t="n">
        <v>45877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62911-2019</t>
        </is>
      </c>
      <c r="B222" s="1" t="n">
        <v>43790</v>
      </c>
      <c r="C222" s="1" t="n">
        <v>45877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62922-2019</t>
        </is>
      </c>
      <c r="B223" s="1" t="n">
        <v>43790</v>
      </c>
      <c r="C223" s="1" t="n">
        <v>45877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62917-2019</t>
        </is>
      </c>
      <c r="B224" s="1" t="n">
        <v>43790</v>
      </c>
      <c r="C224" s="1" t="n">
        <v>45877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62931-2019</t>
        </is>
      </c>
      <c r="B225" s="1" t="n">
        <v>43790</v>
      </c>
      <c r="C225" s="1" t="n">
        <v>45877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62905-2019</t>
        </is>
      </c>
      <c r="B226" s="1" t="n">
        <v>43790</v>
      </c>
      <c r="C226" s="1" t="n">
        <v>45877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62914-2019</t>
        </is>
      </c>
      <c r="B227" s="1" t="n">
        <v>43790</v>
      </c>
      <c r="C227" s="1" t="n">
        <v>45877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62924-2019</t>
        </is>
      </c>
      <c r="B228" s="1" t="n">
        <v>43790</v>
      </c>
      <c r="C228" s="1" t="n">
        <v>45877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64912-2019</t>
        </is>
      </c>
      <c r="B229" s="1" t="n">
        <v>43795</v>
      </c>
      <c r="C229" s="1" t="n">
        <v>45877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64886-2019</t>
        </is>
      </c>
      <c r="B230" s="1" t="n">
        <v>43795</v>
      </c>
      <c r="C230" s="1" t="n">
        <v>45877</v>
      </c>
      <c r="D230" t="inlineStr">
        <is>
          <t>VÄRMLANDS LÄN</t>
        </is>
      </c>
      <c r="E230" t="inlineStr">
        <is>
          <t>ARVIKA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64510-2019</t>
        </is>
      </c>
      <c r="B231" s="1" t="n">
        <v>43798</v>
      </c>
      <c r="C231" s="1" t="n">
        <v>45877</v>
      </c>
      <c r="D231" t="inlineStr">
        <is>
          <t>VÄRMLANDS LÄN</t>
        </is>
      </c>
      <c r="E231" t="inlineStr">
        <is>
          <t>ARVIKA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64609-2019</t>
        </is>
      </c>
      <c r="B232" s="1" t="n">
        <v>43798</v>
      </c>
      <c r="C232" s="1" t="n">
        <v>45877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64519-2019</t>
        </is>
      </c>
      <c r="B233" s="1" t="n">
        <v>43798</v>
      </c>
      <c r="C233" s="1" t="n">
        <v>45877</v>
      </c>
      <c r="D233" t="inlineStr">
        <is>
          <t>VÄRMLANDS LÄN</t>
        </is>
      </c>
      <c r="E233" t="inlineStr">
        <is>
          <t>ARVIKA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65205-2019</t>
        </is>
      </c>
      <c r="B234" s="1" t="n">
        <v>43802</v>
      </c>
      <c r="C234" s="1" t="n">
        <v>45877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65880-2019</t>
        </is>
      </c>
      <c r="B235" s="1" t="n">
        <v>43805</v>
      </c>
      <c r="C235" s="1" t="n">
        <v>45877</v>
      </c>
      <c r="D235" t="inlineStr">
        <is>
          <t>VÄRMLANDS LÄN</t>
        </is>
      </c>
      <c r="E235" t="inlineStr">
        <is>
          <t>ARVIKA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66352-2019</t>
        </is>
      </c>
      <c r="B236" s="1" t="n">
        <v>43808</v>
      </c>
      <c r="C236" s="1" t="n">
        <v>45877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66818-2019</t>
        </is>
      </c>
      <c r="B237" s="1" t="n">
        <v>43810</v>
      </c>
      <c r="C237" s="1" t="n">
        <v>45877</v>
      </c>
      <c r="D237" t="inlineStr">
        <is>
          <t>VÄRMLANDS LÄN</t>
        </is>
      </c>
      <c r="E237" t="inlineStr">
        <is>
          <t>ARVIKA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67134-2019</t>
        </is>
      </c>
      <c r="B238" s="1" t="n">
        <v>43811</v>
      </c>
      <c r="C238" s="1" t="n">
        <v>45877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67700-2019</t>
        </is>
      </c>
      <c r="B239" s="1" t="n">
        <v>43815</v>
      </c>
      <c r="C239" s="1" t="n">
        <v>45877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68056-2019</t>
        </is>
      </c>
      <c r="B240" s="1" t="n">
        <v>43816</v>
      </c>
      <c r="C240" s="1" t="n">
        <v>45877</v>
      </c>
      <c r="D240" t="inlineStr">
        <is>
          <t>VÄRMLANDS LÄN</t>
        </is>
      </c>
      <c r="E240" t="inlineStr">
        <is>
          <t>ARVIKA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67903-2019</t>
        </is>
      </c>
      <c r="B241" s="1" t="n">
        <v>43816</v>
      </c>
      <c r="C241" s="1" t="n">
        <v>45877</v>
      </c>
      <c r="D241" t="inlineStr">
        <is>
          <t>VÄRMLANDS LÄN</t>
        </is>
      </c>
      <c r="E241" t="inlineStr">
        <is>
          <t>ARVIKA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68059-2019</t>
        </is>
      </c>
      <c r="B242" s="1" t="n">
        <v>43816</v>
      </c>
      <c r="C242" s="1" t="n">
        <v>45877</v>
      </c>
      <c r="D242" t="inlineStr">
        <is>
          <t>VÄRMLANDS LÄN</t>
        </is>
      </c>
      <c r="E242" t="inlineStr">
        <is>
          <t>ARVIKA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68372-2019</t>
        </is>
      </c>
      <c r="B243" s="1" t="n">
        <v>43817</v>
      </c>
      <c r="C243" s="1" t="n">
        <v>45877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68567-2019</t>
        </is>
      </c>
      <c r="B244" s="1" t="n">
        <v>43818</v>
      </c>
      <c r="C244" s="1" t="n">
        <v>45877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68560-2019</t>
        </is>
      </c>
      <c r="B245" s="1" t="n">
        <v>43818</v>
      </c>
      <c r="C245" s="1" t="n">
        <v>45877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68577-2019</t>
        </is>
      </c>
      <c r="B246" s="1" t="n">
        <v>43818</v>
      </c>
      <c r="C246" s="1" t="n">
        <v>45877</v>
      </c>
      <c r="D246" t="inlineStr">
        <is>
          <t>VÄRMLANDS LÄN</t>
        </is>
      </c>
      <c r="E246" t="inlineStr">
        <is>
          <t>ARVIKA</t>
        </is>
      </c>
      <c r="F246" t="inlineStr">
        <is>
          <t>Kommuner</t>
        </is>
      </c>
      <c r="G246" t="n">
        <v>15.9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68573-2019</t>
        </is>
      </c>
      <c r="B247" s="1" t="n">
        <v>43818</v>
      </c>
      <c r="C247" s="1" t="n">
        <v>45877</v>
      </c>
      <c r="D247" t="inlineStr">
        <is>
          <t>VÄRMLANDS LÄN</t>
        </is>
      </c>
      <c r="E247" t="inlineStr">
        <is>
          <t>ARVIKA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68895-2019</t>
        </is>
      </c>
      <c r="B248" s="1" t="n">
        <v>43822</v>
      </c>
      <c r="C248" s="1" t="n">
        <v>45877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69086-2019</t>
        </is>
      </c>
      <c r="B249" s="1" t="n">
        <v>43829</v>
      </c>
      <c r="C249" s="1" t="n">
        <v>45877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91-2020</t>
        </is>
      </c>
      <c r="B250" s="1" t="n">
        <v>43832</v>
      </c>
      <c r="C250" s="1" t="n">
        <v>45877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14-2020</t>
        </is>
      </c>
      <c r="B251" s="1" t="n">
        <v>43832</v>
      </c>
      <c r="C251" s="1" t="n">
        <v>45877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94-2020</t>
        </is>
      </c>
      <c r="B252" s="1" t="n">
        <v>43832</v>
      </c>
      <c r="C252" s="1" t="n">
        <v>45877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197-2020</t>
        </is>
      </c>
      <c r="B253" s="1" t="n">
        <v>43833</v>
      </c>
      <c r="C253" s="1" t="n">
        <v>45877</v>
      </c>
      <c r="D253" t="inlineStr">
        <is>
          <t>VÄRMLANDS LÄN</t>
        </is>
      </c>
      <c r="E253" t="inlineStr">
        <is>
          <t>ARVIKA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239-2020</t>
        </is>
      </c>
      <c r="B254" s="1" t="n">
        <v>43835</v>
      </c>
      <c r="C254" s="1" t="n">
        <v>45877</v>
      </c>
      <c r="D254" t="inlineStr">
        <is>
          <t>VÄRMLANDS LÄN</t>
        </is>
      </c>
      <c r="E254" t="inlineStr">
        <is>
          <t>ARVIKA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323-2020</t>
        </is>
      </c>
      <c r="B255" s="1" t="n">
        <v>43837</v>
      </c>
      <c r="C255" s="1" t="n">
        <v>45877</v>
      </c>
      <c r="D255" t="inlineStr">
        <is>
          <t>VÄRMLANDS LÄN</t>
        </is>
      </c>
      <c r="E255" t="inlineStr">
        <is>
          <t>ARVIKA</t>
        </is>
      </c>
      <c r="F255" t="inlineStr">
        <is>
          <t>Övriga Aktiebolag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351-2020</t>
        </is>
      </c>
      <c r="B256" s="1" t="n">
        <v>43837</v>
      </c>
      <c r="C256" s="1" t="n">
        <v>45877</v>
      </c>
      <c r="D256" t="inlineStr">
        <is>
          <t>VÄRMLANDS LÄN</t>
        </is>
      </c>
      <c r="E256" t="inlineStr">
        <is>
          <t>ARVIKA</t>
        </is>
      </c>
      <c r="F256" t="inlineStr">
        <is>
          <t>Kommuner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1795-2020</t>
        </is>
      </c>
      <c r="B257" s="1" t="n">
        <v>43837</v>
      </c>
      <c r="C257" s="1" t="n">
        <v>45877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1791-2020</t>
        </is>
      </c>
      <c r="B258" s="1" t="n">
        <v>43837</v>
      </c>
      <c r="C258" s="1" t="n">
        <v>45877</v>
      </c>
      <c r="D258" t="inlineStr">
        <is>
          <t>VÄRMLANDS LÄN</t>
        </is>
      </c>
      <c r="E258" t="inlineStr">
        <is>
          <t>ARVIKA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858-2020</t>
        </is>
      </c>
      <c r="B259" s="1" t="n">
        <v>43839</v>
      </c>
      <c r="C259" s="1" t="n">
        <v>45877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996-2020</t>
        </is>
      </c>
      <c r="B260" s="1" t="n">
        <v>43839</v>
      </c>
      <c r="C260" s="1" t="n">
        <v>45877</v>
      </c>
      <c r="D260" t="inlineStr">
        <is>
          <t>VÄRMLANDS LÄN</t>
        </is>
      </c>
      <c r="E260" t="inlineStr">
        <is>
          <t>ARVIKA</t>
        </is>
      </c>
      <c r="F260" t="inlineStr">
        <is>
          <t>Övriga Aktiebolag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854-2020</t>
        </is>
      </c>
      <c r="B261" s="1" t="n">
        <v>43839</v>
      </c>
      <c r="C261" s="1" t="n">
        <v>45877</v>
      </c>
      <c r="D261" t="inlineStr">
        <is>
          <t>VÄRMLANDS LÄN</t>
        </is>
      </c>
      <c r="E261" t="inlineStr">
        <is>
          <t>ARVIKA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2513-2020</t>
        </is>
      </c>
      <c r="B262" s="1" t="n">
        <v>43843</v>
      </c>
      <c r="C262" s="1" t="n">
        <v>45877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2706-2020</t>
        </is>
      </c>
      <c r="B263" s="1" t="n">
        <v>43843</v>
      </c>
      <c r="C263" s="1" t="n">
        <v>45877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2709-2020</t>
        </is>
      </c>
      <c r="B264" s="1" t="n">
        <v>43843</v>
      </c>
      <c r="C264" s="1" t="n">
        <v>45877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2771-2020</t>
        </is>
      </c>
      <c r="B265" s="1" t="n">
        <v>43843</v>
      </c>
      <c r="C265" s="1" t="n">
        <v>45877</v>
      </c>
      <c r="D265" t="inlineStr">
        <is>
          <t>VÄRMLANDS LÄN</t>
        </is>
      </c>
      <c r="E265" t="inlineStr">
        <is>
          <t>ARVIKA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2075-2020</t>
        </is>
      </c>
      <c r="B266" s="1" t="n">
        <v>43845</v>
      </c>
      <c r="C266" s="1" t="n">
        <v>45877</v>
      </c>
      <c r="D266" t="inlineStr">
        <is>
          <t>VÄRMLANDS LÄN</t>
        </is>
      </c>
      <c r="E266" t="inlineStr">
        <is>
          <t>ARVIKA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3903-2020</t>
        </is>
      </c>
      <c r="B267" s="1" t="n">
        <v>43846</v>
      </c>
      <c r="C267" s="1" t="n">
        <v>45877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2624-2020</t>
        </is>
      </c>
      <c r="B268" s="1" t="n">
        <v>43847</v>
      </c>
      <c r="C268" s="1" t="n">
        <v>45877</v>
      </c>
      <c r="D268" t="inlineStr">
        <is>
          <t>VÄRMLANDS LÄN</t>
        </is>
      </c>
      <c r="E268" t="inlineStr">
        <is>
          <t>ARVIKA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3420-2020</t>
        </is>
      </c>
      <c r="B269" s="1" t="n">
        <v>43852</v>
      </c>
      <c r="C269" s="1" t="n">
        <v>45877</v>
      </c>
      <c r="D269" t="inlineStr">
        <is>
          <t>VÄRMLANDS LÄN</t>
        </is>
      </c>
      <c r="E269" t="inlineStr">
        <is>
          <t>ARVIKA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3927-2020</t>
        </is>
      </c>
      <c r="B270" s="1" t="n">
        <v>43854</v>
      </c>
      <c r="C270" s="1" t="n">
        <v>45877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5359-2020</t>
        </is>
      </c>
      <c r="B271" s="1" t="n">
        <v>43857</v>
      </c>
      <c r="C271" s="1" t="n">
        <v>45877</v>
      </c>
      <c r="D271" t="inlineStr">
        <is>
          <t>VÄRMLANDS LÄN</t>
        </is>
      </c>
      <c r="E271" t="inlineStr">
        <is>
          <t>ARVIKA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5602-2020</t>
        </is>
      </c>
      <c r="B272" s="1" t="n">
        <v>43861</v>
      </c>
      <c r="C272" s="1" t="n">
        <v>45877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6169-2020</t>
        </is>
      </c>
      <c r="B273" s="1" t="n">
        <v>43865</v>
      </c>
      <c r="C273" s="1" t="n">
        <v>45877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6770-2020</t>
        </is>
      </c>
      <c r="B274" s="1" t="n">
        <v>43867</v>
      </c>
      <c r="C274" s="1" t="n">
        <v>45877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6696-2020</t>
        </is>
      </c>
      <c r="B275" s="1" t="n">
        <v>43867</v>
      </c>
      <c r="C275" s="1" t="n">
        <v>45877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7936-2020</t>
        </is>
      </c>
      <c r="B276" s="1" t="n">
        <v>43873</v>
      </c>
      <c r="C276" s="1" t="n">
        <v>45877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8342-2020</t>
        </is>
      </c>
      <c r="B277" s="1" t="n">
        <v>43874</v>
      </c>
      <c r="C277" s="1" t="n">
        <v>45877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10424-2020</t>
        </is>
      </c>
      <c r="B278" s="1" t="n">
        <v>43886</v>
      </c>
      <c r="C278" s="1" t="n">
        <v>45877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11170-2020</t>
        </is>
      </c>
      <c r="B279" s="1" t="n">
        <v>43891</v>
      </c>
      <c r="C279" s="1" t="n">
        <v>45877</v>
      </c>
      <c r="D279" t="inlineStr">
        <is>
          <t>VÄRMLANDS LÄN</t>
        </is>
      </c>
      <c r="E279" t="inlineStr">
        <is>
          <t>ARVIKA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11313-2020</t>
        </is>
      </c>
      <c r="B280" s="1" t="n">
        <v>43892</v>
      </c>
      <c r="C280" s="1" t="n">
        <v>45877</v>
      </c>
      <c r="D280" t="inlineStr">
        <is>
          <t>VÄRMLANDS LÄN</t>
        </is>
      </c>
      <c r="E280" t="inlineStr">
        <is>
          <t>ARVIKA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11660-2020</t>
        </is>
      </c>
      <c r="B281" s="1" t="n">
        <v>43893</v>
      </c>
      <c r="C281" s="1" t="n">
        <v>45877</v>
      </c>
      <c r="D281" t="inlineStr">
        <is>
          <t>VÄRMLANDS LÄN</t>
        </is>
      </c>
      <c r="E281" t="inlineStr">
        <is>
          <t>ARVIKA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12210-2020</t>
        </is>
      </c>
      <c r="B282" s="1" t="n">
        <v>43895</v>
      </c>
      <c r="C282" s="1" t="n">
        <v>45877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12399-2020</t>
        </is>
      </c>
      <c r="B283" s="1" t="n">
        <v>43896</v>
      </c>
      <c r="C283" s="1" t="n">
        <v>45877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12506-2020</t>
        </is>
      </c>
      <c r="B284" s="1" t="n">
        <v>43896</v>
      </c>
      <c r="C284" s="1" t="n">
        <v>45877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12559-2020</t>
        </is>
      </c>
      <c r="B285" s="1" t="n">
        <v>43898</v>
      </c>
      <c r="C285" s="1" t="n">
        <v>45877</v>
      </c>
      <c r="D285" t="inlineStr">
        <is>
          <t>VÄRMLANDS LÄN</t>
        </is>
      </c>
      <c r="E285" t="inlineStr">
        <is>
          <t>ARVIKA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12995-2020</t>
        </is>
      </c>
      <c r="B286" s="1" t="n">
        <v>43900</v>
      </c>
      <c r="C286" s="1" t="n">
        <v>45877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13060-2020</t>
        </is>
      </c>
      <c r="B287" s="1" t="n">
        <v>43900</v>
      </c>
      <c r="C287" s="1" t="n">
        <v>45877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13459-2020</t>
        </is>
      </c>
      <c r="B288" s="1" t="n">
        <v>43902</v>
      </c>
      <c r="C288" s="1" t="n">
        <v>45877</v>
      </c>
      <c r="D288" t="inlineStr">
        <is>
          <t>VÄRMLANDS LÄN</t>
        </is>
      </c>
      <c r="E288" t="inlineStr">
        <is>
          <t>ARVIKA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13623-2020</t>
        </is>
      </c>
      <c r="B289" s="1" t="n">
        <v>43903</v>
      </c>
      <c r="C289" s="1" t="n">
        <v>45877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13615-2020</t>
        </is>
      </c>
      <c r="B290" s="1" t="n">
        <v>43903</v>
      </c>
      <c r="C290" s="1" t="n">
        <v>45877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13828-2020</t>
        </is>
      </c>
      <c r="B291" s="1" t="n">
        <v>43905</v>
      </c>
      <c r="C291" s="1" t="n">
        <v>45877</v>
      </c>
      <c r="D291" t="inlineStr">
        <is>
          <t>VÄRMLANDS LÄN</t>
        </is>
      </c>
      <c r="E291" t="inlineStr">
        <is>
          <t>ARVIKA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14052-2020</t>
        </is>
      </c>
      <c r="B292" s="1" t="n">
        <v>43906</v>
      </c>
      <c r="C292" s="1" t="n">
        <v>45877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14445-2020</t>
        </is>
      </c>
      <c r="B293" s="1" t="n">
        <v>43908</v>
      </c>
      <c r="C293" s="1" t="n">
        <v>45877</v>
      </c>
      <c r="D293" t="inlineStr">
        <is>
          <t>VÄRMLANDS LÄN</t>
        </is>
      </c>
      <c r="E293" t="inlineStr">
        <is>
          <t>ARVIKA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14353-2020</t>
        </is>
      </c>
      <c r="B294" s="1" t="n">
        <v>43908</v>
      </c>
      <c r="C294" s="1" t="n">
        <v>45877</v>
      </c>
      <c r="D294" t="inlineStr">
        <is>
          <t>VÄRMLANDS LÄN</t>
        </is>
      </c>
      <c r="E294" t="inlineStr">
        <is>
          <t>ARVIKA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14661-2020</t>
        </is>
      </c>
      <c r="B295" s="1" t="n">
        <v>43909</v>
      </c>
      <c r="C295" s="1" t="n">
        <v>45877</v>
      </c>
      <c r="D295" t="inlineStr">
        <is>
          <t>VÄRMLANDS LÄN</t>
        </is>
      </c>
      <c r="E295" t="inlineStr">
        <is>
          <t>ARVIKA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14606-2020</t>
        </is>
      </c>
      <c r="B296" s="1" t="n">
        <v>43909</v>
      </c>
      <c r="C296" s="1" t="n">
        <v>45877</v>
      </c>
      <c r="D296" t="inlineStr">
        <is>
          <t>VÄRMLANDS LÄN</t>
        </is>
      </c>
      <c r="E296" t="inlineStr">
        <is>
          <t>ARVIKA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15022-2020</t>
        </is>
      </c>
      <c r="B297" s="1" t="n">
        <v>43910</v>
      </c>
      <c r="C297" s="1" t="n">
        <v>45877</v>
      </c>
      <c r="D297" t="inlineStr">
        <is>
          <t>VÄRMLANDS LÄN</t>
        </is>
      </c>
      <c r="E297" t="inlineStr">
        <is>
          <t>ARVIKA</t>
        </is>
      </c>
      <c r="G297" t="n">
        <v>29.3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15256-2020</t>
        </is>
      </c>
      <c r="B298" s="1" t="n">
        <v>43913</v>
      </c>
      <c r="C298" s="1" t="n">
        <v>45877</v>
      </c>
      <c r="D298" t="inlineStr">
        <is>
          <t>VÄRMLANDS LÄN</t>
        </is>
      </c>
      <c r="E298" t="inlineStr">
        <is>
          <t>ARVIKA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15259-2020</t>
        </is>
      </c>
      <c r="B299" s="1" t="n">
        <v>43913</v>
      </c>
      <c r="C299" s="1" t="n">
        <v>45877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15339-2020</t>
        </is>
      </c>
      <c r="B300" s="1" t="n">
        <v>43913</v>
      </c>
      <c r="C300" s="1" t="n">
        <v>45877</v>
      </c>
      <c r="D300" t="inlineStr">
        <is>
          <t>VÄRMLANDS LÄN</t>
        </is>
      </c>
      <c r="E300" t="inlineStr">
        <is>
          <t>ARVIKA</t>
        </is>
      </c>
      <c r="G300" t="n">
        <v>21.4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15627-2020</t>
        </is>
      </c>
      <c r="B301" s="1" t="n">
        <v>43914</v>
      </c>
      <c r="C301" s="1" t="n">
        <v>45877</v>
      </c>
      <c r="D301" t="inlineStr">
        <is>
          <t>VÄRMLANDS LÄN</t>
        </is>
      </c>
      <c r="E301" t="inlineStr">
        <is>
          <t>ARVIKA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15657-2020</t>
        </is>
      </c>
      <c r="B302" s="1" t="n">
        <v>43915</v>
      </c>
      <c r="C302" s="1" t="n">
        <v>45877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15853-2020</t>
        </is>
      </c>
      <c r="B303" s="1" t="n">
        <v>43915</v>
      </c>
      <c r="C303" s="1" t="n">
        <v>45877</v>
      </c>
      <c r="D303" t="inlineStr">
        <is>
          <t>VÄRMLANDS LÄN</t>
        </is>
      </c>
      <c r="E303" t="inlineStr">
        <is>
          <t>ARVIKA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16030-2020</t>
        </is>
      </c>
      <c r="B304" s="1" t="n">
        <v>43916</v>
      </c>
      <c r="C304" s="1" t="n">
        <v>45877</v>
      </c>
      <c r="D304" t="inlineStr">
        <is>
          <t>VÄRMLANDS LÄN</t>
        </is>
      </c>
      <c r="E304" t="inlineStr">
        <is>
          <t>ARVIKA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16035-2020</t>
        </is>
      </c>
      <c r="B305" s="1" t="n">
        <v>43916</v>
      </c>
      <c r="C305" s="1" t="n">
        <v>45877</v>
      </c>
      <c r="D305" t="inlineStr">
        <is>
          <t>VÄRMLANDS LÄN</t>
        </is>
      </c>
      <c r="E305" t="inlineStr">
        <is>
          <t>ARVIKA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16064-2020</t>
        </is>
      </c>
      <c r="B306" s="1" t="n">
        <v>43916</v>
      </c>
      <c r="C306" s="1" t="n">
        <v>45877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16329-2020</t>
        </is>
      </c>
      <c r="B307" s="1" t="n">
        <v>43917</v>
      </c>
      <c r="C307" s="1" t="n">
        <v>45877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17036-2020</t>
        </is>
      </c>
      <c r="B308" s="1" t="n">
        <v>43921</v>
      </c>
      <c r="C308" s="1" t="n">
        <v>45877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17732-2020</t>
        </is>
      </c>
      <c r="B309" s="1" t="n">
        <v>43924</v>
      </c>
      <c r="C309" s="1" t="n">
        <v>45877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17970-2020</t>
        </is>
      </c>
      <c r="B310" s="1" t="n">
        <v>43925</v>
      </c>
      <c r="C310" s="1" t="n">
        <v>45877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19519-2020</t>
        </is>
      </c>
      <c r="B311" s="1" t="n">
        <v>43939</v>
      </c>
      <c r="C311" s="1" t="n">
        <v>45877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20235-2020</t>
        </is>
      </c>
      <c r="B312" s="1" t="n">
        <v>43944</v>
      </c>
      <c r="C312" s="1" t="n">
        <v>45877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20564-2020</t>
        </is>
      </c>
      <c r="B313" s="1" t="n">
        <v>43948</v>
      </c>
      <c r="C313" s="1" t="n">
        <v>45877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20798-2020</t>
        </is>
      </c>
      <c r="B314" s="1" t="n">
        <v>43949</v>
      </c>
      <c r="C314" s="1" t="n">
        <v>45877</v>
      </c>
      <c r="D314" t="inlineStr">
        <is>
          <t>VÄRMLANDS LÄN</t>
        </is>
      </c>
      <c r="E314" t="inlineStr">
        <is>
          <t>ARVIKA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20898-2020</t>
        </is>
      </c>
      <c r="B315" s="1" t="n">
        <v>43950</v>
      </c>
      <c r="C315" s="1" t="n">
        <v>45877</v>
      </c>
      <c r="D315" t="inlineStr">
        <is>
          <t>VÄRMLANDS LÄN</t>
        </is>
      </c>
      <c r="E315" t="inlineStr">
        <is>
          <t>ARVIKA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23165-2020</t>
        </is>
      </c>
      <c r="B316" s="1" t="n">
        <v>43966</v>
      </c>
      <c r="C316" s="1" t="n">
        <v>45877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23362-2020</t>
        </is>
      </c>
      <c r="B317" s="1" t="n">
        <v>43967</v>
      </c>
      <c r="C317" s="1" t="n">
        <v>45877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24165-2020</t>
        </is>
      </c>
      <c r="B318" s="1" t="n">
        <v>43975</v>
      </c>
      <c r="C318" s="1" t="n">
        <v>45877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25237-2020</t>
        </is>
      </c>
      <c r="B319" s="1" t="n">
        <v>43979</v>
      </c>
      <c r="C319" s="1" t="n">
        <v>45877</v>
      </c>
      <c r="D319" t="inlineStr">
        <is>
          <t>VÄRMLANDS LÄN</t>
        </is>
      </c>
      <c r="E319" t="inlineStr">
        <is>
          <t>ARVIKA</t>
        </is>
      </c>
      <c r="G319" t="n">
        <v>26.4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25211-2020</t>
        </is>
      </c>
      <c r="B320" s="1" t="n">
        <v>43980</v>
      </c>
      <c r="C320" s="1" t="n">
        <v>45877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25977-2020</t>
        </is>
      </c>
      <c r="B321" s="1" t="n">
        <v>43985</v>
      </c>
      <c r="C321" s="1" t="n">
        <v>45877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25953-2020</t>
        </is>
      </c>
      <c r="B322" s="1" t="n">
        <v>43985</v>
      </c>
      <c r="C322" s="1" t="n">
        <v>45877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26547-2020</t>
        </is>
      </c>
      <c r="B323" s="1" t="n">
        <v>43987</v>
      </c>
      <c r="C323" s="1" t="n">
        <v>45877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27474-2020</t>
        </is>
      </c>
      <c r="B324" s="1" t="n">
        <v>43993</v>
      </c>
      <c r="C324" s="1" t="n">
        <v>45877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27756-2020</t>
        </is>
      </c>
      <c r="B325" s="1" t="n">
        <v>43994</v>
      </c>
      <c r="C325" s="1" t="n">
        <v>45877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28594-2020</t>
        </is>
      </c>
      <c r="B326" s="1" t="n">
        <v>43999</v>
      </c>
      <c r="C326" s="1" t="n">
        <v>45877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29418-2020</t>
        </is>
      </c>
      <c r="B327" s="1" t="n">
        <v>44004</v>
      </c>
      <c r="C327" s="1" t="n">
        <v>45877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29424-2020</t>
        </is>
      </c>
      <c r="B328" s="1" t="n">
        <v>44004</v>
      </c>
      <c r="C328" s="1" t="n">
        <v>45877</v>
      </c>
      <c r="D328" t="inlineStr">
        <is>
          <t>VÄRMLANDS LÄN</t>
        </is>
      </c>
      <c r="E328" t="inlineStr">
        <is>
          <t>ARVIKA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30684-2020</t>
        </is>
      </c>
      <c r="B329" s="1" t="n">
        <v>44008</v>
      </c>
      <c r="C329" s="1" t="n">
        <v>45877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30690-2020</t>
        </is>
      </c>
      <c r="B330" s="1" t="n">
        <v>44008</v>
      </c>
      <c r="C330" s="1" t="n">
        <v>45877</v>
      </c>
      <c r="D330" t="inlineStr">
        <is>
          <t>VÄRMLANDS LÄN</t>
        </is>
      </c>
      <c r="E330" t="inlineStr">
        <is>
          <t>ARVIKA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31135-2020</t>
        </is>
      </c>
      <c r="B331" s="1" t="n">
        <v>44012</v>
      </c>
      <c r="C331" s="1" t="n">
        <v>45877</v>
      </c>
      <c r="D331" t="inlineStr">
        <is>
          <t>VÄRMLANDS LÄN</t>
        </is>
      </c>
      <c r="E331" t="inlineStr">
        <is>
          <t>ARVIKA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31689-2020</t>
        </is>
      </c>
      <c r="B332" s="1" t="n">
        <v>44014</v>
      </c>
      <c r="C332" s="1" t="n">
        <v>45877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32354-2020</t>
        </is>
      </c>
      <c r="B333" s="1" t="n">
        <v>44017</v>
      </c>
      <c r="C333" s="1" t="n">
        <v>45877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32570-2020</t>
        </is>
      </c>
      <c r="B334" s="1" t="n">
        <v>44018</v>
      </c>
      <c r="C334" s="1" t="n">
        <v>45877</v>
      </c>
      <c r="D334" t="inlineStr">
        <is>
          <t>VÄRMLANDS LÄN</t>
        </is>
      </c>
      <c r="E334" t="inlineStr">
        <is>
          <t>ARVIKA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32600-2020</t>
        </is>
      </c>
      <c r="B335" s="1" t="n">
        <v>44019</v>
      </c>
      <c r="C335" s="1" t="n">
        <v>45877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34053-2020</t>
        </is>
      </c>
      <c r="B336" s="1" t="n">
        <v>44026</v>
      </c>
      <c r="C336" s="1" t="n">
        <v>45877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34035-2020</t>
        </is>
      </c>
      <c r="B337" s="1" t="n">
        <v>44026</v>
      </c>
      <c r="C337" s="1" t="n">
        <v>45877</v>
      </c>
      <c r="D337" t="inlineStr">
        <is>
          <t>VÄRMLANDS LÄN</t>
        </is>
      </c>
      <c r="E337" t="inlineStr">
        <is>
          <t>ARVIKA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34044-2020</t>
        </is>
      </c>
      <c r="B338" s="1" t="n">
        <v>44026</v>
      </c>
      <c r="C338" s="1" t="n">
        <v>45877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34296-2020</t>
        </is>
      </c>
      <c r="B339" s="1" t="n">
        <v>44030</v>
      </c>
      <c r="C339" s="1" t="n">
        <v>45877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34297-2020</t>
        </is>
      </c>
      <c r="B340" s="1" t="n">
        <v>44030</v>
      </c>
      <c r="C340" s="1" t="n">
        <v>45877</v>
      </c>
      <c r="D340" t="inlineStr">
        <is>
          <t>VÄRMLANDS LÄN</t>
        </is>
      </c>
      <c r="E340" t="inlineStr">
        <is>
          <t>ARVIKA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34534-2020</t>
        </is>
      </c>
      <c r="B341" s="1" t="n">
        <v>44031</v>
      </c>
      <c r="C341" s="1" t="n">
        <v>45877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45877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45877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45877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45877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45877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45877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45877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45877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45877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45877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45877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45877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45877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45877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45877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45877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45877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45877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45877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45877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45877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45877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45877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45877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45877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45877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45877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45877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45877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45877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45877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45877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45877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45877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45877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45877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45877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45877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45877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45877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45877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45877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45877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45877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45877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45877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45877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45877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45877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45877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45877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45877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45877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45877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45877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45877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45877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45877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45877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45877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45877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45877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45877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45877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45877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45877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45877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45877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45877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45877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45877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45877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45877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45877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45877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45877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45877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45877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45877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45877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45877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45877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45877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45877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45877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45877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45877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45877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45877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45877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45877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45877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45877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45877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45877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45877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45877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45877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45877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45877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45877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45877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45877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45877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45877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45877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45877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45877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45877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45877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45877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45877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45877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45877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45877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45877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45877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45877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45877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45877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45877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45877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45877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45877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45877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45877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45877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45877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45877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45877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45877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45877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45877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45877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45877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45877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45877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45877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45877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45877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45877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45877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45877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45877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45877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45877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45877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45877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45877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45877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45877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45877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45877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45877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45877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45877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45877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45877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45877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45877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45877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45877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45877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45877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45877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45877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45877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45877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45877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45877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45877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45877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45877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45877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45877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45877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45877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45877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45877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45877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45877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45877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45877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45877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45877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45877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45877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45877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45877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45877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45877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45877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45877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45877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45877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45877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45877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45877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45877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45877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45877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45877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45877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45877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45877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45877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45877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45877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45877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45877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45877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45877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45877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45877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45877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45877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45877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45877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45877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45877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45877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45877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45877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45877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45877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45877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45877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45877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45877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45877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45877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45877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45877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45877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45877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45877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45877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45877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45877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45877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45877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45877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45877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45877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45877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45877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45877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45877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45877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45877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45877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45877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45877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45877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45877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45877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45877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45877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45877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45877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45877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45877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45877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45877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45877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45877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45877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45877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45877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45877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45877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45877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45877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45877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45877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45877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45877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45877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45877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45877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45877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45877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45877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45877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45877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45877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45877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45877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45877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45877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45877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45877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45877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45877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45877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45877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45877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45877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45877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45877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45877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45877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45877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45877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45877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45877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45877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45877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45877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45877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45877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45877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45877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45877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45877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45877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45877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45877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45877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45877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45877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45877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45877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45877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45877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45877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45877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45877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45877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45877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45877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45877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45877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45877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45877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45877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45877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45877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45877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45877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45877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45877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45877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45877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45877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45877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45877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45877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45877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45877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45877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45877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45877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45877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45877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45877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45877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45877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45877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45877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45877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45877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45877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45877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45877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45877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45877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45877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45877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45877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45877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45877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45877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45877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45877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45877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45877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45877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45877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45877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45877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45877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45877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45877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45877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45877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45877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45877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45877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45877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45877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45877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45877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45877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45877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45877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45877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45877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45877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45877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45877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45877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45877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45877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45877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45877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45877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45877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45877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45877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45877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45877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45877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45877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45877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45877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45877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45877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45877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45877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45877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45877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45877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45877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45877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45877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45877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45877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45877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45877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45877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45877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45877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45877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45877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45877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45877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45877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45877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45877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45877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45877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45877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45877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45877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45877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45877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45877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45877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45877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45877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45877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45877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45877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45877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45877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45877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45877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45877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45877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45877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45877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45877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45877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45877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45877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45877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45877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45877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45877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45877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45877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45877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45877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45877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45877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45877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45877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45877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45877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45877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45877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45877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45877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45877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45877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45877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45877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45877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45877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45877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45877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45877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45877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45877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45877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45877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45877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45877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45877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45877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45877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45877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45877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45877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45877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45877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45877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45877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45877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45877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45877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45877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45877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45877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45877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45877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45877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45877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45877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45877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45877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45877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45877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45877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45877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45877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45877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45877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45877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45877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45877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45877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45877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45877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45877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45877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45877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45877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45877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45877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45877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45877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45877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45877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45877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45877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45877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45877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45877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45877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45877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45877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45877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45877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45877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45877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45877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45877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45877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45877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45877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45877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45877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45877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45877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45877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45877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45877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45877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45877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45877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45877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45877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45877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45877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45877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45877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45877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45877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45877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45877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45877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45877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45877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45877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45877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45877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45877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45877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45877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45877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45877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45877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45877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45877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45877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45877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45877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45877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45877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45877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45877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45877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45877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45877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45877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45877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45877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45877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45877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45877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45877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45877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45877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45877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45877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45877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45877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45877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45877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45877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45877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45877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45877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45877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45877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45877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45877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45877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45877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45877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45877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45877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45877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45877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45877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45877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45877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45877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45877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45877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45877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45877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45877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45877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45877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45877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45877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45877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45877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45877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45877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45877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45877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45877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45877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45877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45877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45877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45877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45877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45877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45877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45877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45877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45877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45877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45877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45877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45877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45877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45877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45877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45877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45877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45877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45877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45877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45877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45877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45877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45877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45877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45877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45877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45877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45877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45877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45877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45877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45877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45877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45877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45877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45877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45877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45877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45877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45877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45877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45877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45877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45877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45877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45877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45877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45877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45877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45877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45877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45877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45877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45877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45877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45877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45877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45877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45877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45877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45877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45877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45877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45877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45877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45877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45877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45877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45877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45877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45877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45877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45877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45877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45877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45877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45877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45877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45877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45877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45877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45877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45877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45877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45877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45877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45877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45877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45877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45877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45877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45877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45877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45877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45877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45877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45877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45877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45877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45877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45877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45877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45877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45877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45877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45877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45877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45877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45877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45877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45877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45877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45877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45877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45877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45877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45877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45877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45877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45877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45877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45877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45877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45877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45877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45877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45877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45877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45877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45877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45877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45877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45877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45877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45877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45877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45877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45877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45877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45877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45877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45877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45877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45877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45877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45877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45877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45877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45877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45877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45877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45877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45877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45877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45877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45877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45877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45877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45877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45877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45877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45877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45877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45877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45877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45877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45877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45877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45877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45877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45877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45877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45877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45877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45877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45877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45877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45877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45877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45877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45877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45877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45877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45877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45877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45877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45877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45877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45877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45877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45877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45877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45877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45877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45877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45877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45877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45877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45877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45877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45877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45877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45877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45877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45877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45877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45877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45877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45877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45877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45877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45877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45877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45877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45877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45877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45877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45877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45877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45877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45877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45877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45877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45877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45877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45877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45877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45877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45877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45877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45877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45877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45877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45877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45877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45877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45877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45877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45877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45877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45877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45877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45877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45877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45877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45877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45877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45877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45877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45877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45877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45877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45877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45877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45877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45877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45877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45877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45877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45877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45877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45877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45877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45877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45877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45877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45877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45877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45877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45877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45877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45877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45877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45877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45877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45877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45877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45877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45877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45877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45877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45877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45877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45877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45877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45877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45877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45877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45877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45877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45877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45877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45877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45877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45877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45877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45877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45877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45877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45877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45877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45877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45877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45877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45877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45877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45877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45877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45877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45877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45877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45877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45877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45877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45877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45877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45877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45877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45877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45877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45877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45877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45877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45877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45877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45877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45877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45877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45877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45877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45877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45877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45877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45877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45877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45877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45877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45877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45877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45877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45877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45877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45877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45877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45877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45877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45877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45877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45877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45877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45877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45877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45877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45877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45877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45877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45877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45877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45877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45877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45877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45877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45877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45877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45877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45877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45877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45877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45877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45877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45877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45877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45877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45877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45877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45877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45877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45877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45877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45877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45877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45877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45877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45877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45877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45877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45877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45877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45877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45877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45877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45877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45877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45877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45877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45877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45877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45877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45877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45877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45877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45877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45877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45877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45877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45877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45877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45877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45877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45877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45877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45877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45877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45877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45877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45877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45877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45877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45877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45877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45877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45877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45877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45877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45877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45877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45877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45877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45877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45877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45877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45877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45877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45877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45877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45877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45877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45877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45877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45877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45877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45877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45877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45877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45877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45877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45877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45877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45877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45877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45877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45877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45877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45877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45877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45877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45877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45877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45877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45877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45877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45877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45877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45877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45877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45877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45877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45877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45877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45877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45877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45877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45877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45877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45877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45877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45877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45877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45877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45877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45877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45877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45877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45877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45877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45877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45877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45877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45877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45877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45877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45877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45877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45877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45877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45877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45877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45877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45877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45877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45877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45877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45877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45877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45877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45877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45877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45877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45877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45877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45877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45877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45877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45877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45877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45877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45877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45877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45877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45877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45877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45877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45877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45877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45877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45877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45877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45877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45877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45877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45877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45877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45877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45877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45877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45877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45877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45877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45877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45877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45877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45877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45877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45877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45877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45877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45877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45877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45877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45877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45877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45877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45877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45877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45877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45877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45877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45877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45877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45877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45877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45877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45877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45877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45877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45877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45877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45877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45877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45877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45877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45877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45877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45877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45877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45877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45877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45877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45877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45877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45877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45877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45877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45877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45877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45877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45877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45877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45877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45877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45877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45877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45877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45877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45877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45877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45877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45877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45877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45877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45877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45877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45877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45877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45877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45877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45877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45877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45877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45877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45877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45877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45877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45877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45877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45877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45877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45877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45877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45877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45877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45877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45877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45877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45877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45877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45877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45877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45877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45877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45877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45877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45877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45877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45877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45877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45877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45877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45877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45877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45877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45877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45877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45877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45877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45877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45877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45877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45877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45877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45877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45877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45877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45877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45877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45877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45877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45877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45877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45877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45877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45877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45877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45877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45877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45877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45877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45877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45877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45877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45877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45877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45877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45877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45877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45877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45877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45877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45877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45877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45877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45877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45877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45877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45877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45877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45877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45877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45877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45877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45877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45877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45877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45877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45877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45877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45877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45877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45877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45877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45877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45877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45877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45877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45877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45877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45877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45877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45877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45877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45877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45877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45877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45877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45877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45877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45877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45877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45877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45877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45877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45877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45877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45877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45877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45877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45877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45877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45877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45877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45877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45877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45877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45877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45877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45877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45877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45877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45877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45877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45877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45877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45877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45877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45877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45877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45877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45877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45877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45877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45877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45877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45877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45877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45877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45877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45877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45877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45877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45877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45877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45877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45877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45877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45877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45877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45877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45877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45877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45877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45877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45877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45877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45877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45877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45877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45877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45877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45877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45877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45877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45877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45877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45877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45877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45877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45877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45877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45877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45877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45877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45877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45877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45877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45877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45877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45877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45877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45877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45877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45877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45877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45877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45877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45877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45877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45877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45877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45877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45877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45877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45877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45877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45877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45877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45877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45877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45877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45877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45877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45877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45877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45877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45877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45877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45877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45877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45877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45877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45877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45877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45877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45877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45877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45877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45877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45877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45877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45877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45877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45877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45877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45877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45877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45877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45877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45877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45877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45877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45877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45877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45877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45877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45877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45877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45877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45877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45877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45877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45877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45877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45877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45877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45877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45877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45877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45877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45877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45877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45877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45877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45877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45877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45877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45877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45877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45877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45877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45877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45877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45877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45877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45877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45877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45877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45877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45877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45877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45877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45877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45877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45877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45877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45877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45877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45877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45877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45877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45877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45877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45877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45877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45877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45877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45877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45877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45877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45877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45877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45877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45877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45877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45877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45877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45877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45877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45877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45877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45877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45877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45877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45877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45877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45877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45877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45877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45877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45877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45877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45877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45877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45877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45877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45877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45877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45877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45877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45877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45877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45877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45877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45877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45877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45877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45877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45877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45877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45877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45877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45877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45877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45877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45877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45877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45877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45877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45877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45877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45877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45877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45877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45877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45877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45877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45877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45877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45877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45877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45877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45877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45877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45877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45877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45877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45877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45877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45877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45877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45877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45877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45877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45877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45877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45877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45877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45877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45877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45877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45877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45877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45877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45877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45877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45877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45877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45877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45877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45877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45877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45877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45877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45877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45877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45877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45877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45877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45877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45877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45877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45877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45877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45877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45877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45877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45877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45877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45877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45877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45877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45877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45877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45877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45877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45877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45877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45877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45877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45877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45877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45877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45877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45877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45877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45877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45877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45877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45877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45877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45877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45877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45877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45877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45877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45877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45877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45877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45877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45877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45877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45877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45877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45877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45877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45877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45877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45877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45877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45877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45877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45877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45877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45877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45877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45877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45877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45877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45877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45877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45877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45877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45877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45877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45877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45877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45877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45877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45877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45877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45877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45877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45877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45877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45877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45877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45877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45877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45877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45877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45877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45877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45877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45877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45877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45877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45877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45877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45877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45877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45877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45877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45877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45877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45877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45877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45877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45877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45877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45877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45877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45877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45877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45877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45877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45877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45877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45877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45877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45877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45877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45877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45877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45877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45877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45877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45877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45877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45877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45877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45877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45877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45877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45877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45877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45877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45877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45877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45877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45877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45877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45877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45877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45877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45877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45877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45877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45877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45877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45877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45877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45877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45877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45877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45877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45877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45877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45877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45877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45877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45877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45877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45877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45877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45877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45877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45877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45877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45877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45877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45877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45877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45877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45877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45877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45877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45877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45877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45877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45877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45877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45877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45877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45877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45877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45877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45877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45877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45877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45877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45877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45877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45877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45877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45877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45877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45877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45877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45877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45877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45877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45877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45877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45877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45877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45877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45877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45877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45877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45877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45877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45877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45877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45877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45877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45877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45877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45877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45877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45877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45877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45877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45877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45877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45877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45877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45877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45877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45877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45877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45877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45877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45877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45877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45877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45877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45877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45877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45877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45877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45877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45877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45877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45877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45877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45877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45877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45877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45877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45877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45877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45877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45877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45877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45877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45877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45877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45877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45877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45877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45877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45877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45877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45877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45877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45877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45877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45877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45877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45877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45877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45877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45877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45877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45877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45877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45877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45877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45877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45877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45877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45877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45877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45877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45877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45877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45877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45877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45877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45877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45877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45877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45877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45877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45877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45877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45877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45877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45877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45877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45877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45877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45877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45877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45877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45877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45877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45877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45877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45877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45877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45877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45877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45877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45877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45877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45877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45877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45877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45877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45877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45877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45877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45877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45877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45877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45877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45877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45877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45877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45877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45877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45877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45877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45877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45877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45877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45877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45877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45877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45877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45877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45877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45877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45877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45877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45877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45877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45877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45877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45877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45877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45877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45877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45877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45877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45877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45877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45877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45877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45877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45877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45877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45877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45877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45877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45877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45877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45877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45877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45877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45877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45877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45877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45877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45877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45877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45877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45877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45877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45877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45877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45877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45877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45877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45877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45877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45877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45877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45877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45877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45877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45877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45877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45877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45877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45877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45877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45877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45877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45877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45877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45877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45877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45877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45877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45877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45877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45877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45877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45877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45877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45877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45877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45877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45877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45877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45877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45877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45877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45877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45877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45877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45877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45877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45877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45877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45877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45877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45877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45877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45877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45877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45877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45877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45877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45877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45877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45877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45877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45877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45877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45877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45877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45877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45877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45877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45877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45877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45877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45877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45877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45877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45877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45877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45877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45877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45877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45877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45877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45877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45877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45877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45877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45877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45877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45877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45877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45877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45877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45877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45877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45877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45877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45877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45877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45877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45877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45877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45877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45877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45877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45877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45877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45877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45877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45877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45877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45877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45877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45877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45877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45877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45877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45877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45877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45877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45877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45877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28964-2025</t>
        </is>
      </c>
      <c r="B2499" s="1" t="n">
        <v>45821</v>
      </c>
      <c r="C2499" s="1" t="n">
        <v>45877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45877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45877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45877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45877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29610-2025</t>
        </is>
      </c>
      <c r="B2504" s="1" t="n">
        <v>45825</v>
      </c>
      <c r="C2504" s="1" t="n">
        <v>45877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29600-2025</t>
        </is>
      </c>
      <c r="B2505" s="1" t="n">
        <v>45825</v>
      </c>
      <c r="C2505" s="1" t="n">
        <v>45877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45877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45877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30003-2025</t>
        </is>
      </c>
      <c r="B2508" s="1" t="n">
        <v>45826</v>
      </c>
      <c r="C2508" s="1" t="n">
        <v>45877</v>
      </c>
      <c r="D2508" t="inlineStr">
        <is>
          <t>VÄRMLANDS LÄN</t>
        </is>
      </c>
      <c r="E2508" t="inlineStr">
        <is>
          <t>ARVIKA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30116-2025</t>
        </is>
      </c>
      <c r="B2509" s="1" t="n">
        <v>45826</v>
      </c>
      <c r="C2509" s="1" t="n">
        <v>45877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45877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30796-2025</t>
        </is>
      </c>
      <c r="B2511" s="1" t="n">
        <v>45831</v>
      </c>
      <c r="C2511" s="1" t="n">
        <v>45877</v>
      </c>
      <c r="D2511" t="inlineStr">
        <is>
          <t>VÄRMLANDS LÄN</t>
        </is>
      </c>
      <c r="E2511" t="inlineStr">
        <is>
          <t>ARVIKA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30777-2025</t>
        </is>
      </c>
      <c r="B2512" s="1" t="n">
        <v>45831</v>
      </c>
      <c r="C2512" s="1" t="n">
        <v>45877</v>
      </c>
      <c r="D2512" t="inlineStr">
        <is>
          <t>VÄRMLANDS LÄN</t>
        </is>
      </c>
      <c r="E2512" t="inlineStr">
        <is>
          <t>ARVIKA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30782-2025</t>
        </is>
      </c>
      <c r="B2513" s="1" t="n">
        <v>45831</v>
      </c>
      <c r="C2513" s="1" t="n">
        <v>45877</v>
      </c>
      <c r="D2513" t="inlineStr">
        <is>
          <t>VÄRMLANDS LÄN</t>
        </is>
      </c>
      <c r="E2513" t="inlineStr">
        <is>
          <t>ARVIKA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30793-2025</t>
        </is>
      </c>
      <c r="B2514" s="1" t="n">
        <v>45831</v>
      </c>
      <c r="C2514" s="1" t="n">
        <v>45877</v>
      </c>
      <c r="D2514" t="inlineStr">
        <is>
          <t>VÄRMLANDS LÄN</t>
        </is>
      </c>
      <c r="E2514" t="inlineStr">
        <is>
          <t>ARVIKA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30581-2025</t>
        </is>
      </c>
      <c r="B2515" s="1" t="n">
        <v>45831</v>
      </c>
      <c r="C2515" s="1" t="n">
        <v>45877</v>
      </c>
      <c r="D2515" t="inlineStr">
        <is>
          <t>VÄRMLANDS LÄN</t>
        </is>
      </c>
      <c r="E2515" t="inlineStr">
        <is>
          <t>ARVIKA</t>
        </is>
      </c>
      <c r="F2515" t="inlineStr">
        <is>
          <t>Bergvik skog väst AB</t>
        </is>
      </c>
      <c r="G2515" t="n">
        <v>22.5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30787-2025</t>
        </is>
      </c>
      <c r="B2516" s="1" t="n">
        <v>45831</v>
      </c>
      <c r="C2516" s="1" t="n">
        <v>45877</v>
      </c>
      <c r="D2516" t="inlineStr">
        <is>
          <t>VÄRMLANDS LÄN</t>
        </is>
      </c>
      <c r="E2516" t="inlineStr">
        <is>
          <t>ARVIKA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45877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31372-2025</t>
        </is>
      </c>
      <c r="B2518" s="1" t="n">
        <v>45833</v>
      </c>
      <c r="C2518" s="1" t="n">
        <v>45877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31401-2025</t>
        </is>
      </c>
      <c r="B2519" s="1" t="n">
        <v>45833</v>
      </c>
      <c r="C2519" s="1" t="n">
        <v>45877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31406-2025</t>
        </is>
      </c>
      <c r="B2520" s="1" t="n">
        <v>45833</v>
      </c>
      <c r="C2520" s="1" t="n">
        <v>45877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31478-2025</t>
        </is>
      </c>
      <c r="B2521" s="1" t="n">
        <v>45833</v>
      </c>
      <c r="C2521" s="1" t="n">
        <v>45877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31415-2025</t>
        </is>
      </c>
      <c r="B2522" s="1" t="n">
        <v>45833</v>
      </c>
      <c r="C2522" s="1" t="n">
        <v>45877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7.6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31442-2025</t>
        </is>
      </c>
      <c r="B2523" s="1" t="n">
        <v>45833</v>
      </c>
      <c r="C2523" s="1" t="n">
        <v>45877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5.9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31443-2025</t>
        </is>
      </c>
      <c r="B2524" s="1" t="n">
        <v>45833</v>
      </c>
      <c r="C2524" s="1" t="n">
        <v>45877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31469-2025</t>
        </is>
      </c>
      <c r="B2525" s="1" t="n">
        <v>45833</v>
      </c>
      <c r="C2525" s="1" t="n">
        <v>45877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31413-2025</t>
        </is>
      </c>
      <c r="B2526" s="1" t="n">
        <v>45833</v>
      </c>
      <c r="C2526" s="1" t="n">
        <v>45877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31418-2025</t>
        </is>
      </c>
      <c r="B2527" s="1" t="n">
        <v>45833</v>
      </c>
      <c r="C2527" s="1" t="n">
        <v>45877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45877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45877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31925-2025</t>
        </is>
      </c>
      <c r="B2530" s="1" t="n">
        <v>45834</v>
      </c>
      <c r="C2530" s="1" t="n">
        <v>45877</v>
      </c>
      <c r="D2530" t="inlineStr">
        <is>
          <t>VÄRMLANDS LÄN</t>
        </is>
      </c>
      <c r="E2530" t="inlineStr">
        <is>
          <t>ARVIKA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45877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31673-2025</t>
        </is>
      </c>
      <c r="B2532" s="1" t="n">
        <v>45834</v>
      </c>
      <c r="C2532" s="1" t="n">
        <v>45877</v>
      </c>
      <c r="D2532" t="inlineStr">
        <is>
          <t>VÄRMLANDS LÄN</t>
        </is>
      </c>
      <c r="E2532" t="inlineStr">
        <is>
          <t>ARVIKA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32062-2025</t>
        </is>
      </c>
      <c r="B2533" s="1" t="n">
        <v>45835</v>
      </c>
      <c r="C2533" s="1" t="n">
        <v>45877</v>
      </c>
      <c r="D2533" t="inlineStr">
        <is>
          <t>VÄRMLANDS LÄN</t>
        </is>
      </c>
      <c r="E2533" t="inlineStr">
        <is>
          <t>ARVIKA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32159-2025</t>
        </is>
      </c>
      <c r="B2534" s="1" t="n">
        <v>45835</v>
      </c>
      <c r="C2534" s="1" t="n">
        <v>45877</v>
      </c>
      <c r="D2534" t="inlineStr">
        <is>
          <t>VÄRMLANDS LÄN</t>
        </is>
      </c>
      <c r="E2534" t="inlineStr">
        <is>
          <t>ARVIKA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45877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31944-2025</t>
        </is>
      </c>
      <c r="B2536" s="1" t="n">
        <v>45835</v>
      </c>
      <c r="C2536" s="1" t="n">
        <v>45877</v>
      </c>
      <c r="D2536" t="inlineStr">
        <is>
          <t>VÄRMLANDS LÄN</t>
        </is>
      </c>
      <c r="E2536" t="inlineStr">
        <is>
          <t>ARVIKA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31992-2025</t>
        </is>
      </c>
      <c r="B2537" s="1" t="n">
        <v>45835</v>
      </c>
      <c r="C2537" s="1" t="n">
        <v>45877</v>
      </c>
      <c r="D2537" t="inlineStr">
        <is>
          <t>VÄRMLANDS LÄN</t>
        </is>
      </c>
      <c r="E2537" t="inlineStr">
        <is>
          <t>ARVIKA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32046-2025</t>
        </is>
      </c>
      <c r="B2538" s="1" t="n">
        <v>45835</v>
      </c>
      <c r="C2538" s="1" t="n">
        <v>45877</v>
      </c>
      <c r="D2538" t="inlineStr">
        <is>
          <t>VÄRMLANDS LÄN</t>
        </is>
      </c>
      <c r="E2538" t="inlineStr">
        <is>
          <t>ARVIKA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31969-2025</t>
        </is>
      </c>
      <c r="B2539" s="1" t="n">
        <v>45835</v>
      </c>
      <c r="C2539" s="1" t="n">
        <v>45877</v>
      </c>
      <c r="D2539" t="inlineStr">
        <is>
          <t>VÄRMLANDS LÄN</t>
        </is>
      </c>
      <c r="E2539" t="inlineStr">
        <is>
          <t>ARVIKA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32008-2025</t>
        </is>
      </c>
      <c r="B2540" s="1" t="n">
        <v>45835</v>
      </c>
      <c r="C2540" s="1" t="n">
        <v>45877</v>
      </c>
      <c r="D2540" t="inlineStr">
        <is>
          <t>VÄRMLANDS LÄN</t>
        </is>
      </c>
      <c r="E2540" t="inlineStr">
        <is>
          <t>ARVIKA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32138-2025</t>
        </is>
      </c>
      <c r="B2541" s="1" t="n">
        <v>45835</v>
      </c>
      <c r="C2541" s="1" t="n">
        <v>45877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32147-2025</t>
        </is>
      </c>
      <c r="B2542" s="1" t="n">
        <v>45835</v>
      </c>
      <c r="C2542" s="1" t="n">
        <v>45877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32002-2025</t>
        </is>
      </c>
      <c r="B2543" s="1" t="n">
        <v>45835</v>
      </c>
      <c r="C2543" s="1" t="n">
        <v>45877</v>
      </c>
      <c r="D2543" t="inlineStr">
        <is>
          <t>VÄRMLANDS LÄN</t>
        </is>
      </c>
      <c r="E2543" t="inlineStr">
        <is>
          <t>ARVIKA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31952-2025</t>
        </is>
      </c>
      <c r="B2544" s="1" t="n">
        <v>45835</v>
      </c>
      <c r="C2544" s="1" t="n">
        <v>45877</v>
      </c>
      <c r="D2544" t="inlineStr">
        <is>
          <t>VÄRMLANDS LÄN</t>
        </is>
      </c>
      <c r="E2544" t="inlineStr">
        <is>
          <t>ARVIKA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32453-2025</t>
        </is>
      </c>
      <c r="B2545" s="1" t="n">
        <v>45838</v>
      </c>
      <c r="C2545" s="1" t="n">
        <v>45877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32515-2025</t>
        </is>
      </c>
      <c r="B2546" s="1" t="n">
        <v>45838</v>
      </c>
      <c r="C2546" s="1" t="n">
        <v>45877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32530-2025</t>
        </is>
      </c>
      <c r="B2547" s="1" t="n">
        <v>45838</v>
      </c>
      <c r="C2547" s="1" t="n">
        <v>45877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32568-2025</t>
        </is>
      </c>
      <c r="B2548" s="1" t="n">
        <v>45838</v>
      </c>
      <c r="C2548" s="1" t="n">
        <v>45877</v>
      </c>
      <c r="D2548" t="inlineStr">
        <is>
          <t>VÄRMLANDS LÄN</t>
        </is>
      </c>
      <c r="E2548" t="inlineStr">
        <is>
          <t>ARVIKA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45877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45877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45877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45877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45877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33985-2025</t>
        </is>
      </c>
      <c r="B2554" s="1" t="n">
        <v>45843</v>
      </c>
      <c r="C2554" s="1" t="n">
        <v>45877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34151-2025</t>
        </is>
      </c>
      <c r="B2555" s="1" t="n">
        <v>45845</v>
      </c>
      <c r="C2555" s="1" t="n">
        <v>45877</v>
      </c>
      <c r="D2555" t="inlineStr">
        <is>
          <t>VÄRMLANDS LÄN</t>
        </is>
      </c>
      <c r="E2555" t="inlineStr">
        <is>
          <t>ARVIKA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34369-2025</t>
        </is>
      </c>
      <c r="B2556" s="1" t="n">
        <v>45846</v>
      </c>
      <c r="C2556" s="1" t="n">
        <v>45877</v>
      </c>
      <c r="D2556" t="inlineStr">
        <is>
          <t>VÄRMLANDS LÄN</t>
        </is>
      </c>
      <c r="E2556" t="inlineStr">
        <is>
          <t>ARVIKA</t>
        </is>
      </c>
      <c r="F2556" t="inlineStr">
        <is>
          <t>Bergvik skog väst AB</t>
        </is>
      </c>
      <c r="G2556" t="n">
        <v>11.6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34285-2025</t>
        </is>
      </c>
      <c r="B2557" s="1" t="n">
        <v>45846</v>
      </c>
      <c r="C2557" s="1" t="n">
        <v>45877</v>
      </c>
      <c r="D2557" t="inlineStr">
        <is>
          <t>VÄRMLANDS LÄN</t>
        </is>
      </c>
      <c r="E2557" t="inlineStr">
        <is>
          <t>ARVIKA</t>
        </is>
      </c>
      <c r="F2557" t="inlineStr">
        <is>
          <t>Bergvik skog väst AB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34284-2025</t>
        </is>
      </c>
      <c r="B2558" s="1" t="n">
        <v>45846</v>
      </c>
      <c r="C2558" s="1" t="n">
        <v>45877</v>
      </c>
      <c r="D2558" t="inlineStr">
        <is>
          <t>VÄRMLANDS LÄN</t>
        </is>
      </c>
      <c r="E2558" t="inlineStr">
        <is>
          <t>ARVIKA</t>
        </is>
      </c>
      <c r="F2558" t="inlineStr">
        <is>
          <t>Bergvik skog väst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34381-2025</t>
        </is>
      </c>
      <c r="B2559" s="1" t="n">
        <v>45846</v>
      </c>
      <c r="C2559" s="1" t="n">
        <v>45877</v>
      </c>
      <c r="D2559" t="inlineStr">
        <is>
          <t>VÄRMLANDS LÄN</t>
        </is>
      </c>
      <c r="E2559" t="inlineStr">
        <is>
          <t>ARVIKA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34316-2025</t>
        </is>
      </c>
      <c r="B2560" s="1" t="n">
        <v>45846</v>
      </c>
      <c r="C2560" s="1" t="n">
        <v>45877</v>
      </c>
      <c r="D2560" t="inlineStr">
        <is>
          <t>VÄRMLANDS LÄN</t>
        </is>
      </c>
      <c r="E2560" t="inlineStr">
        <is>
          <t>ARVIKA</t>
        </is>
      </c>
      <c r="F2560" t="inlineStr">
        <is>
          <t>Bergvik skog väst AB</t>
        </is>
      </c>
      <c r="G2560" t="n">
        <v>14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34920-2025</t>
        </is>
      </c>
      <c r="B2561" s="1" t="n">
        <v>45849</v>
      </c>
      <c r="C2561" s="1" t="n">
        <v>45877</v>
      </c>
      <c r="D2561" t="inlineStr">
        <is>
          <t>VÄRMLANDS LÄN</t>
        </is>
      </c>
      <c r="E2561" t="inlineStr">
        <is>
          <t>ARVIKA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34977-2025</t>
        </is>
      </c>
      <c r="B2562" s="1" t="n">
        <v>45849</v>
      </c>
      <c r="C2562" s="1" t="n">
        <v>45877</v>
      </c>
      <c r="D2562" t="inlineStr">
        <is>
          <t>VÄRMLANDS LÄN</t>
        </is>
      </c>
      <c r="E2562" t="inlineStr">
        <is>
          <t>ARVIKA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34972-2025</t>
        </is>
      </c>
      <c r="B2563" s="1" t="n">
        <v>45849</v>
      </c>
      <c r="C2563" s="1" t="n">
        <v>45877</v>
      </c>
      <c r="D2563" t="inlineStr">
        <is>
          <t>VÄRMLANDS LÄN</t>
        </is>
      </c>
      <c r="E2563" t="inlineStr">
        <is>
          <t>ARVIKA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34974-2025</t>
        </is>
      </c>
      <c r="B2564" s="1" t="n">
        <v>45849</v>
      </c>
      <c r="C2564" s="1" t="n">
        <v>45877</v>
      </c>
      <c r="D2564" t="inlineStr">
        <is>
          <t>VÄRMLANDS LÄN</t>
        </is>
      </c>
      <c r="E2564" t="inlineStr">
        <is>
          <t>ARVIKA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34980-2025</t>
        </is>
      </c>
      <c r="B2565" s="1" t="n">
        <v>45849</v>
      </c>
      <c r="C2565" s="1" t="n">
        <v>45877</v>
      </c>
      <c r="D2565" t="inlineStr">
        <is>
          <t>VÄRMLANDS LÄN</t>
        </is>
      </c>
      <c r="E2565" t="inlineStr">
        <is>
          <t>ARVIKA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34970-2025</t>
        </is>
      </c>
      <c r="B2566" s="1" t="n">
        <v>45849</v>
      </c>
      <c r="C2566" s="1" t="n">
        <v>45877</v>
      </c>
      <c r="D2566" t="inlineStr">
        <is>
          <t>VÄRMLANDS LÄN</t>
        </is>
      </c>
      <c r="E2566" t="inlineStr">
        <is>
          <t>ARVIKA</t>
        </is>
      </c>
      <c r="G2566" t="n">
        <v>14.6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35250-2025</t>
        </is>
      </c>
      <c r="B2567" s="1" t="n">
        <v>45853</v>
      </c>
      <c r="C2567" s="1" t="n">
        <v>45877</v>
      </c>
      <c r="D2567" t="inlineStr">
        <is>
          <t>VÄRMLANDS LÄN</t>
        </is>
      </c>
      <c r="E2567" t="inlineStr">
        <is>
          <t>ARVIKA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35342-2025</t>
        </is>
      </c>
      <c r="B2568" s="1" t="n">
        <v>45854</v>
      </c>
      <c r="C2568" s="1" t="n">
        <v>45877</v>
      </c>
      <c r="D2568" t="inlineStr">
        <is>
          <t>VÄRMLANDS LÄN</t>
        </is>
      </c>
      <c r="E2568" t="inlineStr">
        <is>
          <t>ARVIKA</t>
        </is>
      </c>
      <c r="F2568" t="inlineStr">
        <is>
          <t>Bergvik skog väst AB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35306-2025</t>
        </is>
      </c>
      <c r="B2569" s="1" t="n">
        <v>45854</v>
      </c>
      <c r="C2569" s="1" t="n">
        <v>45877</v>
      </c>
      <c r="D2569" t="inlineStr">
        <is>
          <t>VÄRMLANDS LÄN</t>
        </is>
      </c>
      <c r="E2569" t="inlineStr">
        <is>
          <t>ARVIKA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35371-2025</t>
        </is>
      </c>
      <c r="B2570" s="1" t="n">
        <v>45854</v>
      </c>
      <c r="C2570" s="1" t="n">
        <v>45877</v>
      </c>
      <c r="D2570" t="inlineStr">
        <is>
          <t>VÄRMLANDS LÄN</t>
        </is>
      </c>
      <c r="E2570" t="inlineStr">
        <is>
          <t>ARVIKA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35395-2025</t>
        </is>
      </c>
      <c r="B2571" s="1" t="n">
        <v>45855</v>
      </c>
      <c r="C2571" s="1" t="n">
        <v>45877</v>
      </c>
      <c r="D2571" t="inlineStr">
        <is>
          <t>VÄRMLANDS LÄN</t>
        </is>
      </c>
      <c r="E2571" t="inlineStr">
        <is>
          <t>ARVIKA</t>
        </is>
      </c>
      <c r="F2571" t="inlineStr">
        <is>
          <t>Bergvik skog väst AB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35571-2025</t>
        </is>
      </c>
      <c r="B2572" s="1" t="n">
        <v>45856</v>
      </c>
      <c r="C2572" s="1" t="n">
        <v>45877</v>
      </c>
      <c r="D2572" t="inlineStr">
        <is>
          <t>VÄRMLANDS LÄN</t>
        </is>
      </c>
      <c r="E2572" t="inlineStr">
        <is>
          <t>ARVIKA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35677-2025</t>
        </is>
      </c>
      <c r="B2573" s="1" t="n">
        <v>45859</v>
      </c>
      <c r="C2573" s="1" t="n">
        <v>45877</v>
      </c>
      <c r="D2573" t="inlineStr">
        <is>
          <t>VÄRMLANDS LÄN</t>
        </is>
      </c>
      <c r="E2573" t="inlineStr">
        <is>
          <t>ARVIKA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35678-2025</t>
        </is>
      </c>
      <c r="B2574" s="1" t="n">
        <v>45859</v>
      </c>
      <c r="C2574" s="1" t="n">
        <v>45877</v>
      </c>
      <c r="D2574" t="inlineStr">
        <is>
          <t>VÄRMLANDS LÄN</t>
        </is>
      </c>
      <c r="E2574" t="inlineStr">
        <is>
          <t>ARVIKA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35676-2025</t>
        </is>
      </c>
      <c r="B2575" s="1" t="n">
        <v>45859</v>
      </c>
      <c r="C2575" s="1" t="n">
        <v>45877</v>
      </c>
      <c r="D2575" t="inlineStr">
        <is>
          <t>VÄRMLANDS LÄN</t>
        </is>
      </c>
      <c r="E2575" t="inlineStr">
        <is>
          <t>ARVIKA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35675-2025</t>
        </is>
      </c>
      <c r="B2576" s="1" t="n">
        <v>45859</v>
      </c>
      <c r="C2576" s="1" t="n">
        <v>45877</v>
      </c>
      <c r="D2576" t="inlineStr">
        <is>
          <t>VÄRMLANDS LÄN</t>
        </is>
      </c>
      <c r="E2576" t="inlineStr">
        <is>
          <t>ARVIKA</t>
        </is>
      </c>
      <c r="G2576" t="n">
        <v>6.8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35607-2025</t>
        </is>
      </c>
      <c r="B2577" s="1" t="n">
        <v>45859</v>
      </c>
      <c r="C2577" s="1" t="n">
        <v>45877</v>
      </c>
      <c r="D2577" t="inlineStr">
        <is>
          <t>VÄRMLANDS LÄN</t>
        </is>
      </c>
      <c r="E2577" t="inlineStr">
        <is>
          <t>ARVIKA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35818-2025</t>
        </is>
      </c>
      <c r="B2578" s="1" t="n">
        <v>45861</v>
      </c>
      <c r="C2578" s="1" t="n">
        <v>45877</v>
      </c>
      <c r="D2578" t="inlineStr">
        <is>
          <t>VÄRMLANDS LÄN</t>
        </is>
      </c>
      <c r="E2578" t="inlineStr">
        <is>
          <t>ARVIKA</t>
        </is>
      </c>
      <c r="F2578" t="inlineStr">
        <is>
          <t>Bergvik skog väst AB</t>
        </is>
      </c>
      <c r="G2578" t="n">
        <v>7.5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35806-2025</t>
        </is>
      </c>
      <c r="B2579" s="1" t="n">
        <v>45861</v>
      </c>
      <c r="C2579" s="1" t="n">
        <v>45877</v>
      </c>
      <c r="D2579" t="inlineStr">
        <is>
          <t>VÄRMLANDS LÄN</t>
        </is>
      </c>
      <c r="E2579" t="inlineStr">
        <is>
          <t>ARVIKA</t>
        </is>
      </c>
      <c r="F2579" t="inlineStr">
        <is>
          <t>Övriga Aktiebolag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35892-2025</t>
        </is>
      </c>
      <c r="B2580" s="1" t="n">
        <v>45862</v>
      </c>
      <c r="C2580" s="1" t="n">
        <v>45877</v>
      </c>
      <c r="D2580" t="inlineStr">
        <is>
          <t>VÄRMLANDS LÄN</t>
        </is>
      </c>
      <c r="E2580" t="inlineStr">
        <is>
          <t>ARVIKA</t>
        </is>
      </c>
      <c r="F2580" t="inlineStr">
        <is>
          <t>Bergvik skog väst AB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36042-2025</t>
        </is>
      </c>
      <c r="B2581" s="1" t="n">
        <v>45866</v>
      </c>
      <c r="C2581" s="1" t="n">
        <v>45877</v>
      </c>
      <c r="D2581" t="inlineStr">
        <is>
          <t>VÄRMLANDS LÄN</t>
        </is>
      </c>
      <c r="E2581" t="inlineStr">
        <is>
          <t>ARVIKA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36360-2025</t>
        </is>
      </c>
      <c r="B2582" s="1" t="n">
        <v>45868</v>
      </c>
      <c r="C2582" s="1" t="n">
        <v>45877</v>
      </c>
      <c r="D2582" t="inlineStr">
        <is>
          <t>VÄRMLANDS LÄN</t>
        </is>
      </c>
      <c r="E2582" t="inlineStr">
        <is>
          <t>ARVIKA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36364-2025</t>
        </is>
      </c>
      <c r="B2583" s="1" t="n">
        <v>45868</v>
      </c>
      <c r="C2583" s="1" t="n">
        <v>45877</v>
      </c>
      <c r="D2583" t="inlineStr">
        <is>
          <t>VÄRMLANDS LÄN</t>
        </is>
      </c>
      <c r="E2583" t="inlineStr">
        <is>
          <t>ARVIKA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36469-2025</t>
        </is>
      </c>
      <c r="B2584" s="1" t="n">
        <v>45869</v>
      </c>
      <c r="C2584" s="1" t="n">
        <v>45877</v>
      </c>
      <c r="D2584" t="inlineStr">
        <is>
          <t>VÄRMLANDS LÄN</t>
        </is>
      </c>
      <c r="E2584" t="inlineStr">
        <is>
          <t>ARVIKA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36431-2025</t>
        </is>
      </c>
      <c r="B2585" s="1" t="n">
        <v>45869</v>
      </c>
      <c r="C2585" s="1" t="n">
        <v>45877</v>
      </c>
      <c r="D2585" t="inlineStr">
        <is>
          <t>VÄRMLANDS LÄN</t>
        </is>
      </c>
      <c r="E2585" t="inlineStr">
        <is>
          <t>ARVIKA</t>
        </is>
      </c>
      <c r="F2585" t="inlineStr">
        <is>
          <t>Bergvik skog väst AB</t>
        </is>
      </c>
      <c r="G2585" t="n">
        <v>10.2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36466-2025</t>
        </is>
      </c>
      <c r="B2586" s="1" t="n">
        <v>45869</v>
      </c>
      <c r="C2586" s="1" t="n">
        <v>45877</v>
      </c>
      <c r="D2586" t="inlineStr">
        <is>
          <t>VÄRMLANDS LÄN</t>
        </is>
      </c>
      <c r="E2586" t="inlineStr">
        <is>
          <t>ARVIKA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36655-2025</t>
        </is>
      </c>
      <c r="B2587" s="1" t="n">
        <v>45873</v>
      </c>
      <c r="C2587" s="1" t="n">
        <v>45877</v>
      </c>
      <c r="D2587" t="inlineStr">
        <is>
          <t>VÄRMLANDS LÄN</t>
        </is>
      </c>
      <c r="E2587" t="inlineStr">
        <is>
          <t>ARVIKA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36788-2025</t>
        </is>
      </c>
      <c r="B2588" s="1" t="n">
        <v>45873</v>
      </c>
      <c r="C2588" s="1" t="n">
        <v>45877</v>
      </c>
      <c r="D2588" t="inlineStr">
        <is>
          <t>VÄRMLANDS LÄN</t>
        </is>
      </c>
      <c r="E2588" t="inlineStr">
        <is>
          <t>ARVIKA</t>
        </is>
      </c>
      <c r="F2588" t="inlineStr">
        <is>
          <t>Bergvik skog väst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36654-2025</t>
        </is>
      </c>
      <c r="B2589" s="1" t="n">
        <v>45873</v>
      </c>
      <c r="C2589" s="1" t="n">
        <v>45877</v>
      </c>
      <c r="D2589" t="inlineStr">
        <is>
          <t>VÄRMLANDS LÄN</t>
        </is>
      </c>
      <c r="E2589" t="inlineStr">
        <is>
          <t>ARVIKA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37030-2025</t>
        </is>
      </c>
      <c r="B2590" s="1" t="n">
        <v>45874</v>
      </c>
      <c r="C2590" s="1" t="n">
        <v>45877</v>
      </c>
      <c r="D2590" t="inlineStr">
        <is>
          <t>VÄRMLANDS LÄN</t>
        </is>
      </c>
      <c r="E2590" t="inlineStr">
        <is>
          <t>ARVIKA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37031-2025</t>
        </is>
      </c>
      <c r="B2591" s="1" t="n">
        <v>45875</v>
      </c>
      <c r="C2591" s="1" t="n">
        <v>45877</v>
      </c>
      <c r="D2591" t="inlineStr">
        <is>
          <t>VÄRMLANDS LÄN</t>
        </is>
      </c>
      <c r="E2591" t="inlineStr">
        <is>
          <t>ARVIKA</t>
        </is>
      </c>
      <c r="G2591" t="n">
        <v>12.4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37029-2025</t>
        </is>
      </c>
      <c r="B2592" s="1" t="n">
        <v>45874</v>
      </c>
      <c r="C2592" s="1" t="n">
        <v>45877</v>
      </c>
      <c r="D2592" t="inlineStr">
        <is>
          <t>VÄRMLANDS LÄN</t>
        </is>
      </c>
      <c r="E2592" t="inlineStr">
        <is>
          <t>ARVIKA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>
      <c r="A2593" t="inlineStr">
        <is>
          <t>A 36852-2025</t>
        </is>
      </c>
      <c r="B2593" s="1" t="n">
        <v>45874</v>
      </c>
      <c r="C2593" s="1" t="n">
        <v>45877</v>
      </c>
      <c r="D2593" t="inlineStr">
        <is>
          <t>VÄRMLANDS LÄN</t>
        </is>
      </c>
      <c r="E2593" t="inlineStr">
        <is>
          <t>ARVIKA</t>
        </is>
      </c>
      <c r="F2593" t="inlineStr">
        <is>
          <t>Bergvik skog väst AB</t>
        </is>
      </c>
      <c r="G2593" t="n">
        <v>14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2025-08-09T01:03:33Z</dcterms:created>
  <dcterms:modified xmlns:dcterms="http://purl.org/dc/terms/" xmlns:xsi="http://www.w3.org/2001/XMLSchema-instance" xsi:type="dcterms:W3CDTF">2025-08-09T01:03:35Z</dcterms:modified>
</cp:coreProperties>
</file>