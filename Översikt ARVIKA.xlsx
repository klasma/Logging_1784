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45674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45674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45674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Rynkskinn
Spillkråka
Talltita
Tretåig hackspett
Violettgrå tagellav
Grön sköldmossa
Kattfotslav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45674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45674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45674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45674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45674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45674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45674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45674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45674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45674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45674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45674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45674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45674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45674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45674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45674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45674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45674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45674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45674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45674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45674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45674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45674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45674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45674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45674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45674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45674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45674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45674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45674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45674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45674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45674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45674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45674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45674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45674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45674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45674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45674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45674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45674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45674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45674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45674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45674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45674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45674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45674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45674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45674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45674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45674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45674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45674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45674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45674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45674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45674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45674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45674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45674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45674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45674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45674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45674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45674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45674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45674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45674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45674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45674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47217-2024</t>
        </is>
      </c>
      <c r="B80" s="1" t="n">
        <v>45586</v>
      </c>
      <c r="C80" s="1" t="n">
        <v>45674</v>
      </c>
      <c r="D80" t="inlineStr">
        <is>
          <t>VÄRMLANDS LÄN</t>
        </is>
      </c>
      <c r="E80" t="inlineStr">
        <is>
          <t>ARVIKA</t>
        </is>
      </c>
      <c r="G80" t="n">
        <v>5.6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47217-2024 artfynd.xlsx", "A 47217-2024")</f>
        <v/>
      </c>
      <c r="T80">
        <f>HYPERLINK("https://klasma.github.io/Logging_1784/kartor/A 47217-2024 karta.png", "A 47217-2024")</f>
        <v/>
      </c>
      <c r="U80">
        <f>HYPERLINK("https://klasma.github.io/Logging_1784/knärot/A 47217-2024 karta knärot.png", "A 47217-2024")</f>
        <v/>
      </c>
      <c r="V80">
        <f>HYPERLINK("https://klasma.github.io/Logging_1784/klagomål/A 47217-2024 FSC-klagomål.docx", "A 47217-2024")</f>
        <v/>
      </c>
      <c r="W80">
        <f>HYPERLINK("https://klasma.github.io/Logging_1784/klagomålsmail/A 47217-2024 FSC-klagomål mail.docx", "A 47217-2024")</f>
        <v/>
      </c>
      <c r="X80">
        <f>HYPERLINK("https://klasma.github.io/Logging_1784/tillsyn/A 47217-2024 tillsynsbegäran.docx", "A 47217-2024")</f>
        <v/>
      </c>
      <c r="Y80">
        <f>HYPERLINK("https://klasma.github.io/Logging_1784/tillsynsmail/A 47217-2024 tillsynsbegäran mail.docx", "A 47217-2024")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45674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45674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45674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45674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45674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45674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45674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45674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45674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45674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45674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45674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45674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45674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45674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45674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45674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45674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45674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45674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45674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45674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45674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45674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45674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45674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45674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45674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45674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45674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45674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45674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45674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45674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45674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45674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45674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45674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45674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45674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45674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45674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45674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45674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45674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45674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45674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45674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45674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45674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45674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45674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45674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45674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45674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45674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45674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45674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45674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45674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45674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45674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45674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45674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45674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45674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45674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45674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45674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45674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45674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45674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45674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45674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45674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45674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45674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45674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45674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45674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45674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45674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45674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45674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45674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45674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45674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45674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45674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45674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45674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45674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45674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45674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45674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45674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45674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45674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45674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45674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45674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45674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45674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45674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45674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45674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45674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45674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45674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45674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45674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45674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45674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45674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45674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45674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45674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45674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45674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45674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45674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45674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45674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45674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45674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45674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45674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45674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45674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45674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45674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45674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45674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45674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45674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45674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45674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45674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45674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45674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45674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45674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45674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45674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45674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45674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45674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45674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45674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45674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45674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45674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45674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45674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45674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45674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45674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45674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45674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45674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45674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45674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45674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45674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45674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45674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45674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45674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45674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45674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45674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45674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45674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45674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45674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45674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45674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45674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45674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45674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45674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45674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45674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45674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45674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45674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45674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45674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45674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45674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45674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45674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45674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45674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45674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45674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45674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45674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45674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45674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45674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45674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45674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45674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45674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45674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45674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45674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45674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45674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45674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45674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45674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45674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45674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45674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45674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45674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45674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45674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45674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45674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45674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45674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45674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45674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45674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45674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45674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45674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45674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45674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45674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45674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45674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45674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45674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45674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45674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45674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45674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45674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45674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45674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45674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45674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45674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45674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45674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45674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45674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45674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45674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45674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45674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45674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45674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45674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45674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45674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45674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45674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45674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45674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45674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45674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45674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45674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45674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45674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45674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45674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45674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45674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45674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45674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45674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45674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45674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45674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45674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45674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45674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45674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45674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45674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45674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45674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45674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45674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45674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45674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45674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45674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45674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45674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45674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45674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45674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45674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45674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45674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45674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45674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45674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45674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45674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45674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45674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45674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45674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45674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45674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45674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45674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45674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45674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45674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45674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45674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45674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45674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45674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45674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45674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45674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45674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45674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45674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45674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45674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45674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45674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45674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45674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45674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45674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45674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45674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45674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45674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45674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45674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45674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45674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45674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45674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45674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45674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45674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45674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45674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45674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45674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45674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45674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45674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45674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45674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45674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45674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45674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45674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45674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45674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45674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45674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45674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45674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45674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45674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45674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45674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45674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45674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45674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45674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45674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45674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45674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45674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45674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45674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45674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45674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45674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45674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45674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45674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45674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45674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45674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45674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45674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45674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45674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45674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45674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45674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45674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45674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45674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45674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45674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45674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45674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45674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45674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45674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45674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45674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45674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45674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45674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45674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45674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45674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45674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45674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45674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45674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45674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45674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45674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45674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45674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45674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45674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45674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45674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45674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45674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45674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45674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45674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45674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45674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45674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45674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45674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45674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45674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45674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45674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45674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45674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45674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45674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45674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45674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45674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45674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45674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45674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45674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45674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45674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45674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45674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45674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45674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45674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45674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45674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45674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45674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45674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45674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45674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45674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45674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45674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45674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45674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45674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45674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45674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45674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45674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45674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45674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45674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45674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45674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45674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45674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45674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45674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45674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45674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45674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45674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45674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45674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45674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45674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45674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45674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45674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45674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45674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45674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45674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45674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45674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45674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45674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45674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45674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45674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45674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45674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45674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45674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45674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45674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45674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45674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45674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45674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45674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45674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45674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45674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45674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45674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45674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45674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45674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45674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45674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45674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45674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45674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45674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45674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45674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45674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45674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45674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45674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45674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45674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45674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45674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45674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45674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45674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45674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45674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45674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45674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45674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45674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45674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45674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45674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45674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45674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45674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45674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45674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45674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45674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45674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45674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45674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45674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45674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45674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45674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45674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45674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45674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45674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45674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45674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45674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45674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45674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45674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45674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45674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45674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45674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45674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45674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45674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45674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45674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45674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45674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45674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45674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45674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45674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45674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45674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45674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45674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45674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45674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45674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45674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45674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45674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45674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45674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45674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45674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45674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45674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45674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45674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45674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45674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45674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45674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45674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45674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45674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45674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45674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45674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45674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45674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45674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45674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45674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45674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45674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45674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45674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45674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45674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45674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45674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45674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45674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45674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45674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45674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45674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45674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45674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45674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45674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45674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45674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45674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45674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45674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45674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45674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45674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45674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45674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45674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45674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45674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45674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45674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45674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45674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45674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45674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45674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45674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45674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45674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45674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45674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45674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45674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45674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45674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45674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45674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45674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45674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45674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45674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45674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45674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45674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45674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45674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45674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45674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45674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45674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45674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45674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45674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45674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45674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45674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45674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45674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45674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45674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45674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45674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45674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45674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45674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45674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45674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45674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45674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45674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45674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45674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45674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45674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45674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45674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45674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45674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45674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45674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45674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45674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45674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45674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45674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45674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45674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45674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45674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45674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45674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45674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45674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45674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45674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45674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45674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45674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45674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45674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45674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45674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45674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45674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45674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45674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45674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45674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45674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45674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45674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45674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45674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45674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45674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45674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45674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45674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45674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45674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45674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45674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45674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45674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45674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45674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45674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45674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45674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45674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45674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45674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45674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45674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45674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45674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45674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45674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45674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45674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45674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45674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45674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45674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45674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45674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45674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45674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45674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45674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45674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45674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45674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45674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45674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45674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45674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45674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45674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45674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45674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45674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45674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45674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45674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45674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45674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45674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45674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45674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45674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45674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45674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45674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45674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45674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45674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45674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45674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45674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45674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45674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45674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45674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45674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45674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45674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45674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45674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45674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45674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45674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45674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45674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45674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45674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45674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45674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45674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45674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45674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45674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45674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45674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45674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45674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45674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45674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45674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45674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45674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45674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45674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45674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45674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45674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45674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45674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45674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45674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45674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45674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45674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45674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45674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45674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45674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45674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45674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45674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45674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45674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45674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45674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45674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45674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45674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45674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45674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45674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45674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45674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45674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45674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45674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45674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45674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45674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45674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45674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45674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45674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45674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45674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45674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45674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45674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45674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45674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45674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45674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45674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45674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45674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45674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45674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45674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45674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45674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45674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45674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45674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45674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45674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45674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45674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45674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45674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45674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45674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45674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45674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45674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45674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45674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45674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45674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45674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45674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45674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45674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45674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45674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45674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45674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45674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45674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45674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45674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45674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45674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45674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45674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45674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45674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45674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45674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45674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45674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45674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45674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45674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45674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45674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45674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45674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45674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45674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45674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45674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45674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45674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45674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45674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45674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45674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45674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45674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45674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45674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45674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45674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45674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45674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45674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45674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45674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45674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45674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45674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45674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45674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45674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45674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45674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45674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45674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45674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45674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45674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45674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45674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45674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45674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45674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45674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45674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45674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45674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45674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45674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45674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45674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45674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45674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45674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45674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45674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45674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45674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45674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45674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45674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45674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45674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45674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45674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45674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45674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45674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45674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45674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45674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45674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45674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45674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45674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45674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45674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45674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45674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45674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45674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45674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45674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45674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45674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45674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45674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45674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45674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45674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45674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45674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45674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45674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45674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45674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45674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45674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45674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45674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45674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45674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45674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45674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45674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45674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45674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45674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45674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45674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45674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45674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45674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45674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45674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45674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45674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45674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45674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45674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45674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45674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45674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45674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45674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45674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45674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45674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45674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45674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45674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45674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45674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45674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45674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45674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45674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45674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45674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45674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45674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45674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45674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45674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45674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45674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45674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45674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45674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45674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45674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45674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45674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45674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45674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45674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45674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45674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45674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45674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45674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45674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45674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45674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45674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45674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45674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45674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45674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45674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45674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45674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45674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45674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45674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45674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45674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45674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45674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45674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45674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45674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45674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45674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45674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45674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45674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45674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45674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45674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45674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45674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45674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45674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45674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45674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45674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45674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45674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45674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45674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45674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45674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45674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45674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45674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45674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45674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45674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45674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45674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45674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45674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45674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45674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45674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45674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45674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45674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45674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45674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45674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45674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45674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45674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45674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45674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45674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45674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45674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45674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45674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45674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45674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45674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45674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45674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45674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45674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45674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45674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45674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45674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45674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45674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45674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45674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45674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45674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45674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45674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45674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45674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45674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45674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45674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45674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45674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45674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45674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45674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45674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45674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45674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45674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45674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45674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45674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45674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45674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45674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45674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45674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45674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45674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45674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45674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45674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45674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45674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45674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45674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45674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45674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45674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45674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45674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45674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45674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45674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45674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45674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45674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45674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45674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45674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45674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45674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45674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45674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45674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45674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45674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45674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45674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45674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45674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45674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45674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45674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45674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45674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45674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45674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45674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45674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45674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45674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45674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45674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45674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45674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45674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45674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45674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45674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45674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45674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45674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45674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45674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45674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45674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45674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45674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45674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45674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45674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45674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45674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45674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45674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45674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45674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45674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45674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45674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45674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45674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45674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45674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45674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45674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45674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45674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45674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45674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45674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45674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45674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45674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45674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45674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45674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45674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45674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45674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45674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45674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45674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45674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45674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45674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45674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45674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45674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45674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45674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45674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45674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45674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45674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45674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45674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45674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45674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45674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45674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45674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45674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45674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45674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45674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45674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45674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45674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45674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45674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45674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45674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45674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45674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45674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45674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45674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45674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45674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45674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45674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45674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45674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45674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45674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45674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45674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45674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45674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45674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45674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45674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45674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45674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45674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45674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45674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45674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45674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45674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45674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45674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45674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45674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45674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45674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45674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45674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45674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45674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45674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45674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45674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45674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45674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45674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45674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45674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45674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45674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45674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45674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45674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45674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45674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45674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45674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45674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45674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45674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45674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45674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45674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45674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45674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45674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45674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45674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45674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45674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45674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45674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45674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45674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45674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45674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45674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45674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45674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45674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45674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45674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45674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45674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45674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45674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45674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45674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45674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45674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45674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45674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45674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45674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45674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45674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45674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45674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45674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45674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45674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45674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45674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45674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45674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45674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45674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45674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45674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45674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45674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45674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45674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45674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45674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45674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45674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45674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45674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45674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45674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45674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45674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45674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45674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45674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45674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45674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45674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45674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45674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45674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45674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45674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45674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45674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45674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45674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45674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45674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45674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45674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45674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45674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45674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45674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45674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45674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45674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45674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45674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45674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45674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45674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45674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45674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45674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45674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45674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45674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45674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45674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45674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45674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45674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45674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45674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45674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45674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45674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45674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45674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45674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45674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45674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45674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45674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45674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45674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45674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45674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45674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45674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45674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45674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45674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45674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45674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45674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45674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45674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45674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45674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45674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45674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45674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45674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45674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45674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45674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45674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45674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45674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45674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45674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45674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45674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45674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45674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45674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45674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45674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45674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45674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45674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45674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45674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45674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45674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45674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45674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45674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45674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45674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45674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45674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45674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45674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45674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45674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45674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45674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45674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45674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45674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45674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45674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45674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45674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45674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45674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45674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45674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45674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45674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45674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45674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45674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45674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45674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45674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45674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45674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45674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45674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45674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45674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45674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45674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45674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45674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45674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45674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45674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45674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45674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45674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45674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45674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45674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45674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45674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45674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45674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45674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45674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45674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45674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45674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45674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45674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45674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45674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45674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45674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45674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45674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45674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45674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45674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45674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45674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45674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45674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45674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45674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45674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45674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45674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45674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45674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45674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45674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45674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45674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45674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45674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45674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45674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45674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45674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45674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45674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45674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45674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45674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45674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45674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45674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45674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45674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45674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45674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45674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45674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45674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45674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45674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45674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45674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45674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45674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45674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45674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45674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45674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45674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45674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45674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45674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45674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45674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45674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45674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45674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45674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45674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45674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45674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45674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45674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45674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45674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45674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45674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45674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45674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45674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45674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45674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45674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45674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45674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45674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45674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45674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45674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45674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45674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45674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45674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45674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45674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45674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45674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45674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45674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45674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45674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45674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45674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45674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45674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45674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45674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45674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45674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45674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45674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45674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45674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45674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45674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45674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45674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45674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45674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45674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45674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45674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45674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45674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45674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45674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45674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45674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45674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45674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45674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45674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45674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45674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45674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45674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45674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45674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45674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45674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45674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45674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45674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45674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45674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45674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45674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45674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45674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45674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45674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45674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45674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45674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45674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45674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45674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45674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45674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45674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45674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45674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45674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45674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45674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45674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45674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45674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45674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45674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45674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45674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45674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45674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45674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45674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45674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45674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45674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45674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45674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45674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45674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45674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45674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45674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45674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45674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45674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45674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45674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45674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45674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45674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45674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45674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45674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45674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45674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45674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45674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45674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45674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45674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45674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45674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45674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45674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45674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45674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45674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45674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45674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45674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45674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45674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45674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45674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45674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45674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45674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45674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45674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45674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45674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45674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45674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45674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45674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45674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45674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45674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45674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45674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45674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45674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45674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45674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45674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45674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45674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45674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45674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45674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45674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45674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45674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45674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45674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45674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45674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45674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45674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45674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45674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45674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45674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45674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45674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45674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45674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45674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45674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45674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45674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45674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45674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45674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45674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45674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45674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45674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45674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45674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45674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45674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45674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45674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45674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45674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45674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45674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45674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45674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45674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45674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45674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45674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45674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45674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45674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45674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45674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45674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45674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45674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45674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45674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45674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45674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45674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45674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45674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45674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45674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45674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45674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45674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45674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45674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45674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45674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45674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45674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45674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45674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45674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45674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45674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45674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45674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45674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45674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45674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45674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45674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45674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45674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45674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45674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45674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45674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45674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45674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45674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45674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45674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45674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45674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45674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45674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45674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45674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45674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45674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45674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45674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45674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45674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45674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45674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45674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45674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45674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45674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45674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45674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45674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45674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45674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45674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45674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45674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45674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45674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45674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45674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45674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45674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45674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45674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45674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45674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45674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45674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45674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45674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45674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45674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45674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45674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45674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45674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45674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45674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45674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45674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45674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45674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45674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45674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45674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45674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45674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45674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45674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45674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45674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45674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45674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45674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45674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45674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45674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45674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45674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45674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45674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45674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45674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45674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45674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45674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45674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45674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45674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45674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45674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45674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45674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45674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45674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45674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45674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45674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45674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45674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45674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45674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45674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45674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45674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45674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45674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45674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45674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45674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45674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45674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45674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45674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45674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45674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45674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45674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45674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45674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45674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45674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45674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45674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45674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45674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45674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45674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45674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45674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45674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60766-2024</t>
        </is>
      </c>
      <c r="B2168" s="1" t="n">
        <v>45644</v>
      </c>
      <c r="C2168" s="1" t="n">
        <v>45674</v>
      </c>
      <c r="D2168" t="inlineStr">
        <is>
          <t>VÄRMLANDS LÄN</t>
        </is>
      </c>
      <c r="E2168" t="inlineStr">
        <is>
          <t>ARVIKA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60828-2024</t>
        </is>
      </c>
      <c r="B2169" s="1" t="n">
        <v>45644</v>
      </c>
      <c r="C2169" s="1" t="n">
        <v>45674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60844-2024</t>
        </is>
      </c>
      <c r="B2170" s="1" t="n">
        <v>45644</v>
      </c>
      <c r="C2170" s="1" t="n">
        <v>45674</v>
      </c>
      <c r="D2170" t="inlineStr">
        <is>
          <t>VÄRMLANDS LÄN</t>
        </is>
      </c>
      <c r="E2170" t="inlineStr">
        <is>
          <t>ARVIKA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60995-2024</t>
        </is>
      </c>
      <c r="B2171" s="1" t="n">
        <v>45645</v>
      </c>
      <c r="C2171" s="1" t="n">
        <v>45674</v>
      </c>
      <c r="D2171" t="inlineStr">
        <is>
          <t>VÄRMLANDS LÄN</t>
        </is>
      </c>
      <c r="E2171" t="inlineStr">
        <is>
          <t>ARVIKA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61008-2024</t>
        </is>
      </c>
      <c r="B2172" s="1" t="n">
        <v>45645</v>
      </c>
      <c r="C2172" s="1" t="n">
        <v>45674</v>
      </c>
      <c r="D2172" t="inlineStr">
        <is>
          <t>VÄRMLANDS LÄN</t>
        </is>
      </c>
      <c r="E2172" t="inlineStr">
        <is>
          <t>ARVIKA</t>
        </is>
      </c>
      <c r="G2172" t="n">
        <v>38.7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61090-2024</t>
        </is>
      </c>
      <c r="B2173" s="1" t="n">
        <v>45645</v>
      </c>
      <c r="C2173" s="1" t="n">
        <v>45674</v>
      </c>
      <c r="D2173" t="inlineStr">
        <is>
          <t>VÄRMLANDS LÄN</t>
        </is>
      </c>
      <c r="E2173" t="inlineStr">
        <is>
          <t>ARVIKA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60968-2024</t>
        </is>
      </c>
      <c r="B2174" s="1" t="n">
        <v>45645</v>
      </c>
      <c r="C2174" s="1" t="n">
        <v>45674</v>
      </c>
      <c r="D2174" t="inlineStr">
        <is>
          <t>VÄRMLANDS LÄN</t>
        </is>
      </c>
      <c r="E2174" t="inlineStr">
        <is>
          <t>ARVIKA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60998-2024</t>
        </is>
      </c>
      <c r="B2175" s="1" t="n">
        <v>45645</v>
      </c>
      <c r="C2175" s="1" t="n">
        <v>45674</v>
      </c>
      <c r="D2175" t="inlineStr">
        <is>
          <t>VÄRMLANDS LÄN</t>
        </is>
      </c>
      <c r="E2175" t="inlineStr">
        <is>
          <t>ARVIKA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61067-2024</t>
        </is>
      </c>
      <c r="B2176" s="1" t="n">
        <v>45645</v>
      </c>
      <c r="C2176" s="1" t="n">
        <v>45674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61203-2024</t>
        </is>
      </c>
      <c r="B2177" s="1" t="n">
        <v>45645</v>
      </c>
      <c r="C2177" s="1" t="n">
        <v>45674</v>
      </c>
      <c r="D2177" t="inlineStr">
        <is>
          <t>VÄRMLANDS LÄN</t>
        </is>
      </c>
      <c r="E2177" t="inlineStr">
        <is>
          <t>ARVIKA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60971-2024</t>
        </is>
      </c>
      <c r="B2178" s="1" t="n">
        <v>45645</v>
      </c>
      <c r="C2178" s="1" t="n">
        <v>45674</v>
      </c>
      <c r="D2178" t="inlineStr">
        <is>
          <t>VÄRMLANDS LÄN</t>
        </is>
      </c>
      <c r="E2178" t="inlineStr">
        <is>
          <t>ARVIKA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45674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61706-2024</t>
        </is>
      </c>
      <c r="B2180" s="1" t="n">
        <v>45648</v>
      </c>
      <c r="C2180" s="1" t="n">
        <v>45674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45674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61866-2024</t>
        </is>
      </c>
      <c r="B2182" s="1" t="n">
        <v>45651</v>
      </c>
      <c r="C2182" s="1" t="n">
        <v>45674</v>
      </c>
      <c r="D2182" t="inlineStr">
        <is>
          <t>VÄRMLANDS LÄN</t>
        </is>
      </c>
      <c r="E2182" t="inlineStr">
        <is>
          <t>ARVIKA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61865-2024</t>
        </is>
      </c>
      <c r="B2183" s="1" t="n">
        <v>45651</v>
      </c>
      <c r="C2183" s="1" t="n">
        <v>45674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45674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61945-2024</t>
        </is>
      </c>
      <c r="B2185" s="1" t="n">
        <v>45653</v>
      </c>
      <c r="C2185" s="1" t="n">
        <v>45674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5.3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61927-2024</t>
        </is>
      </c>
      <c r="B2186" s="1" t="n">
        <v>45653</v>
      </c>
      <c r="C2186" s="1" t="n">
        <v>45674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45674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62170-2024</t>
        </is>
      </c>
      <c r="B2188" s="1" t="n">
        <v>45657</v>
      </c>
      <c r="C2188" s="1" t="n">
        <v>45674</v>
      </c>
      <c r="D2188" t="inlineStr">
        <is>
          <t>VÄRMLANDS LÄN</t>
        </is>
      </c>
      <c r="E2188" t="inlineStr">
        <is>
          <t>ARVIKA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62169-2024</t>
        </is>
      </c>
      <c r="B2189" s="1" t="n">
        <v>45657</v>
      </c>
      <c r="C2189" s="1" t="n">
        <v>45674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49-2025</t>
        </is>
      </c>
      <c r="B2190" s="1" t="n">
        <v>45659</v>
      </c>
      <c r="C2190" s="1" t="n">
        <v>45674</v>
      </c>
      <c r="D2190" t="inlineStr">
        <is>
          <t>VÄRMLANDS LÄN</t>
        </is>
      </c>
      <c r="E2190" t="inlineStr">
        <is>
          <t>ARVIKA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127-2025</t>
        </is>
      </c>
      <c r="B2191" s="1" t="n">
        <v>45659</v>
      </c>
      <c r="C2191" s="1" t="n">
        <v>45674</v>
      </c>
      <c r="D2191" t="inlineStr">
        <is>
          <t>VÄRMLANDS LÄN</t>
        </is>
      </c>
      <c r="E2191" t="inlineStr">
        <is>
          <t>ARVIKA</t>
        </is>
      </c>
      <c r="G2191" t="n">
        <v>13.4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158-2025</t>
        </is>
      </c>
      <c r="B2192" s="1" t="n">
        <v>45659</v>
      </c>
      <c r="C2192" s="1" t="n">
        <v>45674</v>
      </c>
      <c r="D2192" t="inlineStr">
        <is>
          <t>VÄRMLANDS LÄN</t>
        </is>
      </c>
      <c r="E2192" t="inlineStr">
        <is>
          <t>ARVIKA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46-2025</t>
        </is>
      </c>
      <c r="B2193" s="1" t="n">
        <v>45659</v>
      </c>
      <c r="C2193" s="1" t="n">
        <v>45674</v>
      </c>
      <c r="D2193" t="inlineStr">
        <is>
          <t>VÄRMLANDS LÄN</t>
        </is>
      </c>
      <c r="E2193" t="inlineStr">
        <is>
          <t>ARVIKA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45674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45674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45674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820-2025</t>
        </is>
      </c>
      <c r="B2197" s="1" t="n">
        <v>45665</v>
      </c>
      <c r="C2197" s="1" t="n">
        <v>45674</v>
      </c>
      <c r="D2197" t="inlineStr">
        <is>
          <t>VÄRMLANDS LÄN</t>
        </is>
      </c>
      <c r="E2197" t="inlineStr">
        <is>
          <t>ARVIKA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927-2025</t>
        </is>
      </c>
      <c r="B2198" s="1" t="n">
        <v>45665</v>
      </c>
      <c r="C2198" s="1" t="n">
        <v>45674</v>
      </c>
      <c r="D2198" t="inlineStr">
        <is>
          <t>VÄRMLANDS LÄN</t>
        </is>
      </c>
      <c r="E2198" t="inlineStr">
        <is>
          <t>ARVIKA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1110-2025</t>
        </is>
      </c>
      <c r="B2199" s="1" t="n">
        <v>45665</v>
      </c>
      <c r="C2199" s="1" t="n">
        <v>45674</v>
      </c>
      <c r="D2199" t="inlineStr">
        <is>
          <t>VÄRMLANDS LÄN</t>
        </is>
      </c>
      <c r="E2199" t="inlineStr">
        <is>
          <t>ARVIKA</t>
        </is>
      </c>
      <c r="G2199" t="n">
        <v>11.4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925-2025</t>
        </is>
      </c>
      <c r="B2200" s="1" t="n">
        <v>45665</v>
      </c>
      <c r="C2200" s="1" t="n">
        <v>45674</v>
      </c>
      <c r="D2200" t="inlineStr">
        <is>
          <t>VÄRMLANDS LÄN</t>
        </is>
      </c>
      <c r="E2200" t="inlineStr">
        <is>
          <t>ARVIKA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929-2025</t>
        </is>
      </c>
      <c r="B2201" s="1" t="n">
        <v>45665</v>
      </c>
      <c r="C2201" s="1" t="n">
        <v>45674</v>
      </c>
      <c r="D2201" t="inlineStr">
        <is>
          <t>VÄRMLANDS LÄN</t>
        </is>
      </c>
      <c r="E2201" t="inlineStr">
        <is>
          <t>ARVIKA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1309-2025</t>
        </is>
      </c>
      <c r="B2202" s="1" t="n">
        <v>45667</v>
      </c>
      <c r="C2202" s="1" t="n">
        <v>45674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14.5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1257-2025</t>
        </is>
      </c>
      <c r="B2203" s="1" t="n">
        <v>45667</v>
      </c>
      <c r="C2203" s="1" t="n">
        <v>45674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1410-2025</t>
        </is>
      </c>
      <c r="B2204" s="1" t="n">
        <v>45668</v>
      </c>
      <c r="C2204" s="1" t="n">
        <v>45674</v>
      </c>
      <c r="D2204" t="inlineStr">
        <is>
          <t>VÄRMLANDS LÄN</t>
        </is>
      </c>
      <c r="E2204" t="inlineStr">
        <is>
          <t>ARVIKA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1411-2025</t>
        </is>
      </c>
      <c r="B2205" s="1" t="n">
        <v>45668</v>
      </c>
      <c r="C2205" s="1" t="n">
        <v>45674</v>
      </c>
      <c r="D2205" t="inlineStr">
        <is>
          <t>VÄRMLANDS LÄN</t>
        </is>
      </c>
      <c r="E2205" t="inlineStr">
        <is>
          <t>ARVIKA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1630-2025</t>
        </is>
      </c>
      <c r="B2206" s="1" t="n">
        <v>45670</v>
      </c>
      <c r="C2206" s="1" t="n">
        <v>45674</v>
      </c>
      <c r="D2206" t="inlineStr">
        <is>
          <t>VÄRMLANDS LÄN</t>
        </is>
      </c>
      <c r="E2206" t="inlineStr">
        <is>
          <t>ARVIKA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1511-2025</t>
        </is>
      </c>
      <c r="B2207" s="1" t="n">
        <v>45670</v>
      </c>
      <c r="C2207" s="1" t="n">
        <v>45674</v>
      </c>
      <c r="D2207" t="inlineStr">
        <is>
          <t>VÄRMLANDS LÄN</t>
        </is>
      </c>
      <c r="E2207" t="inlineStr">
        <is>
          <t>ARVIKA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1631-2025</t>
        </is>
      </c>
      <c r="B2208" s="1" t="n">
        <v>45670</v>
      </c>
      <c r="C2208" s="1" t="n">
        <v>45674</v>
      </c>
      <c r="D2208" t="inlineStr">
        <is>
          <t>VÄRMLANDS LÄN</t>
        </is>
      </c>
      <c r="E2208" t="inlineStr">
        <is>
          <t>ARVIKA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2034-2025</t>
        </is>
      </c>
      <c r="B2209" s="1" t="n">
        <v>45672</v>
      </c>
      <c r="C2209" s="1" t="n">
        <v>45674</v>
      </c>
      <c r="D2209" t="inlineStr">
        <is>
          <t>VÄRMLANDS LÄN</t>
        </is>
      </c>
      <c r="E2209" t="inlineStr">
        <is>
          <t>ARVIKA</t>
        </is>
      </c>
      <c r="G2209" t="n">
        <v>4.5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2117-2025</t>
        </is>
      </c>
      <c r="B2210" s="1" t="n">
        <v>45672</v>
      </c>
      <c r="C2210" s="1" t="n">
        <v>45674</v>
      </c>
      <c r="D2210" t="inlineStr">
        <is>
          <t>VÄRMLANDS LÄN</t>
        </is>
      </c>
      <c r="E2210" t="inlineStr">
        <is>
          <t>ARVIKA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1942-2025</t>
        </is>
      </c>
      <c r="B2211" s="1" t="n">
        <v>45672</v>
      </c>
      <c r="C2211" s="1" t="n">
        <v>45674</v>
      </c>
      <c r="D2211" t="inlineStr">
        <is>
          <t>VÄRMLANDS LÄN</t>
        </is>
      </c>
      <c r="E2211" t="inlineStr">
        <is>
          <t>ARVIKA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2186-2025</t>
        </is>
      </c>
      <c r="B2212" s="1" t="n">
        <v>45673</v>
      </c>
      <c r="C2212" s="1" t="n">
        <v>45674</v>
      </c>
      <c r="D2212" t="inlineStr">
        <is>
          <t>VÄRMLANDS LÄN</t>
        </is>
      </c>
      <c r="E2212" t="inlineStr">
        <is>
          <t>ARVIKA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>
      <c r="A2213" t="inlineStr">
        <is>
          <t>A 2356-2025</t>
        </is>
      </c>
      <c r="B2213" s="1" t="n">
        <v>45673</v>
      </c>
      <c r="C2213" s="1" t="n">
        <v>45674</v>
      </c>
      <c r="D2213" t="inlineStr">
        <is>
          <t>VÄRMLANDS LÄN</t>
        </is>
      </c>
      <c r="E2213" t="inlineStr">
        <is>
          <t>ARVIKA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2025-01-17T16:14:50Z</dcterms:created>
  <dcterms:modified xmlns:dcterms="http://purl.org/dc/terms/" xmlns:xsi="http://www.w3.org/2001/XMLSchema-instance" xsi:type="dcterms:W3CDTF">2025-01-17T16:14:52Z</dcterms:modified>
</cp:coreProperties>
</file>