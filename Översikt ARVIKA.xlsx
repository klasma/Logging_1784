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45666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21243-2024</t>
        </is>
      </c>
      <c r="B3" s="1" t="n">
        <v>45440</v>
      </c>
      <c r="C3" s="1" t="n">
        <v>45666</v>
      </c>
      <c r="D3" t="inlineStr">
        <is>
          <t>VÄRMLANDS LÄN</t>
        </is>
      </c>
      <c r="E3" t="inlineStr">
        <is>
          <t>ARVIKA</t>
        </is>
      </c>
      <c r="F3" t="inlineStr">
        <is>
          <t>Bergvik skog väst AB</t>
        </is>
      </c>
      <c r="G3" t="n">
        <v>3.7</v>
      </c>
      <c r="H3" t="n">
        <v>1</v>
      </c>
      <c r="I3" t="n">
        <v>4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9</v>
      </c>
      <c r="R3" s="2" t="inlineStr">
        <is>
          <t>Garnlav
Grönhjon
Tallticka
Tretåig hackspett
Vedtrappmossa
Barkkornlav
Dropptaggsvamp
Flagellkvastmossa
Vedticka</t>
        </is>
      </c>
      <c r="S3">
        <f>HYPERLINK("https://klasma.github.io/Logging_1784/artfynd/A 21243-2024 artfynd.xlsx", "A 21243-2024")</f>
        <v/>
      </c>
      <c r="T3">
        <f>HYPERLINK("https://klasma.github.io/Logging_1784/kartor/A 21243-2024 karta.png", "A 21243-2024")</f>
        <v/>
      </c>
      <c r="V3">
        <f>HYPERLINK("https://klasma.github.io/Logging_1784/klagomål/A 21243-2024 FSC-klagomål.docx", "A 21243-2024")</f>
        <v/>
      </c>
      <c r="W3">
        <f>HYPERLINK("https://klasma.github.io/Logging_1784/klagomålsmail/A 21243-2024 FSC-klagomål mail.docx", "A 21243-2024")</f>
        <v/>
      </c>
      <c r="X3">
        <f>HYPERLINK("https://klasma.github.io/Logging_1784/tillsyn/A 21243-2024 tillsynsbegäran.docx", "A 21243-2024")</f>
        <v/>
      </c>
      <c r="Y3">
        <f>HYPERLINK("https://klasma.github.io/Logging_1784/tillsynsmail/A 21243-2024 tillsynsbegäran mail.docx", "A 21243-2024")</f>
        <v/>
      </c>
      <c r="Z3">
        <f>HYPERLINK("https://klasma.github.io/Logging_1784/fåglar/A 21243-2024 prioriterade fågelarter.docx", "A 21243-2024")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45666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Rynkskinn
Spillkråka
Talltita
Tretåig hackspett
Grön sköldmossa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45666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45666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45666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45666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45428-2020</t>
        </is>
      </c>
      <c r="B9" s="1" t="n">
        <v>44089</v>
      </c>
      <c r="C9" s="1" t="n">
        <v>45666</v>
      </c>
      <c r="D9" t="inlineStr">
        <is>
          <t>VÄRMLANDS LÄN</t>
        </is>
      </c>
      <c r="E9" t="inlineStr">
        <is>
          <t>ARVIKA</t>
        </is>
      </c>
      <c r="G9" t="n">
        <v>19.3</v>
      </c>
      <c r="H9" t="n">
        <v>2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Mindre hackspett
Blomkålssvamp
Västlig hakmossa</t>
        </is>
      </c>
      <c r="S9">
        <f>HYPERLINK("https://klasma.github.io/Logging_1784/artfynd/A 45428-2020 artfynd.xlsx", "A 45428-2020")</f>
        <v/>
      </c>
      <c r="T9">
        <f>HYPERLINK("https://klasma.github.io/Logging_1784/kartor/A 45428-2020 karta.png", "A 45428-2020")</f>
        <v/>
      </c>
      <c r="U9">
        <f>HYPERLINK("https://klasma.github.io/Logging_1784/knärot/A 45428-2020 karta knärot.png", "A 45428-2020")</f>
        <v/>
      </c>
      <c r="V9">
        <f>HYPERLINK("https://klasma.github.io/Logging_1784/klagomål/A 45428-2020 FSC-klagomål.docx", "A 45428-2020")</f>
        <v/>
      </c>
      <c r="W9">
        <f>HYPERLINK("https://klasma.github.io/Logging_1784/klagomålsmail/A 45428-2020 FSC-klagomål mail.docx", "A 45428-2020")</f>
        <v/>
      </c>
      <c r="X9">
        <f>HYPERLINK("https://klasma.github.io/Logging_1784/tillsyn/A 45428-2020 tillsynsbegäran.docx", "A 45428-2020")</f>
        <v/>
      </c>
      <c r="Y9">
        <f>HYPERLINK("https://klasma.github.io/Logging_1784/tillsynsmail/A 45428-2020 tillsynsbegäran mail.docx", "A 45428-2020")</f>
        <v/>
      </c>
      <c r="Z9">
        <f>HYPERLINK("https://klasma.github.io/Logging_1784/fåglar/A 45428-2020 prioriterade fågelarter.docx", "A 45428-2020")</f>
        <v/>
      </c>
    </row>
    <row r="10" ht="15" customHeight="1">
      <c r="A10" t="inlineStr">
        <is>
          <t>A 62900-2023</t>
        </is>
      </c>
      <c r="B10" s="1" t="n">
        <v>45272</v>
      </c>
      <c r="C10" s="1" t="n">
        <v>45666</v>
      </c>
      <c r="D10" t="inlineStr">
        <is>
          <t>VÄRMLANDS LÄN</t>
        </is>
      </c>
      <c r="E10" t="inlineStr">
        <is>
          <t>ARVIKA</t>
        </is>
      </c>
      <c r="G10" t="n">
        <v>12.1</v>
      </c>
      <c r="H10" t="n">
        <v>2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Knärot
Rynkskinn
Motaggsvamp
Spillkråka</t>
        </is>
      </c>
      <c r="S10">
        <f>HYPERLINK("https://klasma.github.io/Logging_1784/artfynd/A 62900-2023 artfynd.xlsx", "A 62900-2023")</f>
        <v/>
      </c>
      <c r="T10">
        <f>HYPERLINK("https://klasma.github.io/Logging_1784/kartor/A 62900-2023 karta.png", "A 62900-2023")</f>
        <v/>
      </c>
      <c r="U10">
        <f>HYPERLINK("https://klasma.github.io/Logging_1784/knärot/A 62900-2023 karta knärot.png", "A 62900-2023")</f>
        <v/>
      </c>
      <c r="V10">
        <f>HYPERLINK("https://klasma.github.io/Logging_1784/klagomål/A 62900-2023 FSC-klagomål.docx", "A 62900-2023")</f>
        <v/>
      </c>
      <c r="W10">
        <f>HYPERLINK("https://klasma.github.io/Logging_1784/klagomålsmail/A 62900-2023 FSC-klagomål mail.docx", "A 62900-2023")</f>
        <v/>
      </c>
      <c r="X10">
        <f>HYPERLINK("https://klasma.github.io/Logging_1784/tillsyn/A 62900-2023 tillsynsbegäran.docx", "A 62900-2023")</f>
        <v/>
      </c>
      <c r="Y10">
        <f>HYPERLINK("https://klasma.github.io/Logging_1784/tillsynsmail/A 62900-2023 tillsynsbegäran mail.docx", "A 62900-2023")</f>
        <v/>
      </c>
      <c r="Z10">
        <f>HYPERLINK("https://klasma.github.io/Logging_1784/fåglar/A 62900-2023 prioriterade fågelarter.docx", "A 62900-2023")</f>
        <v/>
      </c>
    </row>
    <row r="11" ht="15" customHeight="1">
      <c r="A11" t="inlineStr">
        <is>
          <t>A 1111-2024</t>
        </is>
      </c>
      <c r="B11" s="1" t="n">
        <v>45302</v>
      </c>
      <c r="C11" s="1" t="n">
        <v>45666</v>
      </c>
      <c r="D11" t="inlineStr">
        <is>
          <t>VÄRMLANDS LÄN</t>
        </is>
      </c>
      <c r="E11" t="inlineStr">
        <is>
          <t>ARVIKA</t>
        </is>
      </c>
      <c r="F11" t="inlineStr">
        <is>
          <t>Kyrkan</t>
        </is>
      </c>
      <c r="G11" t="n">
        <v>2.4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Kandelabersvamp
Lunglav
Stjärntagging
Vedticka</t>
        </is>
      </c>
      <c r="S11">
        <f>HYPERLINK("https://klasma.github.io/Logging_1784/artfynd/A 1111-2024 artfynd.xlsx", "A 1111-2024")</f>
        <v/>
      </c>
      <c r="T11">
        <f>HYPERLINK("https://klasma.github.io/Logging_1784/kartor/A 1111-2024 karta.png", "A 1111-2024")</f>
        <v/>
      </c>
      <c r="V11">
        <f>HYPERLINK("https://klasma.github.io/Logging_1784/klagomål/A 1111-2024 FSC-klagomål.docx", "A 1111-2024")</f>
        <v/>
      </c>
      <c r="W11">
        <f>HYPERLINK("https://klasma.github.io/Logging_1784/klagomålsmail/A 1111-2024 FSC-klagomål mail.docx", "A 1111-2024")</f>
        <v/>
      </c>
      <c r="X11">
        <f>HYPERLINK("https://klasma.github.io/Logging_1784/tillsyn/A 1111-2024 tillsynsbegäran.docx", "A 1111-2024")</f>
        <v/>
      </c>
      <c r="Y11">
        <f>HYPERLINK("https://klasma.github.io/Logging_1784/tillsynsmail/A 1111-2024 tillsynsbegäran mail.docx", "A 1111-2024")</f>
        <v/>
      </c>
    </row>
    <row r="12" ht="15" customHeight="1">
      <c r="A12" t="inlineStr">
        <is>
          <t>A 50668-2024</t>
        </is>
      </c>
      <c r="B12" s="1" t="n">
        <v>45601</v>
      </c>
      <c r="C12" s="1" t="n">
        <v>45666</v>
      </c>
      <c r="D12" t="inlineStr">
        <is>
          <t>VÄRMLANDS LÄN</t>
        </is>
      </c>
      <c r="E12" t="inlineStr">
        <is>
          <t>ARVIKA</t>
        </is>
      </c>
      <c r="G12" t="n">
        <v>15.7</v>
      </c>
      <c r="H12" t="n">
        <v>2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Spillkråka
Blodticka
Grön sköldmossa</t>
        </is>
      </c>
      <c r="S12">
        <f>HYPERLINK("https://klasma.github.io/Logging_1784/artfynd/A 50668-2024 artfynd.xlsx", "A 50668-2024")</f>
        <v/>
      </c>
      <c r="T12">
        <f>HYPERLINK("https://klasma.github.io/Logging_1784/kartor/A 50668-2024 karta.png", "A 50668-2024")</f>
        <v/>
      </c>
      <c r="V12">
        <f>HYPERLINK("https://klasma.github.io/Logging_1784/klagomål/A 50668-2024 FSC-klagomål.docx", "A 50668-2024")</f>
        <v/>
      </c>
      <c r="W12">
        <f>HYPERLINK("https://klasma.github.io/Logging_1784/klagomålsmail/A 50668-2024 FSC-klagomål mail.docx", "A 50668-2024")</f>
        <v/>
      </c>
      <c r="X12">
        <f>HYPERLINK("https://klasma.github.io/Logging_1784/tillsyn/A 50668-2024 tillsynsbegäran.docx", "A 50668-2024")</f>
        <v/>
      </c>
      <c r="Y12">
        <f>HYPERLINK("https://klasma.github.io/Logging_1784/tillsynsmail/A 50668-2024 tillsynsbegäran mail.docx", "A 50668-2024")</f>
        <v/>
      </c>
      <c r="Z12">
        <f>HYPERLINK("https://klasma.github.io/Logging_1784/fåglar/A 50668-2024 prioriterade fågelarter.docx", "A 50668-2024")</f>
        <v/>
      </c>
    </row>
    <row r="13" ht="15" customHeight="1">
      <c r="A13" t="inlineStr">
        <is>
          <t>A 53242-2024</t>
        </is>
      </c>
      <c r="B13" s="1" t="n">
        <v>45613</v>
      </c>
      <c r="C13" s="1" t="n">
        <v>45666</v>
      </c>
      <c r="D13" t="inlineStr">
        <is>
          <t>VÄRMLANDS LÄN</t>
        </is>
      </c>
      <c r="E13" t="inlineStr">
        <is>
          <t>ARVIKA</t>
        </is>
      </c>
      <c r="G13" t="n">
        <v>2.4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Blodticka
Bårdlav
Stuplav
Vedticka</t>
        </is>
      </c>
      <c r="S13">
        <f>HYPERLINK("https://klasma.github.io/Logging_1784/artfynd/A 53242-2024 artfynd.xlsx", "A 53242-2024")</f>
        <v/>
      </c>
      <c r="T13">
        <f>HYPERLINK("https://klasma.github.io/Logging_1784/kartor/A 53242-2024 karta.png", "A 53242-2024")</f>
        <v/>
      </c>
      <c r="V13">
        <f>HYPERLINK("https://klasma.github.io/Logging_1784/klagomål/A 53242-2024 FSC-klagomål.docx", "A 53242-2024")</f>
        <v/>
      </c>
      <c r="W13">
        <f>HYPERLINK("https://klasma.github.io/Logging_1784/klagomålsmail/A 53242-2024 FSC-klagomål mail.docx", "A 53242-2024")</f>
        <v/>
      </c>
      <c r="X13">
        <f>HYPERLINK("https://klasma.github.io/Logging_1784/tillsyn/A 53242-2024 tillsynsbegäran.docx", "A 53242-2024")</f>
        <v/>
      </c>
      <c r="Y13">
        <f>HYPERLINK("https://klasma.github.io/Logging_1784/tillsynsmail/A 53242-2024 tillsynsbegäran mail.docx", "A 53242-2024")</f>
        <v/>
      </c>
    </row>
    <row r="14" ht="15" customHeight="1">
      <c r="A14" t="inlineStr">
        <is>
          <t>A 34055-2020</t>
        </is>
      </c>
      <c r="B14" s="1" t="n">
        <v>44026</v>
      </c>
      <c r="C14" s="1" t="n">
        <v>45666</v>
      </c>
      <c r="D14" t="inlineStr">
        <is>
          <t>VÄRMLANDS LÄN</t>
        </is>
      </c>
      <c r="E14" t="inlineStr">
        <is>
          <t>ARVIKA</t>
        </is>
      </c>
      <c r="G14" t="n">
        <v>3.4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Vågticka
Gulnål
Skinnlav</t>
        </is>
      </c>
      <c r="S14">
        <f>HYPERLINK("https://klasma.github.io/Logging_1784/artfynd/A 34055-2020 artfynd.xlsx", "A 34055-2020")</f>
        <v/>
      </c>
      <c r="T14">
        <f>HYPERLINK("https://klasma.github.io/Logging_1784/kartor/A 34055-2020 karta.png", "A 34055-2020")</f>
        <v/>
      </c>
      <c r="V14">
        <f>HYPERLINK("https://klasma.github.io/Logging_1784/klagomål/A 34055-2020 FSC-klagomål.docx", "A 34055-2020")</f>
        <v/>
      </c>
      <c r="W14">
        <f>HYPERLINK("https://klasma.github.io/Logging_1784/klagomålsmail/A 34055-2020 FSC-klagomål mail.docx", "A 34055-2020")</f>
        <v/>
      </c>
      <c r="X14">
        <f>HYPERLINK("https://klasma.github.io/Logging_1784/tillsyn/A 34055-2020 tillsynsbegäran.docx", "A 34055-2020")</f>
        <v/>
      </c>
      <c r="Y14">
        <f>HYPERLINK("https://klasma.github.io/Logging_1784/tillsynsmail/A 34055-2020 tillsynsbegäran mail.docx", "A 34055-2020")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45666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8612-2022</t>
        </is>
      </c>
      <c r="B16" s="1" t="n">
        <v>44613</v>
      </c>
      <c r="C16" s="1" t="n">
        <v>45666</v>
      </c>
      <c r="D16" t="inlineStr">
        <is>
          <t>VÄRMLANDS LÄN</t>
        </is>
      </c>
      <c r="E16" t="inlineStr">
        <is>
          <t>ARVIKA</t>
        </is>
      </c>
      <c r="G16" t="n">
        <v>0.6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Orange taggsvamp
Svart taggsvamp
Dropptaggsvamp</t>
        </is>
      </c>
      <c r="S16">
        <f>HYPERLINK("https://klasma.github.io/Logging_1784/artfynd/A 8612-2022 artfynd.xlsx", "A 8612-2022")</f>
        <v/>
      </c>
      <c r="T16">
        <f>HYPERLINK("https://klasma.github.io/Logging_1784/kartor/A 8612-2022 karta.png", "A 8612-2022")</f>
        <v/>
      </c>
      <c r="V16">
        <f>HYPERLINK("https://klasma.github.io/Logging_1784/klagomål/A 8612-2022 FSC-klagomål.docx", "A 8612-2022")</f>
        <v/>
      </c>
      <c r="W16">
        <f>HYPERLINK("https://klasma.github.io/Logging_1784/klagomålsmail/A 8612-2022 FSC-klagomål mail.docx", "A 8612-2022")</f>
        <v/>
      </c>
      <c r="X16">
        <f>HYPERLINK("https://klasma.github.io/Logging_1784/tillsyn/A 8612-2022 tillsynsbegäran.docx", "A 8612-2022")</f>
        <v/>
      </c>
      <c r="Y16">
        <f>HYPERLINK("https://klasma.github.io/Logging_1784/tillsynsmail/A 8612-2022 tillsynsbegäran mail.docx", "A 8612-2022")</f>
        <v/>
      </c>
    </row>
    <row r="17" ht="15" customHeight="1">
      <c r="A17" t="inlineStr">
        <is>
          <t>A 23086-2024</t>
        </is>
      </c>
      <c r="B17" s="1" t="n">
        <v>45450</v>
      </c>
      <c r="C17" s="1" t="n">
        <v>45666</v>
      </c>
      <c r="D17" t="inlineStr">
        <is>
          <t>VÄRMLANDS LÄN</t>
        </is>
      </c>
      <c r="E17" t="inlineStr">
        <is>
          <t>ARVIKA</t>
        </is>
      </c>
      <c r="F17" t="inlineStr">
        <is>
          <t>Bergvik skog väst AB</t>
        </is>
      </c>
      <c r="G17" t="n">
        <v>1.5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Flagellkvastmossa</t>
        </is>
      </c>
      <c r="S17">
        <f>HYPERLINK("https://klasma.github.io/Logging_1784/artfynd/A 23086-2024 artfynd.xlsx", "A 23086-2024")</f>
        <v/>
      </c>
      <c r="T17">
        <f>HYPERLINK("https://klasma.github.io/Logging_1784/kartor/A 23086-2024 karta.png", "A 23086-2024")</f>
        <v/>
      </c>
      <c r="U17">
        <f>HYPERLINK("https://klasma.github.io/Logging_1784/knärot/A 23086-2024 karta knärot.png", "A 23086-2024")</f>
        <v/>
      </c>
      <c r="V17">
        <f>HYPERLINK("https://klasma.github.io/Logging_1784/klagomål/A 23086-2024 FSC-klagomål.docx", "A 23086-2024")</f>
        <v/>
      </c>
      <c r="W17">
        <f>HYPERLINK("https://klasma.github.io/Logging_1784/klagomålsmail/A 23086-2024 FSC-klagomål mail.docx", "A 23086-2024")</f>
        <v/>
      </c>
      <c r="X17">
        <f>HYPERLINK("https://klasma.github.io/Logging_1784/tillsyn/A 23086-2024 tillsynsbegäran.docx", "A 23086-2024")</f>
        <v/>
      </c>
      <c r="Y17">
        <f>HYPERLINK("https://klasma.github.io/Logging_1784/tillsynsmail/A 23086-2024 tillsynsbegäran mail.docx", "A 23086-2024")</f>
        <v/>
      </c>
    </row>
    <row r="18" ht="15" customHeight="1">
      <c r="A18" t="inlineStr">
        <is>
          <t>A 45255-2024</t>
        </is>
      </c>
      <c r="B18" s="1" t="n">
        <v>45576</v>
      </c>
      <c r="C18" s="1" t="n">
        <v>45666</v>
      </c>
      <c r="D18" t="inlineStr">
        <is>
          <t>VÄRMLANDS LÄN</t>
        </is>
      </c>
      <c r="E18" t="inlineStr">
        <is>
          <t>ARVIKA</t>
        </is>
      </c>
      <c r="G18" t="n">
        <v>8.5</v>
      </c>
      <c r="H18" t="n">
        <v>0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Läderdoftande fingersvamp
Gulskölding
Honungsvaxskivling</t>
        </is>
      </c>
      <c r="S18">
        <f>HYPERLINK("https://klasma.github.io/Logging_1784/artfynd/A 45255-2024 artfynd.xlsx", "A 45255-2024")</f>
        <v/>
      </c>
      <c r="T18">
        <f>HYPERLINK("https://klasma.github.io/Logging_1784/kartor/A 45255-2024 karta.png", "A 45255-2024")</f>
        <v/>
      </c>
      <c r="V18">
        <f>HYPERLINK("https://klasma.github.io/Logging_1784/klagomål/A 45255-2024 FSC-klagomål.docx", "A 45255-2024")</f>
        <v/>
      </c>
      <c r="W18">
        <f>HYPERLINK("https://klasma.github.io/Logging_1784/klagomålsmail/A 45255-2024 FSC-klagomål mail.docx", "A 45255-2024")</f>
        <v/>
      </c>
      <c r="X18">
        <f>HYPERLINK("https://klasma.github.io/Logging_1784/tillsyn/A 45255-2024 tillsynsbegäran.docx", "A 45255-2024")</f>
        <v/>
      </c>
      <c r="Y18">
        <f>HYPERLINK("https://klasma.github.io/Logging_1784/tillsynsmail/A 45255-2024 tillsynsbegäran mail.docx", "A 45255-2024")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45666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25572-2019</t>
        </is>
      </c>
      <c r="B20" s="1" t="n">
        <v>43607</v>
      </c>
      <c r="C20" s="1" t="n">
        <v>45666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Vedticka</t>
        </is>
      </c>
      <c r="S20">
        <f>HYPERLINK("https://klasma.github.io/Logging_1784/artfynd/A 25572-2019 artfynd.xlsx", "A 25572-2019")</f>
        <v/>
      </c>
      <c r="T20">
        <f>HYPERLINK("https://klasma.github.io/Logging_1784/kartor/A 25572-2019 karta.png", "A 25572-2019")</f>
        <v/>
      </c>
      <c r="V20">
        <f>HYPERLINK("https://klasma.github.io/Logging_1784/klagomål/A 25572-2019 FSC-klagomål.docx", "A 25572-2019")</f>
        <v/>
      </c>
      <c r="W20">
        <f>HYPERLINK("https://klasma.github.io/Logging_1784/klagomålsmail/A 25572-2019 FSC-klagomål mail.docx", "A 25572-2019")</f>
        <v/>
      </c>
      <c r="X20">
        <f>HYPERLINK("https://klasma.github.io/Logging_1784/tillsyn/A 25572-2019 tillsynsbegäran.docx", "A 25572-2019")</f>
        <v/>
      </c>
      <c r="Y20">
        <f>HYPERLINK("https://klasma.github.io/Logging_1784/tillsynsmail/A 25572-2019 tillsynsbegäran mail.docx", "A 25572-2019")</f>
        <v/>
      </c>
    </row>
    <row r="21" ht="15" customHeight="1">
      <c r="A21" t="inlineStr">
        <is>
          <t>A 68629-2019</t>
        </is>
      </c>
      <c r="B21" s="1" t="n">
        <v>43819</v>
      </c>
      <c r="C21" s="1" t="n">
        <v>45666</v>
      </c>
      <c r="D21" t="inlineStr">
        <is>
          <t>VÄRMLANDS LÄN</t>
        </is>
      </c>
      <c r="E21" t="inlineStr">
        <is>
          <t>ARVIKA</t>
        </is>
      </c>
      <c r="G21" t="n">
        <v>11.3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Dvärglin
Havsörn</t>
        </is>
      </c>
      <c r="S21">
        <f>HYPERLINK("https://klasma.github.io/Logging_1784/artfynd/A 68629-2019 artfynd.xlsx", "A 68629-2019")</f>
        <v/>
      </c>
      <c r="T21">
        <f>HYPERLINK("https://klasma.github.io/Logging_1784/kartor/A 68629-2019 karta.png", "A 68629-2019")</f>
        <v/>
      </c>
      <c r="V21">
        <f>HYPERLINK("https://klasma.github.io/Logging_1784/klagomål/A 68629-2019 FSC-klagomål.docx", "A 68629-2019")</f>
        <v/>
      </c>
      <c r="W21">
        <f>HYPERLINK("https://klasma.github.io/Logging_1784/klagomålsmail/A 68629-2019 FSC-klagomål mail.docx", "A 68629-2019")</f>
        <v/>
      </c>
      <c r="X21">
        <f>HYPERLINK("https://klasma.github.io/Logging_1784/tillsyn/A 68629-2019 tillsynsbegäran.docx", "A 68629-2019")</f>
        <v/>
      </c>
      <c r="Y21">
        <f>HYPERLINK("https://klasma.github.io/Logging_1784/tillsynsmail/A 68629-2019 tillsynsbegäran mail.docx", "A 68629-2019")</f>
        <v/>
      </c>
      <c r="Z21">
        <f>HYPERLINK("https://klasma.github.io/Logging_1784/fåglar/A 68629-2019 prioriterade fågelarter.docx", "A 68629-2019")</f>
        <v/>
      </c>
    </row>
    <row r="22" ht="15" customHeight="1">
      <c r="A22" t="inlineStr">
        <is>
          <t>A 51666-2020</t>
        </is>
      </c>
      <c r="B22" s="1" t="n">
        <v>44113</v>
      </c>
      <c r="C22" s="1" t="n">
        <v>45666</v>
      </c>
      <c r="D22" t="inlineStr">
        <is>
          <t>VÄRMLANDS LÄN</t>
        </is>
      </c>
      <c r="E22" t="inlineStr">
        <is>
          <t>ARVIKA</t>
        </is>
      </c>
      <c r="G22" t="n">
        <v>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Hjeltfibbla
Rönnfibbla</t>
        </is>
      </c>
      <c r="S22">
        <f>HYPERLINK("https://klasma.github.io/Logging_1784/artfynd/A 51666-2020 artfynd.xlsx", "A 51666-2020")</f>
        <v/>
      </c>
      <c r="T22">
        <f>HYPERLINK("https://klasma.github.io/Logging_1784/kartor/A 51666-2020 karta.png", "A 51666-2020")</f>
        <v/>
      </c>
      <c r="V22">
        <f>HYPERLINK("https://klasma.github.io/Logging_1784/klagomål/A 51666-2020 FSC-klagomål.docx", "A 51666-2020")</f>
        <v/>
      </c>
      <c r="W22">
        <f>HYPERLINK("https://klasma.github.io/Logging_1784/klagomålsmail/A 51666-2020 FSC-klagomål mail.docx", "A 51666-2020")</f>
        <v/>
      </c>
      <c r="X22">
        <f>HYPERLINK("https://klasma.github.io/Logging_1784/tillsyn/A 51666-2020 tillsynsbegäran.docx", "A 51666-2020")</f>
        <v/>
      </c>
      <c r="Y22">
        <f>HYPERLINK("https://klasma.github.io/Logging_1784/tillsynsmail/A 51666-2020 tillsynsbegäran mail.docx", "A 51666-2020")</f>
        <v/>
      </c>
    </row>
    <row r="23" ht="15" customHeight="1">
      <c r="A23" t="inlineStr">
        <is>
          <t>A 45750-2021</t>
        </is>
      </c>
      <c r="B23" s="1" t="n">
        <v>44435</v>
      </c>
      <c r="C23" s="1" t="n">
        <v>45666</v>
      </c>
      <c r="D23" t="inlineStr">
        <is>
          <t>VÄRMLANDS LÄN</t>
        </is>
      </c>
      <c r="E23" t="inlineStr">
        <is>
          <t>ARVIKA</t>
        </is>
      </c>
      <c r="G23" t="n">
        <v>2.1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Lunglav
Talltita</t>
        </is>
      </c>
      <c r="S23">
        <f>HYPERLINK("https://klasma.github.io/Logging_1784/artfynd/A 45750-2021 artfynd.xlsx", "A 45750-2021")</f>
        <v/>
      </c>
      <c r="T23">
        <f>HYPERLINK("https://klasma.github.io/Logging_1784/kartor/A 45750-2021 karta.png", "A 45750-2021")</f>
        <v/>
      </c>
      <c r="V23">
        <f>HYPERLINK("https://klasma.github.io/Logging_1784/klagomål/A 45750-2021 FSC-klagomål.docx", "A 45750-2021")</f>
        <v/>
      </c>
      <c r="W23">
        <f>HYPERLINK("https://klasma.github.io/Logging_1784/klagomålsmail/A 45750-2021 FSC-klagomål mail.docx", "A 45750-2021")</f>
        <v/>
      </c>
      <c r="X23">
        <f>HYPERLINK("https://klasma.github.io/Logging_1784/tillsyn/A 45750-2021 tillsynsbegäran.docx", "A 45750-2021")</f>
        <v/>
      </c>
      <c r="Y23">
        <f>HYPERLINK("https://klasma.github.io/Logging_1784/tillsynsmail/A 45750-2021 tillsynsbegäran mail.docx", "A 45750-2021")</f>
        <v/>
      </c>
      <c r="Z23">
        <f>HYPERLINK("https://klasma.github.io/Logging_1784/fåglar/A 45750-2021 prioriterade fågelarter.docx", "A 45750-2021")</f>
        <v/>
      </c>
    </row>
    <row r="24" ht="15" customHeight="1">
      <c r="A24" t="inlineStr">
        <is>
          <t>A 54323-2021</t>
        </is>
      </c>
      <c r="B24" s="1" t="n">
        <v>44472</v>
      </c>
      <c r="C24" s="1" t="n">
        <v>45666</v>
      </c>
      <c r="D24" t="inlineStr">
        <is>
          <t>VÄRMLANDS LÄN</t>
        </is>
      </c>
      <c r="E24" t="inlineStr">
        <is>
          <t>ARVIKA</t>
        </is>
      </c>
      <c r="G24" t="n">
        <v>26.7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Tallticka
Vedskivlav</t>
        </is>
      </c>
      <c r="S24">
        <f>HYPERLINK("https://klasma.github.io/Logging_1784/artfynd/A 54323-2021 artfynd.xlsx", "A 54323-2021")</f>
        <v/>
      </c>
      <c r="T24">
        <f>HYPERLINK("https://klasma.github.io/Logging_1784/kartor/A 54323-2021 karta.png", "A 54323-2021")</f>
        <v/>
      </c>
      <c r="V24">
        <f>HYPERLINK("https://klasma.github.io/Logging_1784/klagomål/A 54323-2021 FSC-klagomål.docx", "A 54323-2021")</f>
        <v/>
      </c>
      <c r="W24">
        <f>HYPERLINK("https://klasma.github.io/Logging_1784/klagomålsmail/A 54323-2021 FSC-klagomål mail.docx", "A 54323-2021")</f>
        <v/>
      </c>
      <c r="X24">
        <f>HYPERLINK("https://klasma.github.io/Logging_1784/tillsyn/A 54323-2021 tillsynsbegäran.docx", "A 54323-2021")</f>
        <v/>
      </c>
      <c r="Y24">
        <f>HYPERLINK("https://klasma.github.io/Logging_1784/tillsynsmail/A 54323-2021 tillsynsbegäran mail.docx", "A 54323-2021")</f>
        <v/>
      </c>
    </row>
    <row r="25" ht="15" customHeight="1">
      <c r="A25" t="inlineStr">
        <is>
          <t>A 66652-2021</t>
        </is>
      </c>
      <c r="B25" s="1" t="n">
        <v>44519</v>
      </c>
      <c r="C25" s="1" t="n">
        <v>45666</v>
      </c>
      <c r="D25" t="inlineStr">
        <is>
          <t>VÄRMLANDS LÄN</t>
        </is>
      </c>
      <c r="E25" t="inlineStr">
        <is>
          <t>ARVIKA</t>
        </is>
      </c>
      <c r="G25" t="n">
        <v>12.3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Korallblylav</t>
        </is>
      </c>
      <c r="S25">
        <f>HYPERLINK("https://klasma.github.io/Logging_1784/artfynd/A 66652-2021 artfynd.xlsx", "A 66652-2021")</f>
        <v/>
      </c>
      <c r="T25">
        <f>HYPERLINK("https://klasma.github.io/Logging_1784/kartor/A 66652-2021 karta.png", "A 66652-2021")</f>
        <v/>
      </c>
      <c r="V25">
        <f>HYPERLINK("https://klasma.github.io/Logging_1784/klagomål/A 66652-2021 FSC-klagomål.docx", "A 66652-2021")</f>
        <v/>
      </c>
      <c r="W25">
        <f>HYPERLINK("https://klasma.github.io/Logging_1784/klagomålsmail/A 66652-2021 FSC-klagomål mail.docx", "A 66652-2021")</f>
        <v/>
      </c>
      <c r="X25">
        <f>HYPERLINK("https://klasma.github.io/Logging_1784/tillsyn/A 66652-2021 tillsynsbegäran.docx", "A 66652-2021")</f>
        <v/>
      </c>
      <c r="Y25">
        <f>HYPERLINK("https://klasma.github.io/Logging_1784/tillsynsmail/A 66652-2021 tillsynsbegäran mail.docx", "A 66652-2021")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45666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3340-2022</t>
        </is>
      </c>
      <c r="B27" s="1" t="n">
        <v>44585</v>
      </c>
      <c r="C27" s="1" t="n">
        <v>45666</v>
      </c>
      <c r="D27" t="inlineStr">
        <is>
          <t>VÄRMLANDS LÄN</t>
        </is>
      </c>
      <c r="E27" t="inlineStr">
        <is>
          <t>ARVIKA</t>
        </is>
      </c>
      <c r="G27" t="n">
        <v>5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Skinnlav
Stor aspticka</t>
        </is>
      </c>
      <c r="S27">
        <f>HYPERLINK("https://klasma.github.io/Logging_1784/artfynd/A 3340-2022 artfynd.xlsx", "A 3340-2022")</f>
        <v/>
      </c>
      <c r="T27">
        <f>HYPERLINK("https://klasma.github.io/Logging_1784/kartor/A 3340-2022 karta.png", "A 3340-2022")</f>
        <v/>
      </c>
      <c r="V27">
        <f>HYPERLINK("https://klasma.github.io/Logging_1784/klagomål/A 3340-2022 FSC-klagomål.docx", "A 3340-2022")</f>
        <v/>
      </c>
      <c r="W27">
        <f>HYPERLINK("https://klasma.github.io/Logging_1784/klagomålsmail/A 3340-2022 FSC-klagomål mail.docx", "A 3340-2022")</f>
        <v/>
      </c>
      <c r="X27">
        <f>HYPERLINK("https://klasma.github.io/Logging_1784/tillsyn/A 3340-2022 tillsynsbegäran.docx", "A 3340-2022")</f>
        <v/>
      </c>
      <c r="Y27">
        <f>HYPERLINK("https://klasma.github.io/Logging_1784/tillsynsmail/A 3340-2022 tillsynsbegäran mail.docx", "A 3340-2022")</f>
        <v/>
      </c>
    </row>
    <row r="28" ht="15" customHeight="1">
      <c r="A28" t="inlineStr">
        <is>
          <t>A 51769-2022</t>
        </is>
      </c>
      <c r="B28" s="1" t="n">
        <v>44872</v>
      </c>
      <c r="C28" s="1" t="n">
        <v>45666</v>
      </c>
      <c r="D28" t="inlineStr">
        <is>
          <t>VÄRMLANDS LÄN</t>
        </is>
      </c>
      <c r="E28" t="inlineStr">
        <is>
          <t>ARVIKA</t>
        </is>
      </c>
      <c r="F28" t="inlineStr">
        <is>
          <t>Kyrkan</t>
        </is>
      </c>
      <c r="G28" t="n">
        <v>1.9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Grönpyrola</t>
        </is>
      </c>
      <c r="S28">
        <f>HYPERLINK("https://klasma.github.io/Logging_1784/artfynd/A 51769-2022 artfynd.xlsx", "A 51769-2022")</f>
        <v/>
      </c>
      <c r="T28">
        <f>HYPERLINK("https://klasma.github.io/Logging_1784/kartor/A 51769-2022 karta.png", "A 51769-2022")</f>
        <v/>
      </c>
      <c r="U28">
        <f>HYPERLINK("https://klasma.github.io/Logging_1784/knärot/A 51769-2022 karta knärot.png", "A 51769-2022")</f>
        <v/>
      </c>
      <c r="V28">
        <f>HYPERLINK("https://klasma.github.io/Logging_1784/klagomål/A 51769-2022 FSC-klagomål.docx", "A 51769-2022")</f>
        <v/>
      </c>
      <c r="W28">
        <f>HYPERLINK("https://klasma.github.io/Logging_1784/klagomålsmail/A 51769-2022 FSC-klagomål mail.docx", "A 51769-2022")</f>
        <v/>
      </c>
      <c r="X28">
        <f>HYPERLINK("https://klasma.github.io/Logging_1784/tillsyn/A 51769-2022 tillsynsbegäran.docx", "A 51769-2022")</f>
        <v/>
      </c>
      <c r="Y28">
        <f>HYPERLINK("https://klasma.github.io/Logging_1784/tillsynsmail/A 51769-2022 tillsynsbegäran mail.docx", "A 51769-2022")</f>
        <v/>
      </c>
    </row>
    <row r="29" ht="15" customHeight="1">
      <c r="A29" t="inlineStr">
        <is>
          <t>A 8591-2023</t>
        </is>
      </c>
      <c r="B29" s="1" t="n">
        <v>44977</v>
      </c>
      <c r="C29" s="1" t="n">
        <v>45666</v>
      </c>
      <c r="D29" t="inlineStr">
        <is>
          <t>VÄRMLANDS LÄN</t>
        </is>
      </c>
      <c r="E29" t="inlineStr">
        <is>
          <t>ARVIKA</t>
        </is>
      </c>
      <c r="G29" t="n">
        <v>6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Fjällig taggsvamp s.str.</t>
        </is>
      </c>
      <c r="S29">
        <f>HYPERLINK("https://klasma.github.io/Logging_1784/artfynd/A 8591-2023 artfynd.xlsx", "A 8591-2023")</f>
        <v/>
      </c>
      <c r="T29">
        <f>HYPERLINK("https://klasma.github.io/Logging_1784/kartor/A 8591-2023 karta.png", "A 8591-2023")</f>
        <v/>
      </c>
      <c r="U29">
        <f>HYPERLINK("https://klasma.github.io/Logging_1784/knärot/A 8591-2023 karta knärot.png", "A 8591-2023")</f>
        <v/>
      </c>
      <c r="V29">
        <f>HYPERLINK("https://klasma.github.io/Logging_1784/klagomål/A 8591-2023 FSC-klagomål.docx", "A 8591-2023")</f>
        <v/>
      </c>
      <c r="W29">
        <f>HYPERLINK("https://klasma.github.io/Logging_1784/klagomålsmail/A 8591-2023 FSC-klagomål mail.docx", "A 8591-2023")</f>
        <v/>
      </c>
      <c r="X29">
        <f>HYPERLINK("https://klasma.github.io/Logging_1784/tillsyn/A 8591-2023 tillsynsbegäran.docx", "A 8591-2023")</f>
        <v/>
      </c>
      <c r="Y29">
        <f>HYPERLINK("https://klasma.github.io/Logging_1784/tillsynsmail/A 8591-2023 tillsynsbegäran mail.docx", "A 8591-2023")</f>
        <v/>
      </c>
    </row>
    <row r="30" ht="15" customHeight="1">
      <c r="A30" t="inlineStr">
        <is>
          <t>A 13630-2023</t>
        </is>
      </c>
      <c r="B30" s="1" t="n">
        <v>45006</v>
      </c>
      <c r="C30" s="1" t="n">
        <v>45666</v>
      </c>
      <c r="D30" t="inlineStr">
        <is>
          <t>VÄRMLANDS LÄN</t>
        </is>
      </c>
      <c r="E30" t="inlineStr">
        <is>
          <t>ARVIKA</t>
        </is>
      </c>
      <c r="G30" t="n">
        <v>11.2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Skogsalm
Tibast</t>
        </is>
      </c>
      <c r="S30">
        <f>HYPERLINK("https://klasma.github.io/Logging_1784/artfynd/A 13630-2023 artfynd.xlsx", "A 13630-2023")</f>
        <v/>
      </c>
      <c r="T30">
        <f>HYPERLINK("https://klasma.github.io/Logging_1784/kartor/A 13630-2023 karta.png", "A 13630-2023")</f>
        <v/>
      </c>
      <c r="V30">
        <f>HYPERLINK("https://klasma.github.io/Logging_1784/klagomål/A 13630-2023 FSC-klagomål.docx", "A 13630-2023")</f>
        <v/>
      </c>
      <c r="W30">
        <f>HYPERLINK("https://klasma.github.io/Logging_1784/klagomålsmail/A 13630-2023 FSC-klagomål mail.docx", "A 13630-2023")</f>
        <v/>
      </c>
      <c r="X30">
        <f>HYPERLINK("https://klasma.github.io/Logging_1784/tillsyn/A 13630-2023 tillsynsbegäran.docx", "A 13630-2023")</f>
        <v/>
      </c>
      <c r="Y30">
        <f>HYPERLINK("https://klasma.github.io/Logging_1784/tillsynsmail/A 13630-2023 tillsynsbegäran mail.docx", "A 13630-2023")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45666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45401-2023</t>
        </is>
      </c>
      <c r="B32" s="1" t="n">
        <v>45194</v>
      </c>
      <c r="C32" s="1" t="n">
        <v>45666</v>
      </c>
      <c r="D32" t="inlineStr">
        <is>
          <t>VÄRMLANDS LÄN</t>
        </is>
      </c>
      <c r="E32" t="inlineStr">
        <is>
          <t>ARVIKA</t>
        </is>
      </c>
      <c r="G32" t="n">
        <v>2.4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Skogsklocka</t>
        </is>
      </c>
      <c r="S32">
        <f>HYPERLINK("https://klasma.github.io/Logging_1784/artfynd/A 45401-2023 artfynd.xlsx", "A 45401-2023")</f>
        <v/>
      </c>
      <c r="T32">
        <f>HYPERLINK("https://klasma.github.io/Logging_1784/kartor/A 45401-2023 karta.png", "A 45401-2023")</f>
        <v/>
      </c>
      <c r="U32">
        <f>HYPERLINK("https://klasma.github.io/Logging_1784/knärot/A 45401-2023 karta knärot.png", "A 45401-2023")</f>
        <v/>
      </c>
      <c r="V32">
        <f>HYPERLINK("https://klasma.github.io/Logging_1784/klagomål/A 45401-2023 FSC-klagomål.docx", "A 45401-2023")</f>
        <v/>
      </c>
      <c r="W32">
        <f>HYPERLINK("https://klasma.github.io/Logging_1784/klagomålsmail/A 45401-2023 FSC-klagomål mail.docx", "A 45401-2023")</f>
        <v/>
      </c>
      <c r="X32">
        <f>HYPERLINK("https://klasma.github.io/Logging_1784/tillsyn/A 45401-2023 tillsynsbegäran.docx", "A 45401-2023")</f>
        <v/>
      </c>
      <c r="Y32">
        <f>HYPERLINK("https://klasma.github.io/Logging_1784/tillsynsmail/A 45401-2023 tillsynsbegäran mail.docx", "A 45401-2023")</f>
        <v/>
      </c>
    </row>
    <row r="33" ht="15" customHeight="1">
      <c r="A33" t="inlineStr">
        <is>
          <t>A 14025-2024</t>
        </is>
      </c>
      <c r="B33" s="1" t="n">
        <v>45392</v>
      </c>
      <c r="C33" s="1" t="n">
        <v>45666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14025-2024 artfynd.xlsx", "A 14025-2024")</f>
        <v/>
      </c>
      <c r="T33">
        <f>HYPERLINK("https://klasma.github.io/Logging_1784/kartor/A 14025-2024 karta.png", "A 14025-2024")</f>
        <v/>
      </c>
      <c r="U33">
        <f>HYPERLINK("https://klasma.github.io/Logging_1784/knärot/A 14025-2024 karta knärot.png", "A 14025-2024")</f>
        <v/>
      </c>
      <c r="V33">
        <f>HYPERLINK("https://klasma.github.io/Logging_1784/klagomål/A 14025-2024 FSC-klagomål.docx", "A 14025-2024")</f>
        <v/>
      </c>
      <c r="W33">
        <f>HYPERLINK("https://klasma.github.io/Logging_1784/klagomålsmail/A 14025-2024 FSC-klagomål mail.docx", "A 14025-2024")</f>
        <v/>
      </c>
      <c r="X33">
        <f>HYPERLINK("https://klasma.github.io/Logging_1784/tillsyn/A 14025-2024 tillsynsbegäran.docx", "A 14025-2024")</f>
        <v/>
      </c>
      <c r="Y33">
        <f>HYPERLINK("https://klasma.github.io/Logging_1784/tillsynsmail/A 14025-2024 tillsynsbegäran mail.docx", "A 14025-2024")</f>
        <v/>
      </c>
    </row>
    <row r="34" ht="15" customHeight="1">
      <c r="A34" t="inlineStr">
        <is>
          <t>A 21224-2024</t>
        </is>
      </c>
      <c r="B34" s="1" t="n">
        <v>45440</v>
      </c>
      <c r="C34" s="1" t="n">
        <v>45666</v>
      </c>
      <c r="D34" t="inlineStr">
        <is>
          <t>VÄRMLANDS LÄN</t>
        </is>
      </c>
      <c r="E34" t="inlineStr">
        <is>
          <t>ARVIKA</t>
        </is>
      </c>
      <c r="F34" t="inlineStr">
        <is>
          <t>Bergvik skog väst AB</t>
        </is>
      </c>
      <c r="G34" t="n">
        <v>2.4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Kortskaftad ärgspik
Spillkråka</t>
        </is>
      </c>
      <c r="S34">
        <f>HYPERLINK("https://klasma.github.io/Logging_1784/artfynd/A 21224-2024 artfynd.xlsx", "A 21224-2024")</f>
        <v/>
      </c>
      <c r="T34">
        <f>HYPERLINK("https://klasma.github.io/Logging_1784/kartor/A 21224-2024 karta.png", "A 21224-2024")</f>
        <v/>
      </c>
      <c r="V34">
        <f>HYPERLINK("https://klasma.github.io/Logging_1784/klagomål/A 21224-2024 FSC-klagomål.docx", "A 21224-2024")</f>
        <v/>
      </c>
      <c r="W34">
        <f>HYPERLINK("https://klasma.github.io/Logging_1784/klagomålsmail/A 21224-2024 FSC-klagomål mail.docx", "A 21224-2024")</f>
        <v/>
      </c>
      <c r="X34">
        <f>HYPERLINK("https://klasma.github.io/Logging_1784/tillsyn/A 21224-2024 tillsynsbegäran.docx", "A 21224-2024")</f>
        <v/>
      </c>
      <c r="Y34">
        <f>HYPERLINK("https://klasma.github.io/Logging_1784/tillsynsmail/A 21224-2024 tillsynsbegäran mail.docx", "A 21224-2024")</f>
        <v/>
      </c>
      <c r="Z34">
        <f>HYPERLINK("https://klasma.github.io/Logging_1784/fåglar/A 21224-2024 prioriterade fågelarter.docx", "A 21224-2024")</f>
        <v/>
      </c>
    </row>
    <row r="35" ht="15" customHeight="1">
      <c r="A35" t="inlineStr">
        <is>
          <t>A 23084-2024</t>
        </is>
      </c>
      <c r="B35" s="1" t="n">
        <v>45450</v>
      </c>
      <c r="C35" s="1" t="n">
        <v>45666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0.7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Vedskivlav</t>
        </is>
      </c>
      <c r="S35">
        <f>HYPERLINK("https://klasma.github.io/Logging_1784/artfynd/A 23084-2024 artfynd.xlsx", "A 23084-2024")</f>
        <v/>
      </c>
      <c r="T35">
        <f>HYPERLINK("https://klasma.github.io/Logging_1784/kartor/A 23084-2024 karta.png", "A 23084-2024")</f>
        <v/>
      </c>
      <c r="U35">
        <f>HYPERLINK("https://klasma.github.io/Logging_1784/knärot/A 23084-2024 karta knärot.png", "A 23084-2024")</f>
        <v/>
      </c>
      <c r="V35">
        <f>HYPERLINK("https://klasma.github.io/Logging_1784/klagomål/A 23084-2024 FSC-klagomål.docx", "A 23084-2024")</f>
        <v/>
      </c>
      <c r="W35">
        <f>HYPERLINK("https://klasma.github.io/Logging_1784/klagomålsmail/A 23084-2024 FSC-klagomål mail.docx", "A 23084-2024")</f>
        <v/>
      </c>
      <c r="X35">
        <f>HYPERLINK("https://klasma.github.io/Logging_1784/tillsyn/A 23084-2024 tillsynsbegäran.docx", "A 23084-2024")</f>
        <v/>
      </c>
      <c r="Y35">
        <f>HYPERLINK("https://klasma.github.io/Logging_1784/tillsynsmail/A 23084-2024 tillsynsbegäran mail.docx", "A 23084-2024")</f>
        <v/>
      </c>
    </row>
    <row r="36" ht="15" customHeight="1">
      <c r="A36" t="inlineStr">
        <is>
          <t>A 47217-2024</t>
        </is>
      </c>
      <c r="B36" s="1" t="n">
        <v>45586</v>
      </c>
      <c r="C36" s="1" t="n">
        <v>45666</v>
      </c>
      <c r="D36" t="inlineStr">
        <is>
          <t>VÄRMLANDS LÄN</t>
        </is>
      </c>
      <c r="E36" t="inlineStr">
        <is>
          <t>ARVIKA</t>
        </is>
      </c>
      <c r="G36" t="n">
        <v>5.6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Lopplummer</t>
        </is>
      </c>
      <c r="S36">
        <f>HYPERLINK("https://klasma.github.io/Logging_1784/artfynd/A 47217-2024 artfynd.xlsx", "A 47217-2024")</f>
        <v/>
      </c>
      <c r="T36">
        <f>HYPERLINK("https://klasma.github.io/Logging_1784/kartor/A 47217-2024 karta.png", "A 47217-2024")</f>
        <v/>
      </c>
      <c r="U36">
        <f>HYPERLINK("https://klasma.github.io/Logging_1784/knärot/A 47217-2024 karta knärot.png", "A 47217-2024")</f>
        <v/>
      </c>
      <c r="V36">
        <f>HYPERLINK("https://klasma.github.io/Logging_1784/klagomål/A 47217-2024 FSC-klagomål.docx", "A 47217-2024")</f>
        <v/>
      </c>
      <c r="W36">
        <f>HYPERLINK("https://klasma.github.io/Logging_1784/klagomålsmail/A 47217-2024 FSC-klagomål mail.docx", "A 47217-2024")</f>
        <v/>
      </c>
      <c r="X36">
        <f>HYPERLINK("https://klasma.github.io/Logging_1784/tillsyn/A 47217-2024 tillsynsbegäran.docx", "A 47217-2024")</f>
        <v/>
      </c>
      <c r="Y36">
        <f>HYPERLINK("https://klasma.github.io/Logging_1784/tillsynsmail/A 47217-2024 tillsynsbegäran mail.docx", "A 47217-2024")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45666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45666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45666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45666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45666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45666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45666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45666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45666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45666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45666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45666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45666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45666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45666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45666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45666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45666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45666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45666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45666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45666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45666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45666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45666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45666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45666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45666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45666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45666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45666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45666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45666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45666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45666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45666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45666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45666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45666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45666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45666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45666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45666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48010-2024</t>
        </is>
      </c>
      <c r="B80" s="1" t="n">
        <v>45589</v>
      </c>
      <c r="C80" s="1" t="n">
        <v>45666</v>
      </c>
      <c r="D80" t="inlineStr">
        <is>
          <t>VÄRMLANDS LÄN</t>
        </is>
      </c>
      <c r="E80" t="inlineStr">
        <is>
          <t>ARVIKA</t>
        </is>
      </c>
      <c r="G80" t="n">
        <v>6.7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48010-2024 artfynd.xlsx", "A 48010-2024")</f>
        <v/>
      </c>
      <c r="T80">
        <f>HYPERLINK("https://klasma.github.io/Logging_1784/kartor/A 48010-2024 karta.png", "A 48010-2024")</f>
        <v/>
      </c>
      <c r="U80">
        <f>HYPERLINK("https://klasma.github.io/Logging_1784/knärot/A 48010-2024 karta knärot.png", "A 48010-2024")</f>
        <v/>
      </c>
      <c r="V80">
        <f>HYPERLINK("https://klasma.github.io/Logging_1784/klagomål/A 48010-2024 FSC-klagomål.docx", "A 48010-2024")</f>
        <v/>
      </c>
      <c r="W80">
        <f>HYPERLINK("https://klasma.github.io/Logging_1784/klagomålsmail/A 48010-2024 FSC-klagomål mail.docx", "A 48010-2024")</f>
        <v/>
      </c>
      <c r="X80">
        <f>HYPERLINK("https://klasma.github.io/Logging_1784/tillsyn/A 48010-2024 tillsynsbegäran.docx", "A 48010-2024")</f>
        <v/>
      </c>
      <c r="Y80">
        <f>HYPERLINK("https://klasma.github.io/Logging_1784/tillsynsmail/A 48010-2024 tillsynsbegäran mail.docx", "A 48010-2024")</f>
        <v/>
      </c>
    </row>
    <row r="81" ht="15" customHeight="1">
      <c r="A81" t="inlineStr">
        <is>
          <t>A 58108-2024</t>
        </is>
      </c>
      <c r="B81" s="1" t="n">
        <v>45632</v>
      </c>
      <c r="C81" s="1" t="n">
        <v>45666</v>
      </c>
      <c r="D81" t="inlineStr">
        <is>
          <t>VÄRMLANDS LÄN</t>
        </is>
      </c>
      <c r="E81" t="inlineStr">
        <is>
          <t>ARVIKA</t>
        </is>
      </c>
      <c r="G81" t="n">
        <v>10.5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58108-2024 artfynd.xlsx", "A 58108-2024")</f>
        <v/>
      </c>
      <c r="T81">
        <f>HYPERLINK("https://klasma.github.io/Logging_1784/kartor/A 58108-2024 karta.png", "A 58108-2024")</f>
        <v/>
      </c>
      <c r="U81">
        <f>HYPERLINK("https://klasma.github.io/Logging_1784/knärot/A 58108-2024 karta knärot.png", "A 58108-2024")</f>
        <v/>
      </c>
      <c r="V81">
        <f>HYPERLINK("https://klasma.github.io/Logging_1784/klagomål/A 58108-2024 FSC-klagomål.docx", "A 58108-2024")</f>
        <v/>
      </c>
      <c r="W81">
        <f>HYPERLINK("https://klasma.github.io/Logging_1784/klagomålsmail/A 58108-2024 FSC-klagomål mail.docx", "A 58108-2024")</f>
        <v/>
      </c>
      <c r="X81">
        <f>HYPERLINK("https://klasma.github.io/Logging_1784/tillsyn/A 58108-2024 tillsynsbegäran.docx", "A 58108-2024")</f>
        <v/>
      </c>
      <c r="Y81">
        <f>HYPERLINK("https://klasma.github.io/Logging_1784/tillsynsmail/A 58108-2024 tillsynsbegäran mail.docx", "A 58108-2024")</f>
        <v/>
      </c>
    </row>
    <row r="82" ht="15" customHeight="1">
      <c r="A82" t="inlineStr">
        <is>
          <t>A 476-2025</t>
        </is>
      </c>
      <c r="B82" s="1" t="n">
        <v>45664</v>
      </c>
      <c r="C82" s="1" t="n">
        <v>45666</v>
      </c>
      <c r="D82" t="inlineStr">
        <is>
          <t>VÄRMLANDS LÄN</t>
        </is>
      </c>
      <c r="E82" t="inlineStr">
        <is>
          <t>ARVIKA</t>
        </is>
      </c>
      <c r="G82" t="n">
        <v>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476-2025 artfynd.xlsx", "A 476-2025")</f>
        <v/>
      </c>
      <c r="T82">
        <f>HYPERLINK("https://klasma.github.io/Logging_1784/kartor/A 476-2025 karta.png", "A 476-2025")</f>
        <v/>
      </c>
      <c r="U82">
        <f>HYPERLINK("https://klasma.github.io/Logging_1784/knärot/A 476-2025 karta knärot.png", "A 476-2025")</f>
        <v/>
      </c>
      <c r="V82">
        <f>HYPERLINK("https://klasma.github.io/Logging_1784/klagomål/A 476-2025 FSC-klagomål.docx", "A 476-2025")</f>
        <v/>
      </c>
      <c r="W82">
        <f>HYPERLINK("https://klasma.github.io/Logging_1784/klagomålsmail/A 476-2025 FSC-klagomål mail.docx", "A 476-2025")</f>
        <v/>
      </c>
      <c r="X82">
        <f>HYPERLINK("https://klasma.github.io/Logging_1784/tillsyn/A 476-2025 tillsynsbegäran.docx", "A 476-2025")</f>
        <v/>
      </c>
      <c r="Y82">
        <f>HYPERLINK("https://klasma.github.io/Logging_1784/tillsynsmail/A 476-2025 tillsynsbegäran mail.docx", "A 476-2025")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45666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45666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45666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45666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45666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45666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45666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45666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45666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45666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45666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45666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45666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45666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45666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45666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45666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45666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45666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45666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45666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45666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45666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45666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45666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45666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45666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45666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45666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45666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45666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45666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45666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45666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45666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45666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45666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45666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45666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45666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45666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45666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45666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45666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45666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45666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45666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45666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45666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45666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45666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45666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45666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45666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45666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45666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45666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45666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45666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45666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45666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45666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45666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45666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45666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45666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45666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45666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45666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45666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45666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45666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45666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45666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45666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45666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45666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45666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45666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45666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45666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45666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45666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45666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45666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45666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45666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45666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45666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45666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45666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45666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45666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45666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45666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45666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45666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45666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45666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45666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45666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45666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45666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45666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45666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45666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45666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45666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45666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45666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45666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45666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45666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45666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45666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45666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45666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45666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45666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45666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45666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45666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45666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45666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45666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45666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45666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45666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45666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45666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45666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45666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45666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45666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45666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45666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45666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45666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45666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45666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45666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45666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45666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45666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45666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45666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45666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45666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45666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45666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45666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45666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45666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45666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45666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45666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45666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45666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45666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45666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45666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45666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45666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45666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45666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45666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45666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45666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45666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45666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45666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45666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45666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45666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45666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45666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45666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45666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45666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45666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45666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45666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45666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45666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45666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45666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45666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45666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45666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45666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45666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45666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45666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45666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45666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45666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45666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45666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45666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45666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45666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45666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45666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45666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45666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45666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45666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45666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45666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45666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45666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45666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45666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45666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45666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45666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45666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45666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45666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45666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45666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45666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45666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45666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45666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45666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45666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45666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45666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45666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45666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45666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45666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45666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45666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45666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45666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45666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45666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45666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45666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45666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45666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45666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45666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45666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45666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45666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45666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45666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45666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45666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45666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45666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45666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45666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45666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45666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45666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45666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45666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45666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45666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45666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45666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45666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45666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45666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45666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45666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45666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45666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45666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45666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45666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45666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45666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45666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45666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45666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45666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45666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45666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45666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45666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45666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45666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45666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45666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45666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45666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45666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45666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45666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45666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45666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45666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45666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45666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45666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45666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45666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45666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45666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45666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45666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45666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45666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45666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45666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45666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45666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45666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45666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45666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45666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45666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45666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45666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45666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45666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45666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45666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45666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45666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45666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45666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45666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45666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45666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45666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45666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45666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45666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45666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45666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45666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45666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45666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45666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45666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45666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45666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45666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45666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45666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45666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45666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45666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45666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45666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45666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45666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45666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45666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45666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45666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45666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45666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45666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45666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45666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45666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45666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45666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45666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45666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45666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45666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45666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45666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45666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45666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45666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45666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45666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45666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45666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45666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45666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45666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45666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45666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45666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45666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45666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45666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45666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45666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45666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45666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45666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45666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45666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45666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45666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45666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45666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45666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45666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45666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45666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45666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45666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45666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45666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45666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45666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45666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45666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45666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45666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45666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45666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45666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45666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45666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45666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45666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45666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45666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45666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45666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45666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45666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45666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45666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45666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45666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45666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45666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45666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45666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45666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45666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45666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45666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45666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45666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45666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45666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45666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45666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45666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45666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45666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45666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45666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45666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45666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45666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45666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45666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45666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45666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45666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45666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45666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45666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45666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45666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45666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45666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45666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45666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45666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45666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45666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45666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45666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45666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45666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45666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45666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45666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45666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45666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45666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45666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45666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45666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45666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45666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45666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45666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45666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45666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45666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45666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45666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45666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45666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45666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45666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45666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45666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45666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45666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45666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45666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45666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45666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45666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45666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45666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45666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45666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45666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45666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45666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45666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45666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45666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45666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45666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45666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45666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45666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45666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45666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45666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45666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45666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45666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45666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45666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45666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45666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45666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45666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45666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45666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45666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45666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45666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45666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45666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45666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45666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45666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45666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45666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45666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45666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45666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45666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45666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45666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45666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45666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45666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45666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45666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45666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45666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45666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45666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45666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45666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45666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45666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45666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45666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45666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45666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45666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45666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45666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45666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45666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45666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45666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45666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45666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45666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45666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45666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45666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45666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45666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45666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45666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45666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45666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45666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45666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45666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45666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45666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45666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45666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45666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45666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45666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45666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45666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45666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45666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45666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45666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45666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45666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45666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45666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45666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45666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45666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45666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45666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45666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45666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45666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45666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45666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45666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45666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45666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45666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45666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45666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45666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45666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45666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45666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45666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45666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45666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45666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45666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45666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45666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45666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45666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45666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45666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45666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45666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45666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45666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45666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45666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45666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45666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45666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45666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45666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45666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45666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45666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45666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45666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45666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45666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45666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45666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45666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45666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45666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45666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45666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45666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45666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45666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45666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45666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45666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45666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45666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45666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45666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45666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45666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45666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45666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45666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45666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45666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45666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45666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45666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45666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45666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45666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45666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45666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45666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45666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45666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45666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45666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45666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45666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45666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45666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45666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45666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45666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45666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45666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45666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45666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45666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45666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45666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45666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45666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45666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45666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45666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45666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45666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45666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45666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45666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45666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45666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45666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45666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45666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45666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45666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45666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45666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45666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45666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45666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45666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45666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45666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45666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45666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45666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45666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45666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45666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45666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45666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45666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45666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45666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45666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45666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45666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45666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45666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45666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45666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45666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45666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45666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45666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45666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45666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45666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45666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45666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45666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45666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45666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45666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45666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45666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45666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45666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45666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45666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45666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45666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45666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45666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45666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45666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45666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45666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45666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45666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45666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45666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45666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45666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45666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45666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45666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45666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45666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45666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45666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45666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45666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45666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45666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45666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45666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45666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45666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45666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45666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45666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45666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45666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45666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45666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45666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45666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45666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45666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45666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45666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45666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45666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45666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45666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45666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45666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45666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45666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45666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45666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45666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45666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45666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45666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45666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45666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45666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45666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45666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45666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45666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45666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45666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45666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45666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45666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45666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45666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45666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45666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45666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45666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45666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45666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45666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45666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45666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45666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45666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45666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45666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45666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45666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45666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45666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45666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45666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45666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45666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45666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45666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45666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45666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45666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45666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45666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45666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45666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45666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45666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45666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45666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45666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45666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45666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45666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45666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45666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45666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45666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45666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45666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45666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45666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45666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45666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45666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45666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45666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45666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45666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45666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45666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45666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45666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45666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45666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45666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45666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45666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45666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45666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45666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45666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45666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45666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45666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45666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45666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45666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45666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45666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45666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45666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45666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45666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45666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45666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45666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45666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45666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45666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45666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45666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45666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45666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45666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45666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45666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45666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45666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45666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45666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45666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45666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45666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45666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45666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45666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45666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45666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45666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45666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45666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45666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45666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45666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45666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45666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45666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45666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45666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45666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45666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45666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45666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45666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45666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45666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45666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45666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45666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45666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45666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45666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45666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45666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45666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45666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45666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45666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45666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45666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45666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45666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45666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45666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45666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45666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45666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45666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45666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45666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45666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45666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45666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45666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45666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45666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45666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45666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45666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45666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45666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45666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45666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45666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45666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45666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45666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45666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45666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45666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45666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45666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45666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45666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45666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45666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45666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45666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45666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45666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45666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45666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45666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45666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45666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45666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45666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45666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45666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45666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45666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45666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45666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45666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45666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45666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45666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45666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45666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45666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45666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45666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45666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45666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45666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45666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45666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45666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45666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45666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45666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45666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45666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45666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45666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45666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45666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45666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45666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45666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45666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45666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45666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45666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45666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45666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45666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45666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45666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45666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45666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45666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45666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45666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45666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45666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45666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45666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45666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45666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45666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45666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45666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45666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45666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45666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45666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45666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45666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45666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45666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45666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45666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45666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45666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45666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45666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45666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45666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45666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45666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45666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45666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45666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45666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45666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45666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45666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45666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45666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45666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45666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45666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45666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45666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45666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45666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45666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45666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45666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45666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45666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45666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45666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45666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45666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45666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45666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45666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45666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45666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45666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45666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45666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45666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45666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45666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45666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45666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45666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45666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45666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45666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45666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45666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45666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45666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45666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45666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45666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45666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45666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45666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45666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45666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45666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45666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45666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45666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45666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45666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45666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45666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45666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45666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45666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45666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45666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45666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45666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45666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45666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45666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45666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45666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45666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45666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45666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45666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45666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45666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45666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45666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45666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45666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45666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45666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45666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45666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45666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45666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45666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45666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45666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45666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45666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45666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45666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45666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45666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45666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45666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45666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45666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45666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45666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45666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45666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45666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45666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45666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45666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45666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45666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45666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45666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45666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45666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45666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45666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45666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45666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45666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45666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45666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45666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45666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45666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45666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45666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45666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45666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45666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45666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45666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45666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45666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45666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45666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45666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45666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45666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45666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45666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45666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45666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45666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45666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45666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45666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45666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45666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45666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45666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45666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45666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45666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45666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45666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45666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45666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45666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45666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45666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45666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45666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45666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45666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45666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45666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45666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45666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45666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45666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45666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45666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45666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45666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45666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45666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45666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45666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45666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45666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45666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45666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45666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45666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45666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45666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45666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45666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45666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45666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45666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45666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45666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45666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45666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45666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45666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45666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45666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45666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45666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45666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45666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45666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45666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45666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45666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45666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45666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45666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45666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45666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45666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45666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45666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45666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45666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45666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45666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45666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45666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45666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45666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45666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45666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45666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45666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45666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45666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45666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45666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45666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45666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45666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45666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45666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45666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45666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45666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45666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45666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45666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45666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45666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45666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45666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45666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45666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45666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45666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45666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45666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45666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45666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45666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45666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45666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45666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45666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45666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45666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45666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45666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45666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45666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45666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45666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45666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45666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45666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45666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45666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45666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45666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45666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45666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45666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45666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45666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45666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45666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45666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45666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45666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45666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45666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45666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45666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45666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45666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45666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45666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45666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45666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45666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45666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45666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45666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45666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45666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45666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45666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45666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45666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45666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45666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45666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45666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45666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45666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45666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45666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45666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45666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45666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45666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45666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45666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45666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45666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45666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45666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45666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45666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45666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45666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45666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45666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45666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45666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45666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45666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45666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45666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45666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45666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45666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45666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45666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45666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45666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45666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45666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45666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45666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45666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45666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45666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45666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45666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45666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45666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45666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45666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45666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45666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45666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45666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45666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45666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45666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45666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45666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45666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45666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45666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45666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45666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45666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45666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45666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45666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45666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45666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45666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45666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45666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45666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45666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45666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45666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45666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45666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45666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45666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45666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45666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45666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45666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45666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45666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45666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45666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45666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45666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45666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45666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45666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45666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45666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45666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45666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45666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45666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45666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45666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45666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45666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45666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45666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45666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45666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45666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45666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45666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45666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45666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45666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45666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45666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45666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45666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45666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45666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45666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45666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45666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45666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45666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45666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45666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45666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45666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45666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45666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45666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45666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45666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45666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45666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45666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45666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45666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45666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45666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45666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45666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45666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45666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45666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45666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45666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45666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45666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45666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45666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45666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45666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45666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45666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45666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45666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45666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45666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45666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45666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45666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45666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45666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45666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45666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45666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45666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45666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45666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45666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45666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45666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45666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45666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45666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45666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45666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45666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45666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45666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45666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45666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45666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45666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45666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45666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45666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45666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45666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45666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45666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45666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45666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45666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45666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45666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45666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45666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45666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45666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45666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45666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45666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45666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45666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45666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45666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45666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45666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45666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45666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45666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45666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45666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45666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45666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45666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45666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45666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45666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45666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45666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45666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45666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45666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45666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45666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45666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45666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45666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45666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45666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45666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45666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45666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45666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45666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45666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45666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45666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45666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45666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45666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45666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45666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45666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45666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45666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45666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45666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45666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45666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45666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45666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45666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45666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45666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45666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45666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45666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45666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45666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45666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45666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45666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45666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45666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45666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45666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45666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45666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45666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45666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45666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45666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45666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45666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45666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45666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45666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45666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45666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45666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45666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45666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45666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45666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45666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45666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45666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45666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45666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45666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45666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45666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45666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45666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45666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45666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45666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45666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45666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45666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45666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45666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45666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45666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45666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45666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45666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45666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45666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45666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45666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45666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45666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45666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45666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45666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45666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45666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45666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45666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45666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45666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45666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45666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45666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45666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45666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45666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45666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45666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45666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45666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45666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45666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45666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45666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45666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45666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45666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45666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45666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45666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45666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45666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45666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45666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45666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45666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45666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45666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45666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45666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45666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45666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45666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45666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45666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45666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45666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45666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45666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45666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45666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45666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45666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45666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45666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45666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45666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45666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45666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45666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45666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45666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45666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45666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45666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45666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45666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45666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45666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45666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45666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45666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45666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45666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45666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45666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45666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45666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45666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45666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45666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45666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45666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45666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45666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45666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45666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45666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45666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45666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45666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45666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45666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45666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45666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45666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45666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45666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45666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45666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45666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45666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45666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45666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45666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45666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45666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45666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45666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45666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45666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45666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45666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45666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45666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45666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45666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45666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45666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45666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45666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45666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45666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45666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45666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45666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45666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45666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45666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45666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45666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45666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45666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45666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45666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45666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45666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45666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45666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45666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45666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45666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45666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45666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45666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45666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45666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45666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45666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45666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45666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45666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45666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45666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45666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45666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45666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45666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45666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45666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45666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45666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45666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45666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45666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45666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45666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45666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45666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45666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45666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45666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45666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45666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45666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45666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45666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45666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45666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45666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45666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45666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45666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45666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45666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45666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45666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45666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45666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45666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45666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45666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45666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45666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45666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45666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45666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45666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45666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45666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45666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45666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45666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45666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45666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45666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45666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45666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45666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45666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45666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45666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45666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45666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45666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45666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45666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45666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45666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45666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45666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45666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45666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45666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45666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45666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45666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45666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45666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45666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45666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45666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45666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45666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45666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45666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45666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45666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45666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45666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45666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45666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45666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45666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45666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45666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45666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45666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45666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45666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45666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45666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45666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45666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45666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45666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45666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45666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45666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45666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45666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45666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45666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45666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45666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45666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45666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45666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45666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45666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45666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45666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45666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45666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45666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45666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45666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45666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45666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45666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45666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45666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45666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45666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45666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45666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45666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45666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45666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45666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45666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45666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45666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45666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45666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45666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45666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45666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45666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45666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45666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45666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45666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45666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45666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45666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45666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45666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45666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45666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45666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45666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45666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45666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45666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45666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45666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45666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45666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45666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45666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45666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45666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45666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45666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45666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45666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45666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45666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45666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45666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45666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45666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45666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45666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45666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45666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45666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45666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45666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45666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45666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45666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45666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45666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45666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45666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45666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45666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45666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45666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45666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45666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45666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45666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45666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45666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45666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45666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45666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45666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59628-2024</t>
        </is>
      </c>
      <c r="B2160" s="1" t="n">
        <v>45638</v>
      </c>
      <c r="C2160" s="1" t="n">
        <v>45666</v>
      </c>
      <c r="D2160" t="inlineStr">
        <is>
          <t>VÄRMLANDS LÄN</t>
        </is>
      </c>
      <c r="E2160" t="inlineStr">
        <is>
          <t>ARVIKA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45666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59625-2024</t>
        </is>
      </c>
      <c r="B2162" s="1" t="n">
        <v>45638</v>
      </c>
      <c r="C2162" s="1" t="n">
        <v>45666</v>
      </c>
      <c r="D2162" t="inlineStr">
        <is>
          <t>VÄRMLANDS LÄN</t>
        </is>
      </c>
      <c r="E2162" t="inlineStr">
        <is>
          <t>ARVIKA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45666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60513-2024</t>
        </is>
      </c>
      <c r="B2164" s="1" t="n">
        <v>45643</v>
      </c>
      <c r="C2164" s="1" t="n">
        <v>45666</v>
      </c>
      <c r="D2164" t="inlineStr">
        <is>
          <t>VÄRMLANDS LÄN</t>
        </is>
      </c>
      <c r="E2164" t="inlineStr">
        <is>
          <t>ARVIKA</t>
        </is>
      </c>
      <c r="G2164" t="n">
        <v>4.8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60516-2024</t>
        </is>
      </c>
      <c r="B2165" s="1" t="n">
        <v>45643</v>
      </c>
      <c r="C2165" s="1" t="n">
        <v>45666</v>
      </c>
      <c r="D2165" t="inlineStr">
        <is>
          <t>VÄRMLANDS LÄN</t>
        </is>
      </c>
      <c r="E2165" t="inlineStr">
        <is>
          <t>ARVIKA</t>
        </is>
      </c>
      <c r="G2165" t="n">
        <v>1.6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60528-2024</t>
        </is>
      </c>
      <c r="B2166" s="1" t="n">
        <v>45643</v>
      </c>
      <c r="C2166" s="1" t="n">
        <v>45666</v>
      </c>
      <c r="D2166" t="inlineStr">
        <is>
          <t>VÄRMLANDS LÄN</t>
        </is>
      </c>
      <c r="E2166" t="inlineStr">
        <is>
          <t>ARVIKA</t>
        </is>
      </c>
      <c r="F2166" t="inlineStr">
        <is>
          <t>Bergvik skog väst AB</t>
        </is>
      </c>
      <c r="G2166" t="n">
        <v>3.6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60828-2024</t>
        </is>
      </c>
      <c r="B2167" s="1" t="n">
        <v>45644</v>
      </c>
      <c r="C2167" s="1" t="n">
        <v>45666</v>
      </c>
      <c r="D2167" t="inlineStr">
        <is>
          <t>VÄRMLANDS LÄN</t>
        </is>
      </c>
      <c r="E2167" t="inlineStr">
        <is>
          <t>ARVIKA</t>
        </is>
      </c>
      <c r="F2167" t="inlineStr">
        <is>
          <t>Bergvik skog väst AB</t>
        </is>
      </c>
      <c r="G2167" t="n">
        <v>3.6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60844-2024</t>
        </is>
      </c>
      <c r="B2168" s="1" t="n">
        <v>45644</v>
      </c>
      <c r="C2168" s="1" t="n">
        <v>45666</v>
      </c>
      <c r="D2168" t="inlineStr">
        <is>
          <t>VÄRMLANDS LÄN</t>
        </is>
      </c>
      <c r="E2168" t="inlineStr">
        <is>
          <t>ARVIKA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60826-2024</t>
        </is>
      </c>
      <c r="B2169" s="1" t="n">
        <v>45644</v>
      </c>
      <c r="C2169" s="1" t="n">
        <v>45666</v>
      </c>
      <c r="D2169" t="inlineStr">
        <is>
          <t>VÄRMLANDS LÄN</t>
        </is>
      </c>
      <c r="E2169" t="inlineStr">
        <is>
          <t>ARVIKA</t>
        </is>
      </c>
      <c r="G2169" t="n">
        <v>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60766-2024</t>
        </is>
      </c>
      <c r="B2170" s="1" t="n">
        <v>45644</v>
      </c>
      <c r="C2170" s="1" t="n">
        <v>45666</v>
      </c>
      <c r="D2170" t="inlineStr">
        <is>
          <t>VÄRMLANDS LÄN</t>
        </is>
      </c>
      <c r="E2170" t="inlineStr">
        <is>
          <t>ARVIKA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60995-2024</t>
        </is>
      </c>
      <c r="B2171" s="1" t="n">
        <v>45645</v>
      </c>
      <c r="C2171" s="1" t="n">
        <v>45666</v>
      </c>
      <c r="D2171" t="inlineStr">
        <is>
          <t>VÄRMLANDS LÄN</t>
        </is>
      </c>
      <c r="E2171" t="inlineStr">
        <is>
          <t>ARVIKA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60971-2024</t>
        </is>
      </c>
      <c r="B2172" s="1" t="n">
        <v>45645</v>
      </c>
      <c r="C2172" s="1" t="n">
        <v>45666</v>
      </c>
      <c r="D2172" t="inlineStr">
        <is>
          <t>VÄRMLANDS LÄN</t>
        </is>
      </c>
      <c r="E2172" t="inlineStr">
        <is>
          <t>ARVIKA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61008-2024</t>
        </is>
      </c>
      <c r="B2173" s="1" t="n">
        <v>45645</v>
      </c>
      <c r="C2173" s="1" t="n">
        <v>45666</v>
      </c>
      <c r="D2173" t="inlineStr">
        <is>
          <t>VÄRMLANDS LÄN</t>
        </is>
      </c>
      <c r="E2173" t="inlineStr">
        <is>
          <t>ARVIKA</t>
        </is>
      </c>
      <c r="G2173" t="n">
        <v>38.7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45666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61090-2024</t>
        </is>
      </c>
      <c r="B2175" s="1" t="n">
        <v>45645</v>
      </c>
      <c r="C2175" s="1" t="n">
        <v>45666</v>
      </c>
      <c r="D2175" t="inlineStr">
        <is>
          <t>VÄRMLANDS LÄN</t>
        </is>
      </c>
      <c r="E2175" t="inlineStr">
        <is>
          <t>ARVIKA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61203-2024</t>
        </is>
      </c>
      <c r="B2176" s="1" t="n">
        <v>45645</v>
      </c>
      <c r="C2176" s="1" t="n">
        <v>45666</v>
      </c>
      <c r="D2176" t="inlineStr">
        <is>
          <t>VÄRMLANDS LÄN</t>
        </is>
      </c>
      <c r="E2176" t="inlineStr">
        <is>
          <t>ARVIKA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60968-2024</t>
        </is>
      </c>
      <c r="B2177" s="1" t="n">
        <v>45645</v>
      </c>
      <c r="C2177" s="1" t="n">
        <v>45666</v>
      </c>
      <c r="D2177" t="inlineStr">
        <is>
          <t>VÄRMLANDS LÄN</t>
        </is>
      </c>
      <c r="E2177" t="inlineStr">
        <is>
          <t>ARVIKA</t>
        </is>
      </c>
      <c r="G2177" t="n">
        <v>2.9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60998-2024</t>
        </is>
      </c>
      <c r="B2178" s="1" t="n">
        <v>45645</v>
      </c>
      <c r="C2178" s="1" t="n">
        <v>45666</v>
      </c>
      <c r="D2178" t="inlineStr">
        <is>
          <t>VÄRMLANDS LÄN</t>
        </is>
      </c>
      <c r="E2178" t="inlineStr">
        <is>
          <t>ARVIKA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45666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45666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45666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61866-2024</t>
        </is>
      </c>
      <c r="B2182" s="1" t="n">
        <v>45651</v>
      </c>
      <c r="C2182" s="1" t="n">
        <v>45666</v>
      </c>
      <c r="D2182" t="inlineStr">
        <is>
          <t>VÄRMLANDS LÄN</t>
        </is>
      </c>
      <c r="E2182" t="inlineStr">
        <is>
          <t>ARVIKA</t>
        </is>
      </c>
      <c r="G2182" t="n">
        <v>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61865-2024</t>
        </is>
      </c>
      <c r="B2183" s="1" t="n">
        <v>45651</v>
      </c>
      <c r="C2183" s="1" t="n">
        <v>45666</v>
      </c>
      <c r="D2183" t="inlineStr">
        <is>
          <t>VÄRMLANDS LÄN</t>
        </is>
      </c>
      <c r="E2183" t="inlineStr">
        <is>
          <t>ARVIKA</t>
        </is>
      </c>
      <c r="G2183" t="n">
        <v>2.8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45666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45666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45666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45666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45666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45666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45666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45666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45666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45666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45666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45666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45666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45666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927-2025</t>
        </is>
      </c>
      <c r="B2198" s="1" t="n">
        <v>45665</v>
      </c>
      <c r="C2198" s="1" t="n">
        <v>45666</v>
      </c>
      <c r="D2198" t="inlineStr">
        <is>
          <t>VÄRMLANDS LÄN</t>
        </is>
      </c>
      <c r="E2198" t="inlineStr">
        <is>
          <t>ARVIKA</t>
        </is>
      </c>
      <c r="G2198" t="n">
        <v>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925-2025</t>
        </is>
      </c>
      <c r="B2199" s="1" t="n">
        <v>45665</v>
      </c>
      <c r="C2199" s="1" t="n">
        <v>45666</v>
      </c>
      <c r="D2199" t="inlineStr">
        <is>
          <t>VÄRMLANDS LÄN</t>
        </is>
      </c>
      <c r="E2199" t="inlineStr">
        <is>
          <t>ARVIKA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>
      <c r="A2200" t="inlineStr">
        <is>
          <t>A 929-2025</t>
        </is>
      </c>
      <c r="B2200" s="1" t="n">
        <v>45665</v>
      </c>
      <c r="C2200" s="1" t="n">
        <v>45666</v>
      </c>
      <c r="D2200" t="inlineStr">
        <is>
          <t>VÄRMLANDS LÄN</t>
        </is>
      </c>
      <c r="E2200" t="inlineStr">
        <is>
          <t>ARVIKA</t>
        </is>
      </c>
      <c r="G2200" t="n">
        <v>0.5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2025-01-09T16:10:28Z</dcterms:created>
  <dcterms:modified xmlns:dcterms="http://purl.org/dc/terms/" xmlns:xsi="http://www.w3.org/2001/XMLSchema-instance" xsi:type="dcterms:W3CDTF">2025-01-09T16:10:30Z</dcterms:modified>
</cp:coreProperties>
</file>