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45668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45668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45668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45668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45668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45668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45668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45668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45668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45668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45668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45668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45668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45668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45668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45668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45668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45668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45668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45668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45668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45668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45668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45668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45668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45668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45668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45668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47217-2024</t>
        </is>
      </c>
      <c r="B37" s="1" t="n">
        <v>45586</v>
      </c>
      <c r="C37" s="1" t="n">
        <v>45668</v>
      </c>
      <c r="D37" t="inlineStr">
        <is>
          <t>VÄRMLANDS LÄN</t>
        </is>
      </c>
      <c r="E37" t="inlineStr">
        <is>
          <t>ARVIKA</t>
        </is>
      </c>
      <c r="G37" t="n">
        <v>5.6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Lopplummer</t>
        </is>
      </c>
      <c r="S37">
        <f>HYPERLINK("https://klasma.github.io/Logging_1784/artfynd/A 47217-2024 artfynd.xlsx", "A 47217-2024")</f>
        <v/>
      </c>
      <c r="T37">
        <f>HYPERLINK("https://klasma.github.io/Logging_1784/kartor/A 47217-2024 karta.png", "A 47217-2024")</f>
        <v/>
      </c>
      <c r="U37">
        <f>HYPERLINK("https://klasma.github.io/Logging_1784/knärot/A 47217-2024 karta knärot.png", "A 47217-2024")</f>
        <v/>
      </c>
      <c r="V37">
        <f>HYPERLINK("https://klasma.github.io/Logging_1784/klagomål/A 47217-2024 FSC-klagomål.docx", "A 47217-2024")</f>
        <v/>
      </c>
      <c r="W37">
        <f>HYPERLINK("https://klasma.github.io/Logging_1784/klagomålsmail/A 47217-2024 FSC-klagomål mail.docx", "A 47217-2024")</f>
        <v/>
      </c>
      <c r="X37">
        <f>HYPERLINK("https://klasma.github.io/Logging_1784/tillsyn/A 47217-2024 tillsynsbegäran.docx", "A 47217-2024")</f>
        <v/>
      </c>
      <c r="Y37">
        <f>HYPERLINK("https://klasma.github.io/Logging_1784/tillsynsmail/A 47217-2024 tillsynsbegäran mail.docx", "A 47217-2024")</f>
        <v/>
      </c>
    </row>
    <row r="38" ht="15" customHeight="1">
      <c r="A38" t="inlineStr">
        <is>
          <t>A 19213-2019</t>
        </is>
      </c>
      <c r="B38" s="1" t="n">
        <v>43564</v>
      </c>
      <c r="C38" s="1" t="n">
        <v>45668</v>
      </c>
      <c r="D38" t="inlineStr">
        <is>
          <t>VÄRMLANDS LÄN</t>
        </is>
      </c>
      <c r="E38" t="inlineStr">
        <is>
          <t>ARVIKA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HYPERLINK("https://klasma.github.io/Logging_1784/artfynd/A 19213-2019 artfynd.xlsx", "A 19213-2019")</f>
        <v/>
      </c>
      <c r="T38">
        <f>HYPERLINK("https://klasma.github.io/Logging_1784/kartor/A 19213-2019 karta.png", "A 19213-2019")</f>
        <v/>
      </c>
      <c r="V38">
        <f>HYPERLINK("https://klasma.github.io/Logging_1784/klagomål/A 19213-2019 FSC-klagomål.docx", "A 19213-2019")</f>
        <v/>
      </c>
      <c r="W38">
        <f>HYPERLINK("https://klasma.github.io/Logging_1784/klagomålsmail/A 19213-2019 FSC-klagomål mail.docx", "A 19213-2019")</f>
        <v/>
      </c>
      <c r="X38">
        <f>HYPERLINK("https://klasma.github.io/Logging_1784/tillsyn/A 19213-2019 tillsynsbegäran.docx", "A 19213-2019")</f>
        <v/>
      </c>
      <c r="Y38">
        <f>HYPERLINK("https://klasma.github.io/Logging_1784/tillsynsmail/A 19213-2019 tillsynsbegäran mail.docx", "A 19213-2019")</f>
        <v/>
      </c>
    </row>
    <row r="39" ht="15" customHeight="1">
      <c r="A39" t="inlineStr">
        <is>
          <t>A 30304-2019</t>
        </is>
      </c>
      <c r="B39" s="1" t="n">
        <v>43634</v>
      </c>
      <c r="C39" s="1" t="n">
        <v>45668</v>
      </c>
      <c r="D39" t="inlineStr">
        <is>
          <t>VÄRMLANDS LÄN</t>
        </is>
      </c>
      <c r="E39" t="inlineStr">
        <is>
          <t>ARVIKA</t>
        </is>
      </c>
      <c r="G39" t="n">
        <v>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30304-2019 artfynd.xlsx", "A 30304-2019")</f>
        <v/>
      </c>
      <c r="T39">
        <f>HYPERLINK("https://klasma.github.io/Logging_1784/kartor/A 30304-2019 karta.png", "A 30304-2019")</f>
        <v/>
      </c>
      <c r="U39">
        <f>HYPERLINK("https://klasma.github.io/Logging_1784/knärot/A 30304-2019 karta knärot.png", "A 30304-2019")</f>
        <v/>
      </c>
      <c r="V39">
        <f>HYPERLINK("https://klasma.github.io/Logging_1784/klagomål/A 30304-2019 FSC-klagomål.docx", "A 30304-2019")</f>
        <v/>
      </c>
      <c r="W39">
        <f>HYPERLINK("https://klasma.github.io/Logging_1784/klagomålsmail/A 30304-2019 FSC-klagomål mail.docx", "A 30304-2019")</f>
        <v/>
      </c>
      <c r="X39">
        <f>HYPERLINK("https://klasma.github.io/Logging_1784/tillsyn/A 30304-2019 tillsynsbegäran.docx", "A 30304-2019")</f>
        <v/>
      </c>
      <c r="Y39">
        <f>HYPERLINK("https://klasma.github.io/Logging_1784/tillsynsmail/A 30304-2019 tillsynsbegäran mail.docx", "A 30304-2019")</f>
        <v/>
      </c>
    </row>
    <row r="40" ht="15" customHeight="1">
      <c r="A40" t="inlineStr">
        <is>
          <t>A 48854-2019</t>
        </is>
      </c>
      <c r="B40" s="1" t="n">
        <v>43728</v>
      </c>
      <c r="C40" s="1" t="n">
        <v>45668</v>
      </c>
      <c r="D40" t="inlineStr">
        <is>
          <t>VÄRMLANDS LÄN</t>
        </is>
      </c>
      <c r="E40" t="inlineStr">
        <is>
          <t>ARVIKA</t>
        </is>
      </c>
      <c r="G40" t="n">
        <v>8.1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48854-2019 artfynd.xlsx", "A 48854-2019")</f>
        <v/>
      </c>
      <c r="T40">
        <f>HYPERLINK("https://klasma.github.io/Logging_1784/kartor/A 48854-2019 karta.png", "A 48854-2019")</f>
        <v/>
      </c>
      <c r="U40">
        <f>HYPERLINK("https://klasma.github.io/Logging_1784/knärot/A 48854-2019 karta knärot.png", "A 48854-2019")</f>
        <v/>
      </c>
      <c r="V40">
        <f>HYPERLINK("https://klasma.github.io/Logging_1784/klagomål/A 48854-2019 FSC-klagomål.docx", "A 48854-2019")</f>
        <v/>
      </c>
      <c r="W40">
        <f>HYPERLINK("https://klasma.github.io/Logging_1784/klagomålsmail/A 48854-2019 FSC-klagomål mail.docx", "A 48854-2019")</f>
        <v/>
      </c>
      <c r="X40">
        <f>HYPERLINK("https://klasma.github.io/Logging_1784/tillsyn/A 48854-2019 tillsynsbegäran.docx", "A 48854-2019")</f>
        <v/>
      </c>
      <c r="Y40">
        <f>HYPERLINK("https://klasma.github.io/Logging_1784/tillsynsmail/A 48854-2019 tillsynsbegäran mail.docx", "A 48854-2019")</f>
        <v/>
      </c>
    </row>
    <row r="41" ht="15" customHeight="1">
      <c r="A41" t="inlineStr">
        <is>
          <t>A 55931-2019</t>
        </is>
      </c>
      <c r="B41" s="1" t="n">
        <v>43761</v>
      </c>
      <c r="C41" s="1" t="n">
        <v>45668</v>
      </c>
      <c r="D41" t="inlineStr">
        <is>
          <t>VÄRMLANDS LÄN</t>
        </is>
      </c>
      <c r="E41" t="inlineStr">
        <is>
          <t>ARVIKA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Blåtryffel</t>
        </is>
      </c>
      <c r="S41">
        <f>HYPERLINK("https://klasma.github.io/Logging_1784/artfynd/A 55931-2019 artfynd.xlsx", "A 55931-2019")</f>
        <v/>
      </c>
      <c r="T41">
        <f>HYPERLINK("https://klasma.github.io/Logging_1784/kartor/A 55931-2019 karta.png", "A 55931-2019")</f>
        <v/>
      </c>
      <c r="V41">
        <f>HYPERLINK("https://klasma.github.io/Logging_1784/klagomål/A 55931-2019 FSC-klagomål.docx", "A 55931-2019")</f>
        <v/>
      </c>
      <c r="W41">
        <f>HYPERLINK("https://klasma.github.io/Logging_1784/klagomålsmail/A 55931-2019 FSC-klagomål mail.docx", "A 55931-2019")</f>
        <v/>
      </c>
      <c r="X41">
        <f>HYPERLINK("https://klasma.github.io/Logging_1784/tillsyn/A 55931-2019 tillsynsbegäran.docx", "A 55931-2019")</f>
        <v/>
      </c>
      <c r="Y41">
        <f>HYPERLINK("https://klasma.github.io/Logging_1784/tillsynsmail/A 55931-2019 tillsynsbegäran mail.docx", "A 55931-2019")</f>
        <v/>
      </c>
    </row>
    <row r="42" ht="15" customHeight="1">
      <c r="A42" t="inlineStr">
        <is>
          <t>A 238-2020</t>
        </is>
      </c>
      <c r="B42" s="1" t="n">
        <v>43835</v>
      </c>
      <c r="C42" s="1" t="n">
        <v>45668</v>
      </c>
      <c r="D42" t="inlineStr">
        <is>
          <t>VÄRMLANDS LÄN</t>
        </is>
      </c>
      <c r="E42" t="inlineStr">
        <is>
          <t>ARVIKA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238-2020 artfynd.xlsx", "A 238-2020")</f>
        <v/>
      </c>
      <c r="T42">
        <f>HYPERLINK("https://klasma.github.io/Logging_1784/kartor/A 238-2020 karta.png", "A 238-2020")</f>
        <v/>
      </c>
      <c r="U42">
        <f>HYPERLINK("https://klasma.github.io/Logging_1784/knärot/A 238-2020 karta knärot.png", "A 238-2020")</f>
        <v/>
      </c>
      <c r="V42">
        <f>HYPERLINK("https://klasma.github.io/Logging_1784/klagomål/A 238-2020 FSC-klagomål.docx", "A 238-2020")</f>
        <v/>
      </c>
      <c r="W42">
        <f>HYPERLINK("https://klasma.github.io/Logging_1784/klagomålsmail/A 238-2020 FSC-klagomål mail.docx", "A 238-2020")</f>
        <v/>
      </c>
      <c r="X42">
        <f>HYPERLINK("https://klasma.github.io/Logging_1784/tillsyn/A 238-2020 tillsynsbegäran.docx", "A 238-2020")</f>
        <v/>
      </c>
      <c r="Y42">
        <f>HYPERLINK("https://klasma.github.io/Logging_1784/tillsynsmail/A 238-2020 tillsynsbegäran mail.docx", "A 238-2020")</f>
        <v/>
      </c>
    </row>
    <row r="43" ht="15" customHeight="1">
      <c r="A43" t="inlineStr">
        <is>
          <t>A 10858-2020</t>
        </is>
      </c>
      <c r="B43" s="1" t="n">
        <v>43889</v>
      </c>
      <c r="C43" s="1" t="n">
        <v>45668</v>
      </c>
      <c r="D43" t="inlineStr">
        <is>
          <t>VÄRMLANDS LÄN</t>
        </is>
      </c>
      <c r="E43" t="inlineStr">
        <is>
          <t>ARVIKA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HYPERLINK("https://klasma.github.io/Logging_1784/artfynd/A 10858-2020 artfynd.xlsx", "A 10858-2020")</f>
        <v/>
      </c>
      <c r="T43">
        <f>HYPERLINK("https://klasma.github.io/Logging_1784/kartor/A 10858-2020 karta.png", "A 10858-2020")</f>
        <v/>
      </c>
      <c r="V43">
        <f>HYPERLINK("https://klasma.github.io/Logging_1784/klagomål/A 10858-2020 FSC-klagomål.docx", "A 10858-2020")</f>
        <v/>
      </c>
      <c r="W43">
        <f>HYPERLINK("https://klasma.github.io/Logging_1784/klagomålsmail/A 10858-2020 FSC-klagomål mail.docx", "A 10858-2020")</f>
        <v/>
      </c>
      <c r="X43">
        <f>HYPERLINK("https://klasma.github.io/Logging_1784/tillsyn/A 10858-2020 tillsynsbegäran.docx", "A 10858-2020")</f>
        <v/>
      </c>
      <c r="Y43">
        <f>HYPERLINK("https://klasma.github.io/Logging_1784/tillsynsmail/A 10858-2020 tillsynsbegäran mail.docx", "A 10858-2020")</f>
        <v/>
      </c>
    </row>
    <row r="44" ht="15" customHeight="1">
      <c r="A44" t="inlineStr">
        <is>
          <t>A 13461-2020</t>
        </is>
      </c>
      <c r="B44" s="1" t="n">
        <v>43902</v>
      </c>
      <c r="C44" s="1" t="n">
        <v>45668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13461-2020 artfynd.xlsx", "A 13461-2020")</f>
        <v/>
      </c>
      <c r="T44">
        <f>HYPERLINK("https://klasma.github.io/Logging_1784/kartor/A 13461-2020 karta.png", "A 13461-2020")</f>
        <v/>
      </c>
      <c r="U44">
        <f>HYPERLINK("https://klasma.github.io/Logging_1784/knärot/A 13461-2020 karta knärot.png", "A 13461-2020")</f>
        <v/>
      </c>
      <c r="V44">
        <f>HYPERLINK("https://klasma.github.io/Logging_1784/klagomål/A 13461-2020 FSC-klagomål.docx", "A 13461-2020")</f>
        <v/>
      </c>
      <c r="W44">
        <f>HYPERLINK("https://klasma.github.io/Logging_1784/klagomålsmail/A 13461-2020 FSC-klagomål mail.docx", "A 13461-2020")</f>
        <v/>
      </c>
      <c r="X44">
        <f>HYPERLINK("https://klasma.github.io/Logging_1784/tillsyn/A 13461-2020 tillsynsbegäran.docx", "A 13461-2020")</f>
        <v/>
      </c>
      <c r="Y44">
        <f>HYPERLINK("https://klasma.github.io/Logging_1784/tillsynsmail/A 13461-2020 tillsynsbegäran mail.docx", "A 13461-2020")</f>
        <v/>
      </c>
    </row>
    <row r="45" ht="15" customHeight="1">
      <c r="A45" t="inlineStr">
        <is>
          <t>A 30729-2020</t>
        </is>
      </c>
      <c r="B45" s="1" t="n">
        <v>44008</v>
      </c>
      <c r="C45" s="1" t="n">
        <v>45668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30729-2020 artfynd.xlsx", "A 30729-2020")</f>
        <v/>
      </c>
      <c r="T45">
        <f>HYPERLINK("https://klasma.github.io/Logging_1784/kartor/A 30729-2020 karta.png", "A 30729-2020")</f>
        <v/>
      </c>
      <c r="U45">
        <f>HYPERLINK("https://klasma.github.io/Logging_1784/knärot/A 30729-2020 karta knärot.png", "A 30729-2020")</f>
        <v/>
      </c>
      <c r="V45">
        <f>HYPERLINK("https://klasma.github.io/Logging_1784/klagomål/A 30729-2020 FSC-klagomål.docx", "A 30729-2020")</f>
        <v/>
      </c>
      <c r="W45">
        <f>HYPERLINK("https://klasma.github.io/Logging_1784/klagomålsmail/A 30729-2020 FSC-klagomål mail.docx", "A 30729-2020")</f>
        <v/>
      </c>
      <c r="X45">
        <f>HYPERLINK("https://klasma.github.io/Logging_1784/tillsyn/A 30729-2020 tillsynsbegäran.docx", "A 30729-2020")</f>
        <v/>
      </c>
      <c r="Y45">
        <f>HYPERLINK("https://klasma.github.io/Logging_1784/tillsynsmail/A 30729-2020 tillsynsbegäran mail.docx", "A 30729-2020")</f>
        <v/>
      </c>
    </row>
    <row r="46" ht="15" customHeight="1">
      <c r="A46" t="inlineStr">
        <is>
          <t>A 34769-2020</t>
        </is>
      </c>
      <c r="B46" s="1" t="n">
        <v>44035</v>
      </c>
      <c r="C46" s="1" t="n">
        <v>45668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34769-2020 artfynd.xlsx", "A 34769-2020")</f>
        <v/>
      </c>
      <c r="T46">
        <f>HYPERLINK("https://klasma.github.io/Logging_1784/kartor/A 34769-2020 karta.png", "A 34769-2020")</f>
        <v/>
      </c>
      <c r="U46">
        <f>HYPERLINK("https://klasma.github.io/Logging_1784/knärot/A 34769-2020 karta knärot.png", "A 34769-2020")</f>
        <v/>
      </c>
      <c r="V46">
        <f>HYPERLINK("https://klasma.github.io/Logging_1784/klagomål/A 34769-2020 FSC-klagomål.docx", "A 34769-2020")</f>
        <v/>
      </c>
      <c r="W46">
        <f>HYPERLINK("https://klasma.github.io/Logging_1784/klagomålsmail/A 34769-2020 FSC-klagomål mail.docx", "A 34769-2020")</f>
        <v/>
      </c>
      <c r="X46">
        <f>HYPERLINK("https://klasma.github.io/Logging_1784/tillsyn/A 34769-2020 tillsynsbegäran.docx", "A 34769-2020")</f>
        <v/>
      </c>
      <c r="Y46">
        <f>HYPERLINK("https://klasma.github.io/Logging_1784/tillsynsmail/A 34769-2020 tillsynsbegäran mail.docx", "A 34769-2020")</f>
        <v/>
      </c>
    </row>
    <row r="47" ht="15" customHeight="1">
      <c r="A47" t="inlineStr">
        <is>
          <t>A 36688-2020</t>
        </is>
      </c>
      <c r="B47" s="1" t="n">
        <v>44052</v>
      </c>
      <c r="C47" s="1" t="n">
        <v>45668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36688-2020 artfynd.xlsx", "A 36688-2020")</f>
        <v/>
      </c>
      <c r="T47">
        <f>HYPERLINK("https://klasma.github.io/Logging_1784/kartor/A 36688-2020 karta.png", "A 36688-2020")</f>
        <v/>
      </c>
      <c r="U47">
        <f>HYPERLINK("https://klasma.github.io/Logging_1784/knärot/A 36688-2020 karta knärot.png", "A 36688-2020")</f>
        <v/>
      </c>
      <c r="V47">
        <f>HYPERLINK("https://klasma.github.io/Logging_1784/klagomål/A 36688-2020 FSC-klagomål.docx", "A 36688-2020")</f>
        <v/>
      </c>
      <c r="W47">
        <f>HYPERLINK("https://klasma.github.io/Logging_1784/klagomålsmail/A 36688-2020 FSC-klagomål mail.docx", "A 36688-2020")</f>
        <v/>
      </c>
      <c r="X47">
        <f>HYPERLINK("https://klasma.github.io/Logging_1784/tillsyn/A 36688-2020 tillsynsbegäran.docx", "A 36688-2020")</f>
        <v/>
      </c>
      <c r="Y47">
        <f>HYPERLINK("https://klasma.github.io/Logging_1784/tillsynsmail/A 36688-2020 tillsynsbegäran mail.docx", "A 36688-2020")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45668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56253-2020</t>
        </is>
      </c>
      <c r="B49" s="1" t="n">
        <v>44134</v>
      </c>
      <c r="C49" s="1" t="n">
        <v>45668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56253-2020 artfynd.xlsx", "A 56253-2020")</f>
        <v/>
      </c>
      <c r="T49">
        <f>HYPERLINK("https://klasma.github.io/Logging_1784/kartor/A 56253-2020 karta.png", "A 56253-2020")</f>
        <v/>
      </c>
      <c r="V49">
        <f>HYPERLINK("https://klasma.github.io/Logging_1784/klagomål/A 56253-2020 FSC-klagomål.docx", "A 56253-2020")</f>
        <v/>
      </c>
      <c r="W49">
        <f>HYPERLINK("https://klasma.github.io/Logging_1784/klagomålsmail/A 56253-2020 FSC-klagomål mail.docx", "A 56253-2020")</f>
        <v/>
      </c>
      <c r="X49">
        <f>HYPERLINK("https://klasma.github.io/Logging_1784/tillsyn/A 56253-2020 tillsynsbegäran.docx", "A 56253-2020")</f>
        <v/>
      </c>
      <c r="Y49">
        <f>HYPERLINK("https://klasma.github.io/Logging_1784/tillsynsmail/A 56253-2020 tillsynsbegäran mail.docx", "A 56253-2020")</f>
        <v/>
      </c>
      <c r="Z49">
        <f>HYPERLINK("https://klasma.github.io/Logging_1784/fåglar/A 56253-2020 prioriterade fågelarter.docx", "A 56253-2020")</f>
        <v/>
      </c>
    </row>
    <row r="50" ht="15" customHeight="1">
      <c r="A50" t="inlineStr">
        <is>
          <t>A 63540-2020</t>
        </is>
      </c>
      <c r="B50" s="1" t="n">
        <v>44165</v>
      </c>
      <c r="C50" s="1" t="n">
        <v>45668</v>
      </c>
      <c r="D50" t="inlineStr">
        <is>
          <t>VÄRMLANDS LÄN</t>
        </is>
      </c>
      <c r="E50" t="inlineStr">
        <is>
          <t>ARVIKA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63540-2020 artfynd.xlsx", "A 63540-2020")</f>
        <v/>
      </c>
      <c r="T50">
        <f>HYPERLINK("https://klasma.github.io/Logging_1784/kartor/A 63540-2020 karta.png", "A 63540-2020")</f>
        <v/>
      </c>
      <c r="U50">
        <f>HYPERLINK("https://klasma.github.io/Logging_1784/knärot/A 63540-2020 karta knärot.png", "A 63540-2020")</f>
        <v/>
      </c>
      <c r="V50">
        <f>HYPERLINK("https://klasma.github.io/Logging_1784/klagomål/A 63540-2020 FSC-klagomål.docx", "A 63540-2020")</f>
        <v/>
      </c>
      <c r="W50">
        <f>HYPERLINK("https://klasma.github.io/Logging_1784/klagomålsmail/A 63540-2020 FSC-klagomål mail.docx", "A 63540-2020")</f>
        <v/>
      </c>
      <c r="X50">
        <f>HYPERLINK("https://klasma.github.io/Logging_1784/tillsyn/A 63540-2020 tillsynsbegäran.docx", "A 63540-2020")</f>
        <v/>
      </c>
      <c r="Y50">
        <f>HYPERLINK("https://klasma.github.io/Logging_1784/tillsynsmail/A 63540-2020 tillsynsbegäran mail.docx", "A 63540-2020")</f>
        <v/>
      </c>
    </row>
    <row r="51" ht="15" customHeight="1">
      <c r="A51" t="inlineStr">
        <is>
          <t>A 24022-2021</t>
        </is>
      </c>
      <c r="B51" s="1" t="n">
        <v>44336</v>
      </c>
      <c r="C51" s="1" t="n">
        <v>45668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45668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37342-2021</t>
        </is>
      </c>
      <c r="B53" s="1" t="n">
        <v>44397</v>
      </c>
      <c r="C53" s="1" t="n">
        <v>45668</v>
      </c>
      <c r="D53" t="inlineStr">
        <is>
          <t>VÄRMLANDS LÄN</t>
        </is>
      </c>
      <c r="E53" t="inlineStr">
        <is>
          <t>ARVIKA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37342-2021 artfynd.xlsx", "A 37342-2021")</f>
        <v/>
      </c>
      <c r="T53">
        <f>HYPERLINK("https://klasma.github.io/Logging_1784/kartor/A 37342-2021 karta.png", "A 37342-2021")</f>
        <v/>
      </c>
      <c r="U53">
        <f>HYPERLINK("https://klasma.github.io/Logging_1784/knärot/A 37342-2021 karta knärot.png", "A 37342-2021")</f>
        <v/>
      </c>
      <c r="V53">
        <f>HYPERLINK("https://klasma.github.io/Logging_1784/klagomål/A 37342-2021 FSC-klagomål.docx", "A 37342-2021")</f>
        <v/>
      </c>
      <c r="W53">
        <f>HYPERLINK("https://klasma.github.io/Logging_1784/klagomålsmail/A 37342-2021 FSC-klagomål mail.docx", "A 37342-2021")</f>
        <v/>
      </c>
      <c r="X53">
        <f>HYPERLINK("https://klasma.github.io/Logging_1784/tillsyn/A 37342-2021 tillsynsbegäran.docx", "A 37342-2021")</f>
        <v/>
      </c>
      <c r="Y53">
        <f>HYPERLINK("https://klasma.github.io/Logging_1784/tillsynsmail/A 37342-2021 tillsynsbegäran mail.docx", "A 37342-2021")</f>
        <v/>
      </c>
    </row>
    <row r="54" ht="15" customHeight="1">
      <c r="A54" t="inlineStr">
        <is>
          <t>A 56872-2021</t>
        </is>
      </c>
      <c r="B54" s="1" t="n">
        <v>44481</v>
      </c>
      <c r="C54" s="1" t="n">
        <v>45668</v>
      </c>
      <c r="D54" t="inlineStr">
        <is>
          <t>VÄRMLANDS LÄN</t>
        </is>
      </c>
      <c r="E54" t="inlineStr">
        <is>
          <t>ARVIKA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56872-2021 artfynd.xlsx", "A 56872-2021")</f>
        <v/>
      </c>
      <c r="T54">
        <f>HYPERLINK("https://klasma.github.io/Logging_1784/kartor/A 56872-2021 karta.png", "A 56872-2021")</f>
        <v/>
      </c>
      <c r="U54">
        <f>HYPERLINK("https://klasma.github.io/Logging_1784/knärot/A 56872-2021 karta knärot.png", "A 56872-2021")</f>
        <v/>
      </c>
      <c r="V54">
        <f>HYPERLINK("https://klasma.github.io/Logging_1784/klagomål/A 56872-2021 FSC-klagomål.docx", "A 56872-2021")</f>
        <v/>
      </c>
      <c r="W54">
        <f>HYPERLINK("https://klasma.github.io/Logging_1784/klagomålsmail/A 56872-2021 FSC-klagomål mail.docx", "A 56872-2021")</f>
        <v/>
      </c>
      <c r="X54">
        <f>HYPERLINK("https://klasma.github.io/Logging_1784/tillsyn/A 56872-2021 tillsynsbegäran.docx", "A 56872-2021")</f>
        <v/>
      </c>
      <c r="Y54">
        <f>HYPERLINK("https://klasma.github.io/Logging_1784/tillsynsmail/A 56872-2021 tillsynsbegäran mail.docx", "A 56872-2021")</f>
        <v/>
      </c>
    </row>
    <row r="55" ht="15" customHeight="1">
      <c r="A55" t="inlineStr">
        <is>
          <t>A 62619-2021</t>
        </is>
      </c>
      <c r="B55" s="1" t="n">
        <v>44503</v>
      </c>
      <c r="C55" s="1" t="n">
        <v>45668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HYPERLINK("https://klasma.github.io/Logging_1784/artfynd/A 62619-2021 artfynd.xlsx", "A 62619-2021")</f>
        <v/>
      </c>
      <c r="T55">
        <f>HYPERLINK("https://klasma.github.io/Logging_1784/kartor/A 62619-2021 karta.png", "A 62619-2021")</f>
        <v/>
      </c>
      <c r="V55">
        <f>HYPERLINK("https://klasma.github.io/Logging_1784/klagomål/A 62619-2021 FSC-klagomål.docx", "A 62619-2021")</f>
        <v/>
      </c>
      <c r="W55">
        <f>HYPERLINK("https://klasma.github.io/Logging_1784/klagomålsmail/A 62619-2021 FSC-klagomål mail.docx", "A 62619-2021")</f>
        <v/>
      </c>
      <c r="X55">
        <f>HYPERLINK("https://klasma.github.io/Logging_1784/tillsyn/A 62619-2021 tillsynsbegäran.docx", "A 62619-2021")</f>
        <v/>
      </c>
      <c r="Y55">
        <f>HYPERLINK("https://klasma.github.io/Logging_1784/tillsynsmail/A 62619-2021 tillsynsbegäran mail.docx", "A 62619-2021")</f>
        <v/>
      </c>
      <c r="Z55">
        <f>HYPERLINK("https://klasma.github.io/Logging_1784/fåglar/A 62619-2021 prioriterade fågelarter.docx", "A 62619-2021")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45668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45668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45668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45668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45668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45668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45668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45668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45668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45668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45668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45668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45668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45668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45668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45668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45668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45668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45668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45668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45668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17928-2024</t>
        </is>
      </c>
      <c r="B77" s="1" t="n">
        <v>45419</v>
      </c>
      <c r="C77" s="1" t="n">
        <v>45668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Bårdlav</t>
        </is>
      </c>
      <c r="S77">
        <f>HYPERLINK("https://klasma.github.io/Logging_1784/artfynd/A 17928-2024 artfynd.xlsx", "A 17928-2024")</f>
        <v/>
      </c>
      <c r="T77">
        <f>HYPERLINK("https://klasma.github.io/Logging_1784/kartor/A 17928-2024 karta.png", "A 17928-2024")</f>
        <v/>
      </c>
      <c r="V77">
        <f>HYPERLINK("https://klasma.github.io/Logging_1784/klagomål/A 17928-2024 FSC-klagomål.docx", "A 17928-2024")</f>
        <v/>
      </c>
      <c r="W77">
        <f>HYPERLINK("https://klasma.github.io/Logging_1784/klagomålsmail/A 17928-2024 FSC-klagomål mail.docx", "A 17928-2024")</f>
        <v/>
      </c>
      <c r="X77">
        <f>HYPERLINK("https://klasma.github.io/Logging_1784/tillsyn/A 17928-2024 tillsynsbegäran.docx", "A 17928-2024")</f>
        <v/>
      </c>
      <c r="Y77">
        <f>HYPERLINK("https://klasma.github.io/Logging_1784/tillsynsmail/A 17928-2024 tillsynsbegäran mail.docx", "A 17928-2024")</f>
        <v/>
      </c>
    </row>
    <row r="78" ht="15" customHeight="1">
      <c r="A78" t="inlineStr">
        <is>
          <t>A 19026-2024</t>
        </is>
      </c>
      <c r="B78" s="1" t="n">
        <v>45427</v>
      </c>
      <c r="C78" s="1" t="n">
        <v>45668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HYPERLINK("https://klasma.github.io/Logging_1784/artfynd/A 19026-2024 artfynd.xlsx", "A 19026-2024")</f>
        <v/>
      </c>
      <c r="T78">
        <f>HYPERLINK("https://klasma.github.io/Logging_1784/kartor/A 19026-2024 karta.png", "A 19026-2024")</f>
        <v/>
      </c>
      <c r="V78">
        <f>HYPERLINK("https://klasma.github.io/Logging_1784/klagomål/A 19026-2024 FSC-klagomål.docx", "A 19026-2024")</f>
        <v/>
      </c>
      <c r="W78">
        <f>HYPERLINK("https://klasma.github.io/Logging_1784/klagomålsmail/A 19026-2024 FSC-klagomål mail.docx", "A 19026-2024")</f>
        <v/>
      </c>
      <c r="X78">
        <f>HYPERLINK("https://klasma.github.io/Logging_1784/tillsyn/A 19026-2024 tillsynsbegäran.docx", "A 19026-2024")</f>
        <v/>
      </c>
      <c r="Y78">
        <f>HYPERLINK("https://klasma.github.io/Logging_1784/tillsynsmail/A 19026-2024 tillsynsbegäran mail.docx", "A 19026-2024")</f>
        <v/>
      </c>
    </row>
    <row r="79" ht="15" customHeight="1">
      <c r="A79" t="inlineStr">
        <is>
          <t>A 23083-2024</t>
        </is>
      </c>
      <c r="B79" s="1" t="n">
        <v>45450</v>
      </c>
      <c r="C79" s="1" t="n">
        <v>45668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23083-2024 artfynd.xlsx", "A 23083-2024")</f>
        <v/>
      </c>
      <c r="T79">
        <f>HYPERLINK("https://klasma.github.io/Logging_1784/kartor/A 23083-2024 karta.png", "A 23083-2024")</f>
        <v/>
      </c>
      <c r="U79">
        <f>HYPERLINK("https://klasma.github.io/Logging_1784/knärot/A 23083-2024 karta knärot.png", "A 23083-2024")</f>
        <v/>
      </c>
      <c r="V79">
        <f>HYPERLINK("https://klasma.github.io/Logging_1784/klagomål/A 23083-2024 FSC-klagomål.docx", "A 23083-2024")</f>
        <v/>
      </c>
      <c r="W79">
        <f>HYPERLINK("https://klasma.github.io/Logging_1784/klagomålsmail/A 23083-2024 FSC-klagomål mail.docx", "A 23083-2024")</f>
        <v/>
      </c>
      <c r="X79">
        <f>HYPERLINK("https://klasma.github.io/Logging_1784/tillsyn/A 23083-2024 tillsynsbegäran.docx", "A 23083-2024")</f>
        <v/>
      </c>
      <c r="Y79">
        <f>HYPERLINK("https://klasma.github.io/Logging_1784/tillsynsmail/A 23083-2024 tillsynsbegäran mail.docx", "A 23083-2024")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45668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45668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45668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45668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45668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45668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45668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45668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45668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45668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45668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45668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45668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45668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45668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45668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45668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45668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45668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45668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45668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45668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45668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45668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45668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45668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45668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45668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45668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45668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45668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45668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45668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45668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45668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45668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45668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45668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45668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45668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45668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45668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45668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45668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45668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45668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45668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45668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45668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45668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45668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45668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45668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45668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45668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45668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45668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45668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45668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45668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45668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45668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45668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45668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45668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45668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45668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45668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45668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45668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45668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45668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45668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45668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45668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45668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45668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45668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45668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45668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45668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45668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45668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45668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45668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45668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45668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45668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45668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45668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45668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45668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45668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45668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45668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45668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45668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45668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45668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45668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45668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45668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45668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45668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45668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45668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45668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45668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45668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45668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45668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45668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45668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45668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45668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45668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45668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45668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45668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45668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45668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45668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45668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45668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45668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45668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45668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45668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45668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45668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45668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45668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45668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45668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45668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45668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45668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45668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45668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45668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45668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45668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45668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45668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45668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45668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45668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45668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45668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45668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45668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45668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45668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45668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45668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45668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45668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45668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45668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45668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45668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45668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45668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45668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45668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45668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45668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45668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45668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45668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45668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45668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45668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45668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45668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45668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45668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45668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45668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45668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45668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45668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45668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45668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45668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45668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45668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45668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45668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45668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45668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45668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45668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45668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45668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45668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45668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45668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45668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45668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45668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45668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45668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45668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45668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45668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45668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45668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45668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45668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45668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45668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45668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45668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45668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45668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45668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45668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45668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45668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45668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45668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45668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45668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45668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45668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45668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45668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45668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45668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45668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45668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45668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45668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45668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45668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45668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45668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45668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45668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45668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45668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45668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45668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45668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45668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45668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45668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45668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45668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45668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45668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45668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45668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45668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45668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45668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45668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45668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45668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45668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45668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45668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45668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45668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45668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45668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45668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45668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45668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45668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45668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45668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45668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45668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45668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45668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45668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45668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45668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45668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45668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45668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45668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45668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45668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45668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45668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45668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45668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45668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45668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45668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45668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45668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45668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45668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45668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45668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45668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45668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45668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45668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45668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45668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45668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45668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45668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45668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45668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45668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45668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45668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45668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45668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45668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45668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45668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45668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45668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45668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45668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45668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45668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45668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45668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45668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45668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45668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45668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45668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45668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45668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45668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45668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45668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45668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45668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45668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45668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45668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45668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45668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45668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45668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45668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45668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45668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45668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45668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45668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45668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45668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45668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45668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45668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45668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45668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45668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45668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45668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45668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45668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45668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45668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45668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45668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45668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45668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45668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45668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45668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45668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45668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45668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45668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45668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45668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45668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45668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45668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45668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45668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45668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45668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45668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45668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45668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45668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45668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45668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45668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45668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45668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45668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45668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45668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45668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45668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45668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45668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45668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45668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45668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45668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45668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45668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45668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45668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45668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45668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45668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45668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45668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45668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45668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45668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45668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45668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45668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45668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45668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45668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45668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45668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45668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45668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45668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45668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45668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45668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45668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45668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45668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45668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45668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45668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45668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45668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45668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45668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45668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45668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45668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45668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45668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45668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45668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45668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45668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45668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45668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45668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45668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45668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45668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45668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45668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45668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45668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45668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45668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45668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45668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45668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45668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45668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45668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45668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45668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45668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45668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45668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45668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45668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45668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45668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45668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45668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45668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45668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45668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45668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45668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45668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45668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45668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45668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45668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45668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45668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45668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45668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45668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45668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45668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45668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45668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45668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45668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45668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45668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45668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45668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45668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45668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45668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45668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45668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45668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45668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45668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45668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45668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45668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45668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45668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45668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45668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45668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45668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45668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45668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45668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45668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45668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45668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45668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45668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45668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45668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45668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45668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45668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45668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45668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45668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45668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45668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45668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45668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45668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45668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45668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45668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45668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45668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45668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45668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45668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45668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45668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45668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45668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45668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45668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45668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45668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45668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45668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45668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45668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45668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45668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45668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45668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45668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45668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45668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45668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45668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45668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45668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45668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45668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45668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45668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45668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45668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45668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45668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45668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45668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45668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45668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45668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45668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45668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45668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45668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45668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45668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45668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45668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45668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45668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45668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45668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45668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45668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45668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45668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45668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45668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45668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45668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45668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45668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45668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45668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45668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45668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45668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45668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45668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45668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45668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45668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45668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45668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45668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45668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45668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45668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45668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45668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45668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45668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45668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45668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45668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45668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45668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45668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45668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45668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45668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45668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45668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45668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45668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45668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45668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45668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45668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45668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45668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45668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45668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45668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45668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45668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45668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45668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45668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45668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45668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45668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45668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45668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45668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45668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45668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45668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45668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45668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45668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45668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45668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45668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45668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45668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45668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45668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45668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45668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45668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45668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45668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45668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45668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45668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45668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45668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45668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45668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45668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45668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45668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45668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45668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45668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45668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45668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45668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45668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45668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45668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45668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45668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45668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45668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45668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45668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45668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45668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45668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45668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45668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45668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45668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45668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45668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45668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45668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45668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45668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45668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45668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45668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45668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45668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45668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45668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45668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45668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45668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45668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45668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45668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45668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45668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45668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45668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45668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45668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45668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45668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45668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45668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45668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45668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45668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45668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45668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45668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45668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45668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45668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45668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45668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45668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45668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45668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45668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45668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45668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45668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45668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45668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45668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45668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45668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45668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45668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45668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45668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45668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45668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45668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45668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45668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45668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45668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45668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45668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45668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45668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45668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45668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45668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45668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45668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45668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45668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45668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45668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45668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45668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45668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45668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45668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45668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45668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45668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45668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45668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45668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45668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45668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45668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45668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45668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45668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45668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45668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45668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45668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45668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45668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45668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45668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45668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45668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45668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45668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45668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45668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45668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45668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45668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45668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45668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45668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45668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45668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45668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45668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45668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45668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45668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45668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45668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45668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45668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45668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45668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45668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45668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45668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45668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45668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45668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45668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45668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45668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45668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45668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45668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45668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45668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45668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45668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45668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45668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45668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45668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45668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45668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45668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45668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45668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45668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45668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45668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45668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45668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45668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45668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45668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45668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45668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45668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45668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45668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45668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45668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45668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45668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45668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45668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45668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45668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45668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45668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45668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45668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45668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45668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45668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45668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45668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45668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45668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45668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45668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45668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45668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45668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45668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45668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45668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45668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45668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45668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45668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45668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45668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45668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45668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45668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45668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45668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45668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45668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45668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45668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45668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45668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45668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45668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45668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45668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45668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45668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45668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45668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45668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45668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45668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45668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45668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45668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45668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45668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45668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45668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45668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45668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45668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45668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45668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45668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45668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45668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45668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45668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45668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45668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45668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45668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45668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45668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45668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45668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45668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45668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45668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45668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45668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45668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45668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45668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45668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45668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45668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45668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45668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45668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45668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45668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45668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45668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45668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45668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45668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45668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45668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45668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45668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45668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45668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45668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45668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45668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45668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45668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45668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45668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45668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45668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45668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45668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45668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45668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45668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45668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45668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45668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45668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45668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45668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45668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45668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45668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45668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45668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45668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45668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45668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45668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45668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45668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45668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45668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45668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45668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45668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45668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45668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45668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45668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45668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45668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45668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45668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45668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45668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45668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45668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45668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45668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45668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45668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45668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45668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45668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45668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45668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45668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45668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45668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45668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45668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45668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45668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45668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45668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45668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45668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45668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45668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45668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45668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45668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45668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45668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45668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45668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45668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45668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45668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45668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45668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45668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45668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45668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45668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45668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45668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45668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45668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45668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45668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45668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45668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45668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45668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45668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45668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45668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45668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45668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45668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45668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45668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45668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45668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45668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45668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45668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45668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45668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45668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45668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45668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45668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45668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45668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45668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45668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45668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45668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45668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45668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45668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45668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45668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45668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45668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45668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45668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45668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45668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45668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45668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45668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45668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45668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45668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45668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45668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45668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45668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45668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45668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45668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45668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45668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45668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45668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45668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45668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45668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45668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45668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45668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45668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45668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45668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45668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45668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45668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45668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45668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45668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45668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45668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45668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45668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45668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45668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45668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45668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45668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45668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45668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45668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45668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45668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45668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45668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45668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45668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45668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45668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45668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45668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45668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45668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45668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45668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45668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45668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45668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45668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45668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45668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45668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45668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45668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45668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45668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45668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45668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45668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45668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45668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45668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45668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45668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45668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45668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45668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45668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45668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45668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45668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45668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45668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45668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45668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45668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45668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45668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45668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45668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45668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45668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45668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45668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45668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45668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45668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45668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45668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45668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45668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45668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45668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45668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45668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45668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45668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45668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45668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45668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45668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45668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45668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45668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45668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45668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45668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45668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45668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45668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45668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45668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45668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45668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45668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45668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45668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45668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45668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45668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45668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45668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45668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45668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45668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45668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45668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45668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45668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45668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45668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45668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45668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45668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45668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45668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45668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45668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45668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45668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45668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45668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45668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45668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45668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45668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45668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45668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45668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45668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45668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45668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45668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45668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45668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45668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45668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45668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45668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45668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45668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45668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45668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45668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45668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45668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45668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45668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45668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45668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45668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45668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45668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45668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45668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45668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45668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45668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45668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45668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45668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45668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45668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45668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45668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45668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45668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45668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45668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45668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45668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45668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45668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45668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45668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45668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45668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45668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45668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45668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45668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45668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45668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45668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45668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45668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45668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45668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45668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45668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45668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45668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45668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45668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45668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45668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45668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45668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45668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45668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45668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45668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45668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45668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45668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45668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45668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45668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45668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45668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45668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45668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45668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45668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45668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45668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45668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45668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45668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45668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45668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45668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45668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45668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45668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45668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45668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45668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45668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45668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45668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45668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45668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45668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45668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45668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45668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45668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45668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45668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45668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45668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45668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45668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45668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45668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45668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45668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45668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45668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45668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45668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45668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45668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45668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45668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45668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45668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45668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45668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45668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45668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45668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45668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45668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45668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45668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45668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45668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45668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45668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45668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45668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45668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45668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45668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45668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45668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45668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45668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45668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45668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45668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45668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45668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45668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45668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45668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45668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45668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45668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45668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45668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45668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45668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45668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45668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45668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45668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45668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45668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45668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45668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45668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45668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45668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45668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45668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45668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45668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45668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45668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45668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45668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45668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45668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45668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45668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45668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45668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45668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45668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45668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45668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45668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45668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45668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45668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45668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45668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45668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45668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45668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45668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45668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45668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45668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45668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45668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45668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45668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45668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45668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45668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45668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45668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45668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45668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45668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45668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45668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45668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45668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45668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45668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45668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45668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45668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45668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45668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45668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45668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45668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45668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45668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45668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45668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45668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45668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45668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45668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45668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45668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45668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45668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45668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45668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45668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45668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45668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45668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45668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45668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45668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45668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45668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45668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45668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45668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45668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45668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45668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45668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45668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45668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45668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45668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45668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45668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45668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45668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45668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45668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45668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45668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45668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45668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45668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45668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45668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45668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45668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45668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45668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45668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45668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45668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45668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45668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45668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45668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45668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45668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45668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45668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45668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45668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45668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45668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45668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45668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45668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45668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45668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45668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45668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45668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45668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45668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45668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45668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45668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45668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45668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45668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45668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45668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45668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45668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45668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45668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45668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45668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45668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45668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45668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45668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45668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45668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45668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45668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45668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45668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45668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45668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45668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45668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45668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45668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45668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45668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45668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45668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45668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45668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45668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45668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45668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45668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45668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45668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45668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45668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45668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45668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45668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45668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45668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45668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45668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45668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45668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45668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45668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45668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45668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45668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45668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45668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45668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45668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45668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45668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45668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45668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45668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45668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45668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45668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45668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45668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45668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45668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45668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45668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45668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45668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45668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45668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45668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45668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45668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45668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45668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45668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45668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45668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45668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45668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45668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45668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45668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45668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45668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45668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45668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45668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45668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45668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45668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45668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45668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45668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45668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45668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45668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45668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45668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45668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45668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45668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45668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45668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45668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45668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45668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45668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45668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45668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45668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45668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45668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45668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45668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45668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45668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45668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45668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45668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45668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45668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45668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45668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45668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45668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45668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45668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45668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45668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45668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45668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45668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45668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45668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45668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45668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45668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45668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45668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45668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45668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45668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45668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45668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45668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45668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45668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45668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45668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45668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45668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45668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45668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45668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45668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45668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45668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45668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45668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45668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45668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45668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45668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45668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45668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45668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45668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45668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45668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45668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45668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45668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45668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45668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45668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45668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45668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45668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45668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45668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45668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45668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45668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45668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45668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45668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45668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45668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45668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45668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45668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45668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45668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45668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45668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45668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45668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45668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45668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45668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45668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45668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45668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45668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45668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45668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45668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45668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45668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45668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45668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45668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45668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45668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45668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45668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45668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45668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45668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45668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45668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45668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45668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45668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45668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45668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45668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45668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45668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45668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45668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45668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45668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45668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45668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45668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45668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45668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45668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45668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45668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45668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45668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45668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45668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45668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45668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45668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45668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45668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45668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45668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45668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45668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45668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45668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45668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45668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45668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45668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45668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45668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45668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45668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45668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45668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45668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45668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45668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45668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45668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45668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45668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45668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45668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45668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45668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45668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45668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45668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45668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45668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45668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45668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45668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45668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45668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45668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45668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45668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45668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45668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45668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45668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45668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45668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45668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45668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45668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45668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45668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45668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45668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45668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45668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45668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45668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45668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45668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45668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45668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45668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45668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45668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45668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45668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45668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45668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45668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45668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45668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45668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45668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45668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45668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45668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45668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45668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45668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45668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45668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45668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45668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45668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45668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45668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45668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45668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45668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45668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45668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45668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45668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45668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45668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45668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45668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45668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45668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45668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45668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45668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45668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45668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45668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45668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45668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45668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45668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45668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45668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45668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45668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45668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45668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45668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45668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45668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45668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45668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45668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45668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45668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45668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45668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45668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45668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45668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45668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45668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45668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45668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45668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45668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45668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45668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45668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45668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45668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45668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45668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45668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45668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45668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45668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45668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45668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45668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45668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45668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45668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45668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45668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45668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45668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45668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45668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45668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45668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45668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45668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45668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45668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45668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45668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45668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45668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45668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45668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45668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45668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45668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45668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45668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45668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45668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45668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45668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45668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45668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45668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45668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45668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45668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45668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45668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45668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45668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45668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45668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45668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45668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45668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45668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45668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45668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45668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45668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45668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45668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45668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45668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45668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45668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45668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45668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45668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45668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45668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45668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45668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45668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45668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45668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45668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45668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45668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45668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45668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45668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45668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45668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45668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45668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45668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45668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45668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45668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45668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45668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45668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45668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45668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45668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45668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45668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45668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45668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45668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45668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45668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45668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60826-2024</t>
        </is>
      </c>
      <c r="B2169" s="1" t="n">
        <v>45644</v>
      </c>
      <c r="C2169" s="1" t="n">
        <v>45668</v>
      </c>
      <c r="D2169" t="inlineStr">
        <is>
          <t>VÄRMLANDS LÄN</t>
        </is>
      </c>
      <c r="E2169" t="inlineStr">
        <is>
          <t>ARVIKA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60766-2024</t>
        </is>
      </c>
      <c r="B2170" s="1" t="n">
        <v>45644</v>
      </c>
      <c r="C2170" s="1" t="n">
        <v>45668</v>
      </c>
      <c r="D2170" t="inlineStr">
        <is>
          <t>VÄRMLANDS LÄN</t>
        </is>
      </c>
      <c r="E2170" t="inlineStr">
        <is>
          <t>ARVIKA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60971-2024</t>
        </is>
      </c>
      <c r="B2171" s="1" t="n">
        <v>45645</v>
      </c>
      <c r="C2171" s="1" t="n">
        <v>45668</v>
      </c>
      <c r="D2171" t="inlineStr">
        <is>
          <t>VÄRMLANDS LÄN</t>
        </is>
      </c>
      <c r="E2171" t="inlineStr">
        <is>
          <t>ARVIKA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60968-2024</t>
        </is>
      </c>
      <c r="B2172" s="1" t="n">
        <v>45645</v>
      </c>
      <c r="C2172" s="1" t="n">
        <v>45668</v>
      </c>
      <c r="D2172" t="inlineStr">
        <is>
          <t>VÄRMLANDS LÄN</t>
        </is>
      </c>
      <c r="E2172" t="inlineStr">
        <is>
          <t>ARVIKA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45668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60995-2024</t>
        </is>
      </c>
      <c r="B2174" s="1" t="n">
        <v>45645</v>
      </c>
      <c r="C2174" s="1" t="n">
        <v>45668</v>
      </c>
      <c r="D2174" t="inlineStr">
        <is>
          <t>VÄRMLANDS LÄN</t>
        </is>
      </c>
      <c r="E2174" t="inlineStr">
        <is>
          <t>ARVIKA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61008-2024</t>
        </is>
      </c>
      <c r="B2175" s="1" t="n">
        <v>45645</v>
      </c>
      <c r="C2175" s="1" t="n">
        <v>45668</v>
      </c>
      <c r="D2175" t="inlineStr">
        <is>
          <t>VÄRMLANDS LÄN</t>
        </is>
      </c>
      <c r="E2175" t="inlineStr">
        <is>
          <t>ARVIKA</t>
        </is>
      </c>
      <c r="G2175" t="n">
        <v>38.7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61090-2024</t>
        </is>
      </c>
      <c r="B2176" s="1" t="n">
        <v>45645</v>
      </c>
      <c r="C2176" s="1" t="n">
        <v>45668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45668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61203-2024</t>
        </is>
      </c>
      <c r="B2178" s="1" t="n">
        <v>45645</v>
      </c>
      <c r="C2178" s="1" t="n">
        <v>45668</v>
      </c>
      <c r="D2178" t="inlineStr">
        <is>
          <t>VÄRMLANDS LÄN</t>
        </is>
      </c>
      <c r="E2178" t="inlineStr">
        <is>
          <t>ARVIKA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45668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45668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45668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45668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45668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45668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45668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45668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45668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45668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45668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45668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45668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45668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45668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45668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45668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45668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45668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45668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45668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45668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1309-2025</t>
        </is>
      </c>
      <c r="B2201" s="1" t="n">
        <v>45667</v>
      </c>
      <c r="C2201" s="1" t="n">
        <v>45668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14.5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1411-2025</t>
        </is>
      </c>
      <c r="B2202" s="1" t="n">
        <v>45668</v>
      </c>
      <c r="C2202" s="1" t="n">
        <v>45668</v>
      </c>
      <c r="D2202" t="inlineStr">
        <is>
          <t>VÄRMLANDS LÄN</t>
        </is>
      </c>
      <c r="E2202" t="inlineStr">
        <is>
          <t>ARVIKA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45668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1410-2025</t>
        </is>
      </c>
      <c r="B2204" s="1" t="n">
        <v>45668</v>
      </c>
      <c r="C2204" s="1" t="n">
        <v>45668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2025-01-11T15:56:56Z</dcterms:created>
  <dcterms:modified xmlns:dcterms="http://purl.org/dc/terms/" xmlns:xsi="http://www.w3.org/2001/XMLSchema-instance" xsi:type="dcterms:W3CDTF">2025-01-11T15:56:58Z</dcterms:modified>
</cp:coreProperties>
</file>