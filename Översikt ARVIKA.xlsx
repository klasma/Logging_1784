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45706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45706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45706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45706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45706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45706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45706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45706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45706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45706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45706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45706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45706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45706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45706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45706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45706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45706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45706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45706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45706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45706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45706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45706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45706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45706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5936-2025</t>
        </is>
      </c>
      <c r="B37" s="1" t="n">
        <v>45695</v>
      </c>
      <c r="C37" s="1" t="n">
        <v>45706</v>
      </c>
      <c r="D37" t="inlineStr">
        <is>
          <t>VÄRMLANDS LÄN</t>
        </is>
      </c>
      <c r="E37" t="inlineStr">
        <is>
          <t>ARVIKA</t>
        </is>
      </c>
      <c r="G37" t="n">
        <v>8.300000000000001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Talltita</t>
        </is>
      </c>
      <c r="S37">
        <f>HYPERLINK("https://klasma.github.io/Logging_1784/artfynd/A 5936-2025 artfynd.xlsx", "A 5936-2025")</f>
        <v/>
      </c>
      <c r="T37">
        <f>HYPERLINK("https://klasma.github.io/Logging_1784/kartor/A 5936-2025 karta.png", "A 5936-2025")</f>
        <v/>
      </c>
      <c r="U37">
        <f>HYPERLINK("https://klasma.github.io/Logging_1784/knärot/A 5936-2025 karta knärot.png", "A 5936-2025")</f>
        <v/>
      </c>
      <c r="V37">
        <f>HYPERLINK("https://klasma.github.io/Logging_1784/klagomål/A 5936-2025 FSC-klagomål.docx", "A 5936-2025")</f>
        <v/>
      </c>
      <c r="W37">
        <f>HYPERLINK("https://klasma.github.io/Logging_1784/klagomålsmail/A 5936-2025 FSC-klagomål mail.docx", "A 5936-2025")</f>
        <v/>
      </c>
      <c r="X37">
        <f>HYPERLINK("https://klasma.github.io/Logging_1784/tillsyn/A 5936-2025 tillsynsbegäran.docx", "A 5936-2025")</f>
        <v/>
      </c>
      <c r="Y37">
        <f>HYPERLINK("https://klasma.github.io/Logging_1784/tillsynsmail/A 5936-2025 tillsynsbegäran mail.docx", "A 5936-2025")</f>
        <v/>
      </c>
      <c r="Z37">
        <f>HYPERLINK("https://klasma.github.io/Logging_1784/fåglar/A 5936-2025 prioriterade fågelarter.docx", "A 5936-2025")</f>
        <v/>
      </c>
    </row>
    <row r="38" ht="15" customHeight="1">
      <c r="A38" t="inlineStr">
        <is>
          <t>A 5956-2025</t>
        </is>
      </c>
      <c r="B38" s="1" t="n">
        <v>45695</v>
      </c>
      <c r="C38" s="1" t="n">
        <v>45706</v>
      </c>
      <c r="D38" t="inlineStr">
        <is>
          <t>VÄRMLANDS LÄN</t>
        </is>
      </c>
      <c r="E38" t="inlineStr">
        <is>
          <t>ARVIKA</t>
        </is>
      </c>
      <c r="G38" t="n">
        <v>5.2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Tjäder</t>
        </is>
      </c>
      <c r="S38">
        <f>HYPERLINK("https://klasma.github.io/Logging_1784/artfynd/A 5956-2025 artfynd.xlsx", "A 5956-2025")</f>
        <v/>
      </c>
      <c r="T38">
        <f>HYPERLINK("https://klasma.github.io/Logging_1784/kartor/A 5956-2025 karta.png", "A 5956-2025")</f>
        <v/>
      </c>
      <c r="U38">
        <f>HYPERLINK("https://klasma.github.io/Logging_1784/knärot/A 5956-2025 karta knärot.png", "A 5956-2025")</f>
        <v/>
      </c>
      <c r="V38">
        <f>HYPERLINK("https://klasma.github.io/Logging_1784/klagomål/A 5956-2025 FSC-klagomål.docx", "A 5956-2025")</f>
        <v/>
      </c>
      <c r="W38">
        <f>HYPERLINK("https://klasma.github.io/Logging_1784/klagomålsmail/A 5956-2025 FSC-klagomål mail.docx", "A 5956-2025")</f>
        <v/>
      </c>
      <c r="X38">
        <f>HYPERLINK("https://klasma.github.io/Logging_1784/tillsyn/A 5956-2025 tillsynsbegäran.docx", "A 5956-2025")</f>
        <v/>
      </c>
      <c r="Y38">
        <f>HYPERLINK("https://klasma.github.io/Logging_1784/tillsynsmail/A 5956-2025 tillsynsbegäran mail.docx", "A 5956-2025")</f>
        <v/>
      </c>
      <c r="Z38">
        <f>HYPERLINK("https://klasma.github.io/Logging_1784/fåglar/A 5956-2025 prioriterade fågelarter.docx", "A 5956-2025")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45706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45706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45706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45706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45706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45706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45706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45706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45706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45706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45706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45706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45706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45706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45706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45706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45706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45706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45706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45706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45706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45706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45706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45706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45706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45706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45706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45706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45706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45706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45706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45706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45706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45706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45706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45706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45706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45706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45706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45706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45706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45706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45706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45706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45706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45706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45706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45706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45706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45706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45706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45706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45706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45706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45706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45706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45706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45706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45706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45706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45706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45706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45706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45706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45706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45706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45706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45706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45706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45706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45706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45706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45706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45706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45706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45706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45706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45706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45706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45706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45706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45706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45706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45706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45706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45706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45706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45706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45706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45706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45706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45706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45706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45706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45706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45706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45706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45706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45706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45706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45706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45706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45706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45706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45706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45706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45706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45706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45706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45706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45706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45706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45706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45706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45706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45706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45706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45706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45706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45706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45706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45706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45706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45706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45706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45706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45706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45706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45706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45706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45706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45706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45706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45706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45706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45706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45706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45706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45706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45706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45706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45706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45706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45706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45706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45706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45706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45706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45706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45706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45706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45706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45706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45706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45706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45706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45706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45706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45706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45706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45706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45706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45706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45706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45706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45706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45706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45706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45706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45706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45706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45706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45706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45706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45706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45706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45706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45706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45706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45706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45706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45706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45706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45706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45706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45706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45706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45706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45706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45706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45706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45706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45706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45706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45706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45706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45706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45706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45706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45706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45706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45706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45706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45706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45706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45706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45706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45706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45706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45706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45706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45706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45706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45706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45706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45706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45706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45706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45706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45706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45706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45706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45706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45706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45706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45706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45706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45706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45706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45706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45706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45706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45706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45706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45706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45706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45706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45706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45706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45706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45706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45706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45706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45706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45706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45706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45706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45706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45706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45706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45706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45706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45706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45706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45706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45706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45706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45706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45706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45706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45706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45706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45706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45706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45706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45706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45706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45706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45706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45706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45706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45706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45706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45706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45706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45706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45706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45706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45706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45706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45706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45706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45706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45706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45706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45706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45706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45706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45706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45706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45706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45706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45706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45706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45706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45706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45706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45706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45706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45706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45706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45706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45706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45706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45706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45706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45706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45706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45706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45706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45706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45706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45706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45706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45706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45706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45706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45706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45706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45706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45706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45706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45706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45706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45706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45706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45706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45706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45706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45706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45706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45706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45706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45706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45706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45706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45706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45706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45706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45706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45706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45706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45706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45706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45706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45706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45706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45706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45706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45706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45706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45706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45706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45706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45706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45706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45706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45706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45706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45706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45706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45706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45706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45706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45706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45706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45706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45706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45706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45706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45706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45706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45706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45706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45706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45706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45706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45706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45706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45706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45706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45706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45706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45706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45706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45706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45706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45706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45706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45706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45706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45706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45706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45706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45706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45706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45706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45706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45706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45706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45706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45706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45706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45706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45706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45706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45706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45706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45706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45706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45706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45706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45706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45706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45706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45706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45706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45706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45706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45706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45706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45706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45706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45706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45706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45706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45706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45706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45706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45706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45706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45706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45706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45706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45706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45706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45706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45706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45706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45706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45706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45706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45706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45706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45706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45706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45706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45706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45706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45706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45706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45706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45706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45706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45706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45706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45706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45706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45706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45706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45706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45706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45706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45706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45706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45706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45706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45706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45706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45706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45706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45706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45706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45706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45706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45706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45706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45706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45706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45706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45706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45706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45706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45706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45706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45706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45706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45706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45706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45706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45706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45706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45706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45706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45706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45706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45706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45706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45706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45706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45706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45706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45706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45706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45706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45706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45706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45706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45706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45706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45706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45706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45706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45706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45706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45706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45706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45706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45706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45706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45706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45706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45706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45706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45706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45706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45706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45706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45706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45706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45706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45706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45706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45706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45706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45706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45706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45706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45706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45706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45706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45706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45706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45706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45706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45706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45706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45706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45706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45706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45706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45706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45706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45706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45706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45706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45706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45706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45706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45706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45706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45706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45706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45706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45706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45706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45706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45706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45706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45706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45706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45706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45706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45706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45706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45706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45706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45706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45706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45706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45706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45706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45706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45706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45706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45706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45706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45706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45706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45706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45706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45706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45706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45706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45706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45706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45706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45706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45706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45706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45706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45706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45706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45706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45706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45706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45706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45706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45706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45706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45706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45706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45706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45706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45706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45706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45706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45706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45706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45706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45706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45706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45706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45706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45706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45706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45706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45706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45706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45706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45706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45706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45706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45706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45706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45706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45706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45706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45706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45706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45706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45706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45706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45706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45706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45706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45706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45706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45706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45706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45706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45706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45706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45706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45706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45706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45706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45706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45706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45706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45706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45706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45706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45706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45706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45706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45706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45706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45706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45706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45706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45706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45706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45706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45706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45706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45706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45706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45706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45706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45706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45706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45706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45706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45706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45706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45706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45706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45706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45706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45706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45706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45706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45706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45706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45706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45706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45706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45706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45706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45706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45706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45706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45706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45706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45706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45706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45706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45706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45706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45706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45706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45706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45706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45706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45706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45706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45706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45706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45706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45706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45706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45706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45706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45706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45706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45706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45706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45706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45706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45706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45706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45706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45706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45706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45706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45706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45706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45706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45706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45706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45706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45706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45706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45706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45706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45706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45706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45706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45706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45706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45706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45706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45706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45706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45706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45706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45706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45706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45706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45706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45706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45706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45706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45706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45706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45706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45706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45706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45706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45706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45706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45706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45706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45706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45706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45706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45706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45706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45706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45706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45706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45706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45706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45706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45706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45706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45706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45706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45706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45706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45706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45706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45706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45706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45706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45706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45706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45706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45706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45706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45706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45706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45706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45706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45706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45706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45706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45706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45706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45706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45706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45706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45706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45706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45706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45706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45706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45706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45706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45706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45706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45706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45706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45706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45706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45706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45706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45706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45706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45706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45706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45706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45706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45706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45706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45706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45706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45706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45706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45706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45706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45706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45706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45706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45706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45706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45706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45706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45706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45706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45706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45706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45706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45706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45706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45706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45706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45706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45706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45706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45706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45706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45706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45706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45706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45706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45706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45706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45706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45706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45706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45706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45706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45706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45706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45706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45706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45706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45706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45706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45706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45706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45706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45706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45706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45706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45706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45706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45706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45706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45706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45706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45706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45706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45706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45706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45706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45706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45706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45706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45706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45706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45706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45706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45706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45706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45706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45706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45706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45706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45706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45706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45706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45706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45706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45706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45706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45706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45706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45706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45706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45706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45706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45706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45706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45706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45706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45706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45706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45706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45706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45706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45706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45706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45706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45706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45706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45706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45706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45706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45706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45706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45706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45706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45706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45706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45706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45706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45706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45706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45706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45706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45706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45706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45706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45706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45706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45706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45706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45706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45706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45706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45706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45706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45706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45706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45706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45706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45706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45706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45706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45706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45706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45706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45706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45706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45706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45706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45706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45706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45706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45706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45706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45706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45706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45706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45706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45706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45706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45706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45706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45706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45706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45706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45706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45706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45706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45706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45706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45706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45706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45706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45706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45706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45706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45706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45706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45706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45706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45706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45706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45706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45706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45706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45706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45706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45706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45706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45706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45706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45706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45706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45706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45706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45706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45706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45706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45706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45706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45706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45706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45706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45706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45706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45706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45706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45706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45706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45706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45706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45706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45706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45706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45706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45706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45706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45706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45706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45706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45706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45706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45706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45706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45706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45706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45706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45706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45706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45706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45706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45706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45706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45706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45706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45706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45706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45706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45706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45706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45706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45706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45706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45706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45706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45706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45706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45706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45706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45706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45706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45706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45706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45706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45706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45706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45706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45706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45706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45706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45706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45706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45706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45706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45706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45706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45706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45706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45706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45706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45706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45706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45706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45706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45706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45706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45706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45706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45706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45706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45706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45706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45706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45706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45706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45706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45706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45706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45706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45706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45706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45706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45706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45706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45706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45706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45706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45706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45706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45706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45706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45706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45706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45706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45706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45706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45706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45706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45706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45706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45706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45706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45706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45706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45706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45706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45706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45706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45706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45706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45706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45706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45706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45706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45706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45706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45706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45706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45706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45706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45706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45706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45706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45706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45706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45706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45706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45706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45706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45706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45706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45706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45706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45706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45706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45706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45706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45706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45706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45706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45706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45706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45706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45706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45706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45706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45706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45706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45706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45706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45706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45706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45706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45706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45706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45706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45706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45706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45706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45706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45706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45706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45706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45706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45706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45706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45706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45706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45706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45706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45706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45706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45706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45706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45706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45706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45706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45706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45706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45706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45706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45706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45706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45706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45706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45706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45706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45706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45706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45706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45706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45706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45706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45706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45706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45706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45706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45706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45706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45706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45706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45706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45706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45706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45706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45706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45706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45706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45706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45706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45706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45706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45706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45706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45706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45706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45706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45706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45706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45706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45706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45706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45706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45706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45706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45706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45706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45706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45706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45706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45706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45706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45706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45706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45706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45706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45706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45706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45706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45706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45706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45706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45706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45706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45706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45706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45706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45706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45706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45706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45706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45706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45706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45706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45706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45706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45706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45706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45706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45706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45706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45706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45706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45706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45706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45706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45706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45706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45706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45706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45706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45706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45706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45706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45706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45706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45706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45706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45706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45706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45706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45706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45706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45706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45706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45706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45706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45706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45706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45706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45706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45706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45706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45706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45706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45706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45706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45706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45706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45706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45706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45706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45706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45706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45706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45706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45706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45706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45706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45706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45706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45706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45706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45706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45706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45706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45706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45706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45706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45706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45706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45706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45706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45706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45706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45706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45706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45706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45706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45706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45706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45706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45706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45706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45706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45706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45706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45706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45706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45706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45706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45706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45706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45706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45706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45706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45706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45706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45706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45706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45706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45706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45706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45706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45706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45706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45706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45706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45706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45706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45706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45706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45706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45706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45706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45706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45706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45706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45706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45706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45706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45706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45706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45706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45706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45706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45706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45706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45706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45706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45706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45706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45706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45706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45706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45706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45706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45706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45706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45706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45706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45706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45706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45706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45706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45706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45706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45706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45706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45706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45706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45706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45706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45706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45706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45706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45706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45706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45706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45706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45706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45706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45706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45706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45706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45706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45706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45706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45706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45706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45706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45706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45706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45706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45706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45706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45706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45706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45706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45706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45706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45706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45706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45706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45706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45706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45706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45706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45706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45706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45706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45706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45706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45706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45706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45706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45706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45706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45706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45706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45706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45706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45706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45706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45706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45706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45706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45706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45706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45706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45706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45706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45706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45706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45706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45706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45706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45706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45706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45706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45706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45706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45706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45706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45706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45706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45706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45706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45706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45706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45706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45706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45706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45706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45706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45706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45706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45706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45706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45706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45706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45706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45706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45706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45706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45706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45706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45706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45706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45706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45706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45706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45706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45706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45706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45706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45706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45706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45706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45706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45706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45706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45706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45706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45706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45706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45706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45706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45706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45706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45706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45706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45706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45706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45706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45706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45706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45706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45706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45706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45706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45706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45706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45706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45706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45706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45706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45706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45706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45706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45706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45706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45706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45706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45706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45706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45706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45706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45706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45706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45706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45706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45706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45706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45706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45706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45706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45706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45706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45706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45706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45706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45706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45706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45706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45706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45706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45706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45706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45706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45706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45706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45706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45706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45706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45706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45706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45706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45706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45706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45706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45706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45706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45706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45706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45706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45706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45706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45706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45706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45706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45706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45706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45706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45706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45706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45706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45706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45706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45706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45706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45706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45706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45706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45706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45706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45706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45706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45706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45706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45706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45706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45706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45706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45706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45706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45706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45706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45706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45706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45706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45706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45706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45706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45706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45706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45706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45706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45706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45706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45706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45706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45706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45706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45706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45706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45706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45706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45706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45706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45706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45706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45706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45706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45706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45706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45706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45706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45706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45706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45706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45706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45706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45706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45706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45706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45706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45706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45706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45706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45706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45706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45706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45706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45706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45706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45706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45706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45706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45706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45706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45706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45706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45706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45706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45706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45706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45706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45706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45706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45706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45706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45706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45706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45706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45706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45706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45706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45706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45706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45706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45706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45706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45706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45706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45706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45706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45706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45706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45706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45706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45706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45706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45706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45706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45706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45706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45706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45706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45706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45706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45706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45706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45706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45706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45706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45706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45706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45706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45706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45706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45706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45706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45706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45706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45706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45706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45706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45706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45706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45706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45706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45706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45706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45706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45706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45706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45706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45706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45706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45706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45706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45706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45706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45706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45706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45706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45706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45706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45706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45706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45706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45706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45706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45706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45706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45706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45706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45706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45706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45706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45706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45706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45706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45706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45706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45706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45706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45706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45706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45706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45706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45706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45706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45706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45706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45706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45706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45706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45706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45706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45706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45706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45706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45706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45706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45706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45706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45706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45706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45706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45706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45706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45706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45706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45706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45706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45706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45706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45706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45706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45706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45706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45706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45706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45706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45706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45706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45706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45706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45706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45706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45706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45706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45706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45706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45706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45706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45706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45706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45706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45706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45706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45706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45706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45706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45706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45706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45706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45706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45706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45706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45706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45706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45706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45706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45706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45706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45706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45706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45706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45706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45706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45706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45706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45706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45706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45706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45706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45706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45706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45706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45706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45706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45706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45706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45706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45706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45706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2320-2025</t>
        </is>
      </c>
      <c r="B2217" s="1" t="n">
        <v>45673</v>
      </c>
      <c r="C2217" s="1" t="n">
        <v>45706</v>
      </c>
      <c r="D2217" t="inlineStr">
        <is>
          <t>VÄRMLANDS LÄN</t>
        </is>
      </c>
      <c r="E2217" t="inlineStr">
        <is>
          <t>ARVIKA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45706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45706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45706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45706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2702-2025</t>
        </is>
      </c>
      <c r="B2222" s="1" t="n">
        <v>45677</v>
      </c>
      <c r="C2222" s="1" t="n">
        <v>45706</v>
      </c>
      <c r="D2222" t="inlineStr">
        <is>
          <t>VÄRMLANDS LÄN</t>
        </is>
      </c>
      <c r="E2222" t="inlineStr">
        <is>
          <t>ARVIKA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45706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45706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45706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3588-2025</t>
        </is>
      </c>
      <c r="B2226" s="1" t="n">
        <v>45680</v>
      </c>
      <c r="C2226" s="1" t="n">
        <v>45706</v>
      </c>
      <c r="D2226" t="inlineStr">
        <is>
          <t>VÄRMLANDS LÄN</t>
        </is>
      </c>
      <c r="E2226" t="inlineStr">
        <is>
          <t>ARVIKA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3590-2025</t>
        </is>
      </c>
      <c r="B2227" s="1" t="n">
        <v>45680</v>
      </c>
      <c r="C2227" s="1" t="n">
        <v>45706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45706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3613-2025</t>
        </is>
      </c>
      <c r="B2229" s="1" t="n">
        <v>45681</v>
      </c>
      <c r="C2229" s="1" t="n">
        <v>45706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3610-2025</t>
        </is>
      </c>
      <c r="B2230" s="1" t="n">
        <v>45681</v>
      </c>
      <c r="C2230" s="1" t="n">
        <v>45706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45706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45706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45706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4211-2025</t>
        </is>
      </c>
      <c r="B2234" s="1" t="n">
        <v>45685</v>
      </c>
      <c r="C2234" s="1" t="n">
        <v>45706</v>
      </c>
      <c r="D2234" t="inlineStr">
        <is>
          <t>VÄRMLANDS LÄN</t>
        </is>
      </c>
      <c r="E2234" t="inlineStr">
        <is>
          <t>ARVIKA</t>
        </is>
      </c>
      <c r="G2234" t="n">
        <v>11.1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45706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45706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45706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45706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45706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45706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4995-2025</t>
        </is>
      </c>
      <c r="B2241" s="1" t="n">
        <v>45691</v>
      </c>
      <c r="C2241" s="1" t="n">
        <v>45706</v>
      </c>
      <c r="D2241" t="inlineStr">
        <is>
          <t>VÄRMLANDS LÄN</t>
        </is>
      </c>
      <c r="E2241" t="inlineStr">
        <is>
          <t>ARVIKA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4997-2025</t>
        </is>
      </c>
      <c r="B2242" s="1" t="n">
        <v>45691</v>
      </c>
      <c r="C2242" s="1" t="n">
        <v>45706</v>
      </c>
      <c r="D2242" t="inlineStr">
        <is>
          <t>VÄRMLANDS LÄN</t>
        </is>
      </c>
      <c r="E2242" t="inlineStr">
        <is>
          <t>ARVIKA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5056-2025</t>
        </is>
      </c>
      <c r="B2243" s="1" t="n">
        <v>45691</v>
      </c>
      <c r="C2243" s="1" t="n">
        <v>45706</v>
      </c>
      <c r="D2243" t="inlineStr">
        <is>
          <t>VÄRMLANDS LÄN</t>
        </is>
      </c>
      <c r="E2243" t="inlineStr">
        <is>
          <t>ARVIKA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5072-2025</t>
        </is>
      </c>
      <c r="B2244" s="1" t="n">
        <v>45691</v>
      </c>
      <c r="C2244" s="1" t="n">
        <v>45706</v>
      </c>
      <c r="D2244" t="inlineStr">
        <is>
          <t>VÄRMLANDS LÄN</t>
        </is>
      </c>
      <c r="E2244" t="inlineStr">
        <is>
          <t>ARVIKA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5053-2025</t>
        </is>
      </c>
      <c r="B2245" s="1" t="n">
        <v>45691</v>
      </c>
      <c r="C2245" s="1" t="n">
        <v>45706</v>
      </c>
      <c r="D2245" t="inlineStr">
        <is>
          <t>VÄRMLANDS LÄN</t>
        </is>
      </c>
      <c r="E2245" t="inlineStr">
        <is>
          <t>ARVIKA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45706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45706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45706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45706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45706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45706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5945-2025</t>
        </is>
      </c>
      <c r="B2252" s="1" t="n">
        <v>45695</v>
      </c>
      <c r="C2252" s="1" t="n">
        <v>45706</v>
      </c>
      <c r="D2252" t="inlineStr">
        <is>
          <t>VÄRMLANDS LÄN</t>
        </is>
      </c>
      <c r="E2252" t="inlineStr">
        <is>
          <t>ARVIKA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45706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45706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6223-2025</t>
        </is>
      </c>
      <c r="B2255" s="1" t="n">
        <v>45698</v>
      </c>
      <c r="C2255" s="1" t="n">
        <v>45706</v>
      </c>
      <c r="D2255" t="inlineStr">
        <is>
          <t>VÄRMLANDS LÄN</t>
        </is>
      </c>
      <c r="E2255" t="inlineStr">
        <is>
          <t>ARVIKA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6241-2025</t>
        </is>
      </c>
      <c r="B2256" s="1" t="n">
        <v>45698</v>
      </c>
      <c r="C2256" s="1" t="n">
        <v>45706</v>
      </c>
      <c r="D2256" t="inlineStr">
        <is>
          <t>VÄRMLANDS LÄN</t>
        </is>
      </c>
      <c r="E2256" t="inlineStr">
        <is>
          <t>ARVIKA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  <c r="U2256">
        <f>HYPERLINK("https://klasma.github.io/Logging_1784/knärot/A 6241-2025 karta knärot.png", "A 6241-2025")</f>
        <v/>
      </c>
      <c r="V2256">
        <f>HYPERLINK("https://klasma.github.io/Logging_1784/klagomål/A 6241-2025 FSC-klagomål.docx", "A 6241-2025")</f>
        <v/>
      </c>
      <c r="W2256">
        <f>HYPERLINK("https://klasma.github.io/Logging_1784/klagomålsmail/A 6241-2025 FSC-klagomål mail.docx", "A 6241-2025")</f>
        <v/>
      </c>
      <c r="X2256">
        <f>HYPERLINK("https://klasma.github.io/Logging_1784/tillsyn/A 6241-2025 tillsynsbegäran.docx", "A 6241-2025")</f>
        <v/>
      </c>
      <c r="Y2256">
        <f>HYPERLINK("https://klasma.github.io/Logging_1784/tillsynsmail/A 6241-2025 tillsynsbegäran mail.docx", "A 6241-2025")</f>
        <v/>
      </c>
    </row>
    <row r="2257" ht="15" customHeight="1">
      <c r="A2257" t="inlineStr">
        <is>
          <t>A 6250-2025</t>
        </is>
      </c>
      <c r="B2257" s="1" t="n">
        <v>45698</v>
      </c>
      <c r="C2257" s="1" t="n">
        <v>45706</v>
      </c>
      <c r="D2257" t="inlineStr">
        <is>
          <t>VÄRMLANDS LÄN</t>
        </is>
      </c>
      <c r="E2257" t="inlineStr">
        <is>
          <t>ARVIKA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6186-2025</t>
        </is>
      </c>
      <c r="B2258" s="1" t="n">
        <v>45698</v>
      </c>
      <c r="C2258" s="1" t="n">
        <v>45706</v>
      </c>
      <c r="D2258" t="inlineStr">
        <is>
          <t>VÄRMLANDS LÄN</t>
        </is>
      </c>
      <c r="E2258" t="inlineStr">
        <is>
          <t>ARVIKA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6227-2025</t>
        </is>
      </c>
      <c r="B2259" s="1" t="n">
        <v>45698</v>
      </c>
      <c r="C2259" s="1" t="n">
        <v>45706</v>
      </c>
      <c r="D2259" t="inlineStr">
        <is>
          <t>VÄRMLANDS LÄN</t>
        </is>
      </c>
      <c r="E2259" t="inlineStr">
        <is>
          <t>ARVIKA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6237-2025</t>
        </is>
      </c>
      <c r="B2260" s="1" t="n">
        <v>45698</v>
      </c>
      <c r="C2260" s="1" t="n">
        <v>45706</v>
      </c>
      <c r="D2260" t="inlineStr">
        <is>
          <t>VÄRMLANDS LÄN</t>
        </is>
      </c>
      <c r="E2260" t="inlineStr">
        <is>
          <t>ARVIKA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45706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6978-2025</t>
        </is>
      </c>
      <c r="B2262" s="1" t="n">
        <v>45701</v>
      </c>
      <c r="C2262" s="1" t="n">
        <v>45706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7314-2025</t>
        </is>
      </c>
      <c r="B2263" s="1" t="n">
        <v>45702</v>
      </c>
      <c r="C2263" s="1" t="n">
        <v>45706</v>
      </c>
      <c r="D2263" t="inlineStr">
        <is>
          <t>VÄRMLANDS LÄN</t>
        </is>
      </c>
      <c r="E2263" t="inlineStr">
        <is>
          <t>ARVIKA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7350-2025</t>
        </is>
      </c>
      <c r="B2264" s="1" t="n">
        <v>45703</v>
      </c>
      <c r="C2264" s="1" t="n">
        <v>45706</v>
      </c>
      <c r="D2264" t="inlineStr">
        <is>
          <t>VÄRMLANDS LÄN</t>
        </is>
      </c>
      <c r="E2264" t="inlineStr">
        <is>
          <t>ARVIKA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7349-2025</t>
        </is>
      </c>
      <c r="B2265" s="1" t="n">
        <v>45703</v>
      </c>
      <c r="C2265" s="1" t="n">
        <v>45706</v>
      </c>
      <c r="D2265" t="inlineStr">
        <is>
          <t>VÄRMLANDS LÄN</t>
        </is>
      </c>
      <c r="E2265" t="inlineStr">
        <is>
          <t>ARVIKA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7347-2025</t>
        </is>
      </c>
      <c r="B2266" s="1" t="n">
        <v>45703</v>
      </c>
      <c r="C2266" s="1" t="n">
        <v>45706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7348-2025</t>
        </is>
      </c>
      <c r="B2267" s="1" t="n">
        <v>45703</v>
      </c>
      <c r="C2267" s="1" t="n">
        <v>45706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2025-02-18T16:22:34Z</dcterms:created>
  <dcterms:modified xmlns:dcterms="http://purl.org/dc/terms/" xmlns:xsi="http://www.w3.org/2001/XMLSchema-instance" xsi:type="dcterms:W3CDTF">2025-02-18T16:22:36Z</dcterms:modified>
</cp:coreProperties>
</file>