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45703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45703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45703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45703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45703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45703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45703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45703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45703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45703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45703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45703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45703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45703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45703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45703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45703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45703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45703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45703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45703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45703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45703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45703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45703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45703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45703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45703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45703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45703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45703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45703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45703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45703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45703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45703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45703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45703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45703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45703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45703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45703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45703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45703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45703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45703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45703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64590-2021</t>
        </is>
      </c>
      <c r="B55" s="1" t="n">
        <v>44511</v>
      </c>
      <c r="C55" s="1" t="n">
        <v>45703</v>
      </c>
      <c r="D55" t="inlineStr">
        <is>
          <t>VÄRMLANDS LÄN</t>
        </is>
      </c>
      <c r="E55" t="inlineStr">
        <is>
          <t>ARVIKA</t>
        </is>
      </c>
      <c r="G55" t="n">
        <v>4.1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64590-2021 artfynd.xlsx", "A 64590-2021")</f>
        <v/>
      </c>
      <c r="T55">
        <f>HYPERLINK("https://klasma.github.io/Logging_1784/kartor/A 64590-2021 karta.png", "A 64590-2021")</f>
        <v/>
      </c>
      <c r="V55">
        <f>HYPERLINK("https://klasma.github.io/Logging_1784/klagomål/A 64590-2021 FSC-klagomål.docx", "A 64590-2021")</f>
        <v/>
      </c>
      <c r="W55">
        <f>HYPERLINK("https://klasma.github.io/Logging_1784/klagomålsmail/A 64590-2021 FSC-klagomål mail.docx", "A 64590-2021")</f>
        <v/>
      </c>
      <c r="X55">
        <f>HYPERLINK("https://klasma.github.io/Logging_1784/tillsyn/A 64590-2021 tillsynsbegäran.docx", "A 64590-2021")</f>
        <v/>
      </c>
      <c r="Y55">
        <f>HYPERLINK("https://klasma.github.io/Logging_1784/tillsynsmail/A 64590-2021 tillsynsbegäran mail.docx", "A 64590-2021")</f>
        <v/>
      </c>
      <c r="Z55">
        <f>HYPERLINK("https://klasma.github.io/Logging_1784/fåglar/A 64590-2021 prioriterade fågelarter.docx", "A 64590-2021")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45703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45703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45703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45703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45703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45703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45703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45703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45703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45703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45703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45703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45703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45703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45703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45703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45703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45703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45703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45703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9629-2024</t>
        </is>
      </c>
      <c r="B76" s="1" t="n">
        <v>45362</v>
      </c>
      <c r="C76" s="1" t="n">
        <v>45703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9629-2024 artfynd.xlsx", "A 9629-2024")</f>
        <v/>
      </c>
      <c r="T76">
        <f>HYPERLINK("https://klasma.github.io/Logging_1784/kartor/A 9629-2024 karta.png", "A 9629-2024")</f>
        <v/>
      </c>
      <c r="V76">
        <f>HYPERLINK("https://klasma.github.io/Logging_1784/klagomål/A 9629-2024 FSC-klagomål.docx", "A 9629-2024")</f>
        <v/>
      </c>
      <c r="W76">
        <f>HYPERLINK("https://klasma.github.io/Logging_1784/klagomålsmail/A 9629-2024 FSC-klagomål mail.docx", "A 9629-2024")</f>
        <v/>
      </c>
      <c r="X76">
        <f>HYPERLINK("https://klasma.github.io/Logging_1784/tillsyn/A 9629-2024 tillsynsbegäran.docx", "A 9629-2024")</f>
        <v/>
      </c>
      <c r="Y76">
        <f>HYPERLINK("https://klasma.github.io/Logging_1784/tillsynsmail/A 9629-2024 tillsynsbegäran mail.docx", "A 9629-2024")</f>
        <v/>
      </c>
      <c r="Z76">
        <f>HYPERLINK("https://klasma.github.io/Logging_1784/fåglar/A 9629-2024 prioriterade fågelarter.docx", "A 9629-2024")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45703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17928-2024</t>
        </is>
      </c>
      <c r="B78" s="1" t="n">
        <v>45419</v>
      </c>
      <c r="C78" s="1" t="n">
        <v>45703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HYPERLINK("https://klasma.github.io/Logging_1784/artfynd/A 17928-2024 artfynd.xlsx", "A 17928-2024")</f>
        <v/>
      </c>
      <c r="T78">
        <f>HYPERLINK("https://klasma.github.io/Logging_1784/kartor/A 17928-2024 karta.png", "A 17928-2024")</f>
        <v/>
      </c>
      <c r="V78">
        <f>HYPERLINK("https://klasma.github.io/Logging_1784/klagomål/A 17928-2024 FSC-klagomål.docx", "A 17928-2024")</f>
        <v/>
      </c>
      <c r="W78">
        <f>HYPERLINK("https://klasma.github.io/Logging_1784/klagomålsmail/A 17928-2024 FSC-klagomål mail.docx", "A 17928-2024")</f>
        <v/>
      </c>
      <c r="X78">
        <f>HYPERLINK("https://klasma.github.io/Logging_1784/tillsyn/A 17928-2024 tillsynsbegäran.docx", "A 17928-2024")</f>
        <v/>
      </c>
      <c r="Y78">
        <f>HYPERLINK("https://klasma.github.io/Logging_1784/tillsynsmail/A 17928-2024 tillsynsbegäran mail.docx", "A 17928-2024")</f>
        <v/>
      </c>
    </row>
    <row r="79" ht="15" customHeight="1">
      <c r="A79" t="inlineStr">
        <is>
          <t>A 19026-2024</t>
        </is>
      </c>
      <c r="B79" s="1" t="n">
        <v>45427</v>
      </c>
      <c r="C79" s="1" t="n">
        <v>45703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HYPERLINK("https://klasma.github.io/Logging_1784/artfynd/A 19026-2024 artfynd.xlsx", "A 19026-2024")</f>
        <v/>
      </c>
      <c r="T79">
        <f>HYPERLINK("https://klasma.github.io/Logging_1784/kartor/A 19026-2024 karta.png", "A 19026-2024")</f>
        <v/>
      </c>
      <c r="V79">
        <f>HYPERLINK("https://klasma.github.io/Logging_1784/klagomål/A 19026-2024 FSC-klagomål.docx", "A 19026-2024")</f>
        <v/>
      </c>
      <c r="W79">
        <f>HYPERLINK("https://klasma.github.io/Logging_1784/klagomålsmail/A 19026-2024 FSC-klagomål mail.docx", "A 19026-2024")</f>
        <v/>
      </c>
      <c r="X79">
        <f>HYPERLINK("https://klasma.github.io/Logging_1784/tillsyn/A 19026-2024 tillsynsbegäran.docx", "A 19026-2024")</f>
        <v/>
      </c>
      <c r="Y79">
        <f>HYPERLINK("https://klasma.github.io/Logging_1784/tillsynsmail/A 19026-2024 tillsynsbegäran mail.docx", "A 19026-2024")</f>
        <v/>
      </c>
    </row>
    <row r="80" ht="15" customHeight="1">
      <c r="A80" t="inlineStr">
        <is>
          <t>A 23083-2024</t>
        </is>
      </c>
      <c r="B80" s="1" t="n">
        <v>45450</v>
      </c>
      <c r="C80" s="1" t="n">
        <v>45703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23083-2024 artfynd.xlsx", "A 23083-2024")</f>
        <v/>
      </c>
      <c r="T80">
        <f>HYPERLINK("https://klasma.github.io/Logging_1784/kartor/A 23083-2024 karta.png", "A 23083-2024")</f>
        <v/>
      </c>
      <c r="U80">
        <f>HYPERLINK("https://klasma.github.io/Logging_1784/knärot/A 23083-2024 karta knärot.png", "A 23083-2024")</f>
        <v/>
      </c>
      <c r="V80">
        <f>HYPERLINK("https://klasma.github.io/Logging_1784/klagomål/A 23083-2024 FSC-klagomål.docx", "A 23083-2024")</f>
        <v/>
      </c>
      <c r="W80">
        <f>HYPERLINK("https://klasma.github.io/Logging_1784/klagomålsmail/A 23083-2024 FSC-klagomål mail.docx", "A 23083-2024")</f>
        <v/>
      </c>
      <c r="X80">
        <f>HYPERLINK("https://klasma.github.io/Logging_1784/tillsyn/A 23083-2024 tillsynsbegäran.docx", "A 23083-2024")</f>
        <v/>
      </c>
      <c r="Y80">
        <f>HYPERLINK("https://klasma.github.io/Logging_1784/tillsynsmail/A 23083-2024 tillsynsbegäran mail.docx", "A 23083-2024")</f>
        <v/>
      </c>
    </row>
    <row r="81" ht="15" customHeight="1">
      <c r="A81" t="inlineStr">
        <is>
          <t>A 36475-2024</t>
        </is>
      </c>
      <c r="B81" s="1" t="n">
        <v>45537</v>
      </c>
      <c r="C81" s="1" t="n">
        <v>45703</v>
      </c>
      <c r="D81" t="inlineStr">
        <is>
          <t>VÄRMLANDS LÄN</t>
        </is>
      </c>
      <c r="E81" t="inlineStr">
        <is>
          <t>ARVIKA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Slåttergubbemal</t>
        </is>
      </c>
      <c r="S81">
        <f>HYPERLINK("https://klasma.github.io/Logging_1784/artfynd/A 36475-2024 artfynd.xlsx", "A 36475-2024")</f>
        <v/>
      </c>
      <c r="T81">
        <f>HYPERLINK("https://klasma.github.io/Logging_1784/kartor/A 36475-2024 karta.png", "A 36475-2024")</f>
        <v/>
      </c>
      <c r="V81">
        <f>HYPERLINK("https://klasma.github.io/Logging_1784/klagomål/A 36475-2024 FSC-klagomål.docx", "A 36475-2024")</f>
        <v/>
      </c>
      <c r="W81">
        <f>HYPERLINK("https://klasma.github.io/Logging_1784/klagomålsmail/A 36475-2024 FSC-klagomål mail.docx", "A 36475-2024")</f>
        <v/>
      </c>
      <c r="X81">
        <f>HYPERLINK("https://klasma.github.io/Logging_1784/tillsyn/A 36475-2024 tillsynsbegäran.docx", "A 36475-2024")</f>
        <v/>
      </c>
      <c r="Y81">
        <f>HYPERLINK("https://klasma.github.io/Logging_1784/tillsynsmail/A 36475-2024 tillsynsbegäran mail.docx", "A 36475-2024")</f>
        <v/>
      </c>
    </row>
    <row r="82" ht="15" customHeight="1">
      <c r="A82" t="inlineStr">
        <is>
          <t>A 47217-2024</t>
        </is>
      </c>
      <c r="B82" s="1" t="n">
        <v>45586</v>
      </c>
      <c r="C82" s="1" t="n">
        <v>45703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47217-2024 artfynd.xlsx", "A 47217-2024")</f>
        <v/>
      </c>
      <c r="T82">
        <f>HYPERLINK("https://klasma.github.io/Logging_1784/kartor/A 47217-2024 karta.png", "A 47217-2024")</f>
        <v/>
      </c>
      <c r="U82">
        <f>HYPERLINK("https://klasma.github.io/Logging_1784/knärot/A 47217-2024 karta knärot.png", "A 47217-2024")</f>
        <v/>
      </c>
      <c r="V82">
        <f>HYPERLINK("https://klasma.github.io/Logging_1784/klagomål/A 47217-2024 FSC-klagomål.docx", "A 47217-2024")</f>
        <v/>
      </c>
      <c r="W82">
        <f>HYPERLINK("https://klasma.github.io/Logging_1784/klagomålsmail/A 47217-2024 FSC-klagomål mail.docx", "A 47217-2024")</f>
        <v/>
      </c>
      <c r="X82">
        <f>HYPERLINK("https://klasma.github.io/Logging_1784/tillsyn/A 47217-2024 tillsynsbegäran.docx", "A 47217-2024")</f>
        <v/>
      </c>
      <c r="Y82">
        <f>HYPERLINK("https://klasma.github.io/Logging_1784/tillsynsmail/A 47217-2024 tillsynsbegäran mail.docx", "A 47217-2024")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45703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58108-2024</t>
        </is>
      </c>
      <c r="B84" s="1" t="n">
        <v>45632</v>
      </c>
      <c r="C84" s="1" t="n">
        <v>45703</v>
      </c>
      <c r="D84" t="inlineStr">
        <is>
          <t>VÄRMLANDS LÄN</t>
        </is>
      </c>
      <c r="E84" t="inlineStr">
        <is>
          <t>ARVIKA</t>
        </is>
      </c>
      <c r="G84" t="n">
        <v>10.5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58108-2024 artfynd.xlsx", "A 58108-2024")</f>
        <v/>
      </c>
      <c r="T84">
        <f>HYPERLINK("https://klasma.github.io/Logging_1784/kartor/A 58108-2024 karta.png", "A 58108-2024")</f>
        <v/>
      </c>
      <c r="U84">
        <f>HYPERLINK("https://klasma.github.io/Logging_1784/knärot/A 58108-2024 karta knärot.png", "A 58108-2024")</f>
        <v/>
      </c>
      <c r="V84">
        <f>HYPERLINK("https://klasma.github.io/Logging_1784/klagomål/A 58108-2024 FSC-klagomål.docx", "A 58108-2024")</f>
        <v/>
      </c>
      <c r="W84">
        <f>HYPERLINK("https://klasma.github.io/Logging_1784/klagomålsmail/A 58108-2024 FSC-klagomål mail.docx", "A 58108-2024")</f>
        <v/>
      </c>
      <c r="X84">
        <f>HYPERLINK("https://klasma.github.io/Logging_1784/tillsyn/A 58108-2024 tillsynsbegäran.docx", "A 58108-2024")</f>
        <v/>
      </c>
      <c r="Y84">
        <f>HYPERLINK("https://klasma.github.io/Logging_1784/tillsynsmail/A 58108-2024 tillsynsbegäran mail.docx", "A 58108-2024")</f>
        <v/>
      </c>
    </row>
    <row r="85" ht="15" customHeight="1">
      <c r="A85" t="inlineStr">
        <is>
          <t>A 865-2025</t>
        </is>
      </c>
      <c r="B85" s="1" t="n">
        <v>45665</v>
      </c>
      <c r="C85" s="1" t="n">
        <v>45703</v>
      </c>
      <c r="D85" t="inlineStr">
        <is>
          <t>VÄRMLANDS LÄN</t>
        </is>
      </c>
      <c r="E85" t="inlineStr">
        <is>
          <t>ARVIKA</t>
        </is>
      </c>
      <c r="G85" t="n">
        <v>7.7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865-2025 artfynd.xlsx", "A 865-2025")</f>
        <v/>
      </c>
      <c r="T85">
        <f>HYPERLINK("https://klasma.github.io/Logging_1784/kartor/A 865-2025 karta.png", "A 865-2025")</f>
        <v/>
      </c>
      <c r="V85">
        <f>HYPERLINK("https://klasma.github.io/Logging_1784/klagomål/A 865-2025 FSC-klagomål.docx", "A 865-2025")</f>
        <v/>
      </c>
      <c r="W85">
        <f>HYPERLINK("https://klasma.github.io/Logging_1784/klagomålsmail/A 865-2025 FSC-klagomål mail.docx", "A 865-2025")</f>
        <v/>
      </c>
      <c r="X85">
        <f>HYPERLINK("https://klasma.github.io/Logging_1784/tillsyn/A 865-2025 tillsynsbegäran.docx", "A 865-2025")</f>
        <v/>
      </c>
      <c r="Y85">
        <f>HYPERLINK("https://klasma.github.io/Logging_1784/tillsynsmail/A 865-2025 tillsynsbegäran mail.docx", "A 865-2025")</f>
        <v/>
      </c>
    </row>
    <row r="86" ht="15" customHeight="1">
      <c r="A86" t="inlineStr">
        <is>
          <t>A 5779-2025</t>
        </is>
      </c>
      <c r="B86" s="1" t="n">
        <v>45694</v>
      </c>
      <c r="C86" s="1" t="n">
        <v>45703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HYPERLINK("https://klasma.github.io/Logging_1784/artfynd/A 5779-2025 artfynd.xlsx", "A 5779-2025")</f>
        <v/>
      </c>
      <c r="T86">
        <f>HYPERLINK("https://klasma.github.io/Logging_1784/kartor/A 5779-2025 karta.png", "A 5779-2025")</f>
        <v/>
      </c>
      <c r="V86">
        <f>HYPERLINK("https://klasma.github.io/Logging_1784/klagomål/A 5779-2025 FSC-klagomål.docx", "A 5779-2025")</f>
        <v/>
      </c>
      <c r="W86">
        <f>HYPERLINK("https://klasma.github.io/Logging_1784/klagomålsmail/A 5779-2025 FSC-klagomål mail.docx", "A 5779-2025")</f>
        <v/>
      </c>
      <c r="X86">
        <f>HYPERLINK("https://klasma.github.io/Logging_1784/tillsyn/A 5779-2025 tillsynsbegäran.docx", "A 5779-2025")</f>
        <v/>
      </c>
      <c r="Y86">
        <f>HYPERLINK("https://klasma.github.io/Logging_1784/tillsynsmail/A 5779-2025 tillsynsbegäran mail.docx", "A 5779-2025")</f>
        <v/>
      </c>
    </row>
    <row r="87" ht="15" customHeight="1">
      <c r="A87" t="inlineStr">
        <is>
          <t>A 5936-2025</t>
        </is>
      </c>
      <c r="B87" s="1" t="n">
        <v>45695</v>
      </c>
      <c r="C87" s="1" t="n">
        <v>45703</v>
      </c>
      <c r="D87" t="inlineStr">
        <is>
          <t>VÄRMLANDS LÄN</t>
        </is>
      </c>
      <c r="E87" t="inlineStr">
        <is>
          <t>ARVIKA</t>
        </is>
      </c>
      <c r="G87" t="n">
        <v>8.300000000000001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5936-2025 artfynd.xlsx", "A 5936-2025")</f>
        <v/>
      </c>
      <c r="T87">
        <f>HYPERLINK("https://klasma.github.io/Logging_1784/kartor/A 5936-2025 karta.png", "A 5936-2025")</f>
        <v/>
      </c>
      <c r="U87">
        <f>HYPERLINK("https://klasma.github.io/Logging_1784/knärot/A 5936-2025 karta knärot.png", "A 5936-2025")</f>
        <v/>
      </c>
      <c r="V87">
        <f>HYPERLINK("https://klasma.github.io/Logging_1784/klagomål/A 5936-2025 FSC-klagomål.docx", "A 5936-2025")</f>
        <v/>
      </c>
      <c r="W87">
        <f>HYPERLINK("https://klasma.github.io/Logging_1784/klagomålsmail/A 5936-2025 FSC-klagomål mail.docx", "A 5936-2025")</f>
        <v/>
      </c>
      <c r="X87">
        <f>HYPERLINK("https://klasma.github.io/Logging_1784/tillsyn/A 5936-2025 tillsynsbegäran.docx", "A 5936-2025")</f>
        <v/>
      </c>
      <c r="Y87">
        <f>HYPERLINK("https://klasma.github.io/Logging_1784/tillsynsmail/A 5936-2025 tillsynsbegäran mail.docx", "A 5936-2025")</f>
        <v/>
      </c>
    </row>
    <row r="88" ht="15" customHeight="1">
      <c r="A88" t="inlineStr">
        <is>
          <t>A 5956-2025</t>
        </is>
      </c>
      <c r="B88" s="1" t="n">
        <v>45695</v>
      </c>
      <c r="C88" s="1" t="n">
        <v>45703</v>
      </c>
      <c r="D88" t="inlineStr">
        <is>
          <t>VÄRMLANDS LÄN</t>
        </is>
      </c>
      <c r="E88" t="inlineStr">
        <is>
          <t>ARVIKA</t>
        </is>
      </c>
      <c r="G88" t="n">
        <v>5.2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5956-2025 artfynd.xlsx", "A 5956-2025")</f>
        <v/>
      </c>
      <c r="T88">
        <f>HYPERLINK("https://klasma.github.io/Logging_1784/kartor/A 5956-2025 karta.png", "A 5956-2025")</f>
        <v/>
      </c>
      <c r="U88">
        <f>HYPERLINK("https://klasma.github.io/Logging_1784/knärot/A 5956-2025 karta knärot.png", "A 5956-2025")</f>
        <v/>
      </c>
      <c r="V88">
        <f>HYPERLINK("https://klasma.github.io/Logging_1784/klagomål/A 5956-2025 FSC-klagomål.docx", "A 5956-2025")</f>
        <v/>
      </c>
      <c r="W88">
        <f>HYPERLINK("https://klasma.github.io/Logging_1784/klagomålsmail/A 5956-2025 FSC-klagomål mail.docx", "A 5956-2025")</f>
        <v/>
      </c>
      <c r="X88">
        <f>HYPERLINK("https://klasma.github.io/Logging_1784/tillsyn/A 5956-2025 tillsynsbegäran.docx", "A 5956-2025")</f>
        <v/>
      </c>
      <c r="Y88">
        <f>HYPERLINK("https://klasma.github.io/Logging_1784/tillsynsmail/A 5956-2025 tillsynsbegäran mail.docx", "A 5956-2025")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45703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45703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45703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45703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45703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45703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45703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45703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45703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45703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45703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45703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45703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45703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45703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45703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45703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45703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45703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45703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45703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45703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45703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45703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45703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45703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45703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45703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45703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45703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45703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45703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45703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45703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45703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45703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45703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45703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45703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45703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45703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45703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45703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45703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45703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45703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45703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45703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45703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45703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45703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45703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45703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45703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45703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45703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45703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45703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45703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45703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45703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45703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45703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45703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45703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45703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45703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45703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45703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45703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45703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45703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45703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45703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45703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45703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45703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45703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45703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45703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45703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45703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45703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45703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45703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45703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45703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45703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45703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45703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45703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45703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45703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45703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45703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45703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45703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45703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45703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45703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45703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45703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45703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45703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45703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45703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45703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45703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45703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45703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45703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45703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45703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45703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45703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45703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45703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45703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45703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45703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45703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45703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45703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45703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45703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45703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45703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45703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45703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45703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45703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45703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45703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45703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45703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45703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45703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45703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45703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45703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45703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45703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45703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45703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45703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45703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45703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45703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45703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45703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45703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45703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45703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45703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45703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45703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45703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45703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45703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45703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45703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45703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45703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45703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45703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45703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45703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45703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45703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45703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45703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45703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45703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45703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45703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45703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45703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45703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45703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45703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45703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45703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45703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45703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45703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45703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45703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45703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45703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45703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45703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45703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45703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45703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45703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45703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45703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45703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45703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45703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45703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45703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45703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45703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45703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45703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45703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45703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45703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45703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45703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45703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45703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45703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45703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45703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45703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45703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45703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45703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45703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45703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45703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45703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45703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45703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45703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45703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45703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45703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45703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45703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45703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45703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45703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45703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45703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45703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45703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45703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45703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45703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45703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45703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45703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45703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45703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45703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45703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45703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45703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45703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45703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45703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45703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45703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45703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45703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45703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45703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45703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45703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45703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45703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45703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45703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45703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45703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45703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45703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45703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45703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45703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45703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45703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45703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45703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45703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45703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45703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45703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45703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45703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45703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45703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45703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45703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45703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45703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45703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45703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45703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45703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45703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45703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45703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45703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45703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45703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45703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45703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45703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45703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45703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45703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45703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45703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45703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45703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45703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45703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45703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45703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45703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45703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45703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45703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45703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45703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45703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45703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45703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45703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45703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45703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45703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45703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45703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45703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45703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45703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45703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45703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45703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45703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45703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45703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45703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45703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45703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45703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45703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45703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45703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45703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45703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45703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45703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45703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45703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45703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45703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45703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45703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45703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45703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45703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45703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45703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45703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45703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45703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45703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45703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45703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45703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45703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45703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45703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45703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45703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45703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45703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45703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45703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45703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45703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45703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45703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45703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45703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45703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45703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45703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45703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45703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45703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45703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45703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45703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45703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45703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45703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45703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45703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45703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45703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45703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45703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45703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45703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45703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45703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45703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45703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45703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45703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45703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45703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45703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45703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45703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45703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45703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45703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45703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45703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45703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45703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45703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45703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45703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45703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45703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45703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45703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45703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45703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45703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45703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45703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45703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45703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45703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45703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45703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45703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45703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45703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45703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45703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45703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45703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45703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45703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45703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45703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45703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45703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45703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45703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45703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45703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45703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45703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45703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45703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45703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45703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45703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45703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45703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45703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45703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45703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45703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45703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45703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45703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45703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45703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45703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45703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45703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45703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45703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45703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45703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45703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45703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45703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45703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45703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45703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45703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45703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45703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45703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45703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45703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45703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45703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45703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45703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45703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45703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45703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45703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45703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45703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45703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45703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45703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45703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45703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45703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45703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45703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45703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45703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45703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45703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45703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45703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45703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45703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45703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45703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45703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45703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45703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45703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45703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45703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45703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45703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45703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45703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45703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45703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45703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45703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45703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45703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45703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45703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45703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45703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45703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45703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45703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45703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45703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45703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45703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45703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45703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45703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45703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45703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45703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45703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45703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45703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45703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45703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45703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45703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45703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45703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45703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45703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45703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45703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45703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45703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45703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45703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45703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45703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45703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45703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45703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45703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45703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45703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45703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45703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45703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45703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45703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45703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45703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45703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45703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45703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45703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45703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45703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45703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45703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45703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45703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45703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45703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45703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45703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45703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45703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45703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45703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45703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45703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45703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45703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45703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45703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45703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45703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45703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45703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45703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45703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45703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45703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45703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45703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45703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45703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45703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45703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45703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45703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45703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45703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45703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45703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45703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45703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45703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45703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45703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45703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45703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45703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45703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45703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45703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45703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45703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45703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45703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45703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45703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45703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45703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45703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45703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45703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45703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45703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45703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45703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45703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45703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45703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45703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45703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45703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45703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45703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45703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45703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45703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45703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45703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45703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45703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45703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45703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45703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45703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45703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45703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45703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45703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45703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45703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45703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45703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45703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45703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45703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45703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45703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45703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45703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45703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45703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45703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45703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45703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45703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45703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45703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45703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45703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45703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45703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45703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45703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45703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45703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45703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45703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45703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45703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45703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45703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45703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45703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45703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45703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45703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45703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45703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45703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45703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45703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45703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45703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45703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45703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45703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45703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45703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45703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45703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45703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45703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45703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45703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45703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45703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45703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45703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45703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45703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45703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45703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45703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45703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45703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45703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45703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45703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45703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45703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45703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45703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45703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45703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45703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45703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45703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45703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45703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45703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45703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45703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45703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45703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45703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45703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45703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45703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45703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45703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45703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45703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45703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45703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45703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45703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45703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45703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45703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45703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45703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45703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45703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45703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45703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45703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45703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45703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45703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45703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45703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45703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45703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45703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45703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45703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45703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45703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45703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45703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45703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45703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45703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45703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45703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45703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45703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45703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45703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45703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45703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45703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45703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45703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45703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45703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45703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45703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45703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45703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45703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45703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45703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45703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45703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45703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45703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45703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45703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45703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45703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45703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45703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45703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45703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45703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45703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45703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45703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45703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45703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45703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45703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45703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45703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45703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45703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45703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45703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45703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45703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45703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45703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45703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45703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45703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45703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45703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45703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45703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45703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45703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45703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45703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45703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45703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45703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45703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45703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45703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45703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45703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45703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45703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45703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45703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45703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45703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45703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45703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45703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45703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45703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45703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45703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45703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45703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45703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45703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45703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45703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45703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45703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45703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45703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45703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45703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45703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45703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45703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45703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45703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45703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45703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45703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45703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45703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45703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45703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45703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45703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45703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45703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45703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45703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45703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45703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45703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45703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45703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45703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45703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45703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45703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45703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45703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45703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45703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45703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45703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45703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45703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45703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45703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45703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45703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45703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45703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45703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45703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45703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45703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45703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45703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45703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45703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45703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45703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45703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45703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45703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45703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45703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45703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45703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45703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45703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45703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45703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45703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45703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45703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45703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45703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45703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45703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45703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45703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45703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45703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45703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45703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45703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45703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45703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45703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45703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45703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45703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45703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45703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45703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45703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45703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45703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45703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45703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45703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45703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45703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45703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45703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45703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45703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45703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45703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45703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45703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45703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45703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45703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45703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45703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45703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45703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45703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45703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45703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45703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45703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45703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45703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45703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45703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45703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45703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45703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45703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45703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45703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45703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45703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45703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45703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45703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45703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45703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45703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45703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45703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45703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45703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45703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45703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45703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45703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45703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45703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45703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45703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45703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45703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45703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45703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45703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45703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45703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45703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45703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45703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45703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45703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45703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45703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45703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45703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45703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45703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45703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45703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45703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45703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45703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45703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45703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45703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45703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45703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45703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45703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45703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45703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45703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45703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45703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45703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45703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45703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45703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45703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45703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45703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45703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45703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45703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45703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45703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45703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45703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45703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45703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45703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45703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45703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45703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45703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45703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45703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45703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45703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45703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45703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45703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45703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45703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45703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45703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45703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45703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45703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45703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45703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45703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45703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45703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45703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45703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45703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45703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45703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45703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45703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45703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45703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45703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45703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45703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45703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45703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45703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45703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45703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45703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45703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45703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45703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45703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45703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45703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45703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45703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45703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45703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45703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45703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45703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45703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45703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45703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45703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45703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45703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45703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45703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45703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45703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45703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45703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45703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45703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45703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45703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45703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45703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45703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45703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45703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45703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45703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45703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45703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45703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45703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45703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45703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45703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45703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45703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45703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45703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45703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45703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45703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45703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45703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45703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45703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45703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45703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45703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45703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45703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45703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45703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45703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45703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45703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45703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45703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45703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45703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45703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45703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45703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45703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45703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45703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45703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45703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45703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45703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45703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45703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45703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45703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45703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45703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45703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45703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45703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45703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45703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45703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45703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45703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45703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45703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45703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45703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45703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45703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45703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45703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45703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45703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45703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45703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45703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45703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45703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45703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45703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45703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45703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45703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45703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45703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45703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45703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45703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45703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45703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45703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45703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45703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45703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45703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45703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45703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45703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45703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45703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45703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45703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45703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45703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45703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45703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45703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45703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45703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45703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45703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45703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45703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45703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45703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45703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45703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45703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45703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45703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45703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45703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45703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45703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45703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45703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45703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45703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45703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45703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45703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45703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45703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45703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45703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45703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45703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45703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45703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45703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45703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45703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45703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45703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45703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45703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45703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45703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45703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45703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45703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45703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45703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45703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45703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45703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45703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45703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45703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45703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45703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45703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45703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45703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45703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45703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45703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45703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45703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45703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45703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45703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45703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45703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45703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45703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45703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45703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45703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45703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45703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45703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45703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45703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45703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45703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45703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45703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45703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45703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45703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45703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45703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45703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45703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45703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45703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45703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45703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45703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45703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45703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45703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45703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45703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45703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45703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45703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45703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45703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45703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45703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45703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45703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45703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45703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45703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45703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45703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45703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45703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45703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45703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45703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45703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45703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45703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45703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45703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45703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45703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45703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45703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45703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45703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45703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45703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45703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45703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45703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45703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45703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45703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45703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45703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45703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45703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45703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45703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45703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45703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45703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45703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45703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45703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45703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45703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45703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45703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45703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45703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45703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45703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45703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45703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45703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45703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45703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45703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45703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45703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45703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45703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45703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45703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45703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45703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45703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45703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45703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45703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45703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45703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45703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45703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45703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45703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45703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45703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45703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45703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45703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45703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45703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45703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45703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45703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45703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45703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45703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45703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45703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45703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45703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45703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45703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45703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45703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45703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45703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45703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45703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45703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45703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45703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45703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45703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45703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45703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45703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45703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45703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45703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45703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45703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45703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45703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45703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45703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45703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45703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45703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45703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45703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45703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45703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45703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45703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45703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45703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45703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45703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45703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45703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45703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45703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45703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45703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45703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45703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45703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45703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45703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45703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45703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45703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45703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45703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45703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45703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45703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45703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45703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45703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45703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45703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45703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45703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45703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45703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45703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45703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45703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45703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45703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45703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45703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45703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45703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45703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45703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45703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45703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45703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45703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45703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45703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45703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45703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45703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45703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45703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45703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45703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45703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45703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45703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45703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45703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45703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45703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45703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45703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45703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45703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45703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45703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45703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45703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45703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45703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45703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45703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45703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45703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45703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45703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45703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45703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45703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45703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45703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45703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45703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45703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45703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45703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45703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45703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45703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45703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45703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45703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45703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45703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45703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45703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45703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45703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45703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45703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45703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45703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45703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45703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45703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45703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45703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45703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45703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45703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45703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45703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45703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45703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45703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45703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45703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45703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45703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45703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45703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45703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45703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45703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45703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45703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45703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45703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45703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45703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45703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45703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45703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45703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45703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45703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45703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45703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45703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45703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45703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45703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45703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45703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45703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45703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45703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45703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45703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45703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45703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45703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45703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45703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45703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45703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45703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45703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45703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45703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45703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45703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45703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45703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45703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45703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45703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45703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45703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45703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45703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45703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45703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45703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45703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45703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45703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45703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45703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45703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45703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45703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45703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45703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45703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45703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45703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45703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45703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45703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45703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45703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45703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45703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45703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45703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45703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45703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45703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45703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45703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45703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45703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45703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45703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45703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45703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45703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45703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45703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45703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45703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45703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45703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45703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45703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45703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45703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45703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45703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45703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45703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45703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45703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45703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45703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45703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45703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45703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45703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45703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45703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45703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45703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45703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45703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45703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45703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45703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45703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45703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45703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45703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45703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45703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45703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45703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45703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45703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45703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45703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45703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45703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45703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45703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45703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45703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45703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45703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45703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45703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45703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45703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45703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45703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45703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45703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45703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45703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45703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45703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45703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45703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45703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45703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45703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45703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45703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45703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45703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45703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45703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45703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45703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45703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45703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45703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45703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45703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45703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45703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45703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45703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45703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45703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45703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45703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45703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45703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45703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45703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45703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45703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45703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45703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45703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45703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45703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45703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45703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45703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45703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45703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45703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45703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45703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45703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45703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45703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45703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45703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45703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45703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45703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45703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45703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45703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45703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45703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45703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45703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45703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45703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45703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45703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45703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45703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45703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45703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45703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45703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45703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45703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45703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45703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45703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45703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45703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45703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45703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45703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45703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45703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45703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45703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45703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45703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45703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45703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45703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45703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45703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45703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45703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45703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45703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45703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45703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45703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45703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45703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45703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45703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45703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45703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45703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45703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45703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45703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45703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45703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45703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45703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45703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45703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45703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45703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45703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45703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45703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45703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45703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45703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45703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45703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45703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45703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45703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45703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45703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45703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45703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45703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45703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45703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45703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45703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45703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45703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45703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45703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45703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45703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45703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45703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45703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45703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45703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45703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45703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45703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45703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45703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45703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45703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45703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45703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45703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45703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45703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45703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45703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45703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45703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45703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45703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45703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45703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45703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45703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45703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45703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45703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45703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45703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45703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45703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45703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45703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45703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45703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45703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45703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45703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45703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45703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45703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45703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45703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45703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45703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45703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45703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45703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45703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45703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45703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45703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45703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45703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45703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45703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45703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45703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45703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45703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45703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45703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45703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45703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45703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45703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45703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45703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45703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45703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45703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45703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45703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45703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45703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45703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45703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45703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45703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45703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45703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45703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45703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45703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45703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45703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45703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45703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45703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45703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45703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45703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45703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45703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45703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45703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45703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45703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45703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45703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45703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45703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45703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45703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45703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45703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45703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45703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45703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45703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45703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45703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45703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45703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45703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45703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45703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45703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45703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45703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45703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45703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45703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45703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45703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45703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45703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45703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45703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45703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45703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45703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45703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45703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45703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45703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45703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45703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45703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45703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45703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45703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45703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45703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45703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45703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45703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45703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45703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45703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45703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45703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45703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45703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45703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45703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45703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45703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45703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45703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45703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45703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45703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45703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45703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45703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45703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45703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45703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45703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45703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45703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45703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45703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45703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45703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45703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45703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45703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45703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45703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45703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45703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45703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45703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45703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45703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45703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45703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45703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45703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45703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45703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45703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45703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45703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45703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45703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45703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45703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45703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45703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45703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45703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1511-2025</t>
        </is>
      </c>
      <c r="B2210" s="1" t="n">
        <v>45670</v>
      </c>
      <c r="C2210" s="1" t="n">
        <v>45703</v>
      </c>
      <c r="D2210" t="inlineStr">
        <is>
          <t>VÄRMLANDS LÄN</t>
        </is>
      </c>
      <c r="E2210" t="inlineStr">
        <is>
          <t>ARVIKA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45703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2034-2025</t>
        </is>
      </c>
      <c r="B2212" s="1" t="n">
        <v>45672</v>
      </c>
      <c r="C2212" s="1" t="n">
        <v>45703</v>
      </c>
      <c r="D2212" t="inlineStr">
        <is>
          <t>VÄRMLANDS LÄN</t>
        </is>
      </c>
      <c r="E2212" t="inlineStr">
        <is>
          <t>ARVIKA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1942-2025</t>
        </is>
      </c>
      <c r="B2213" s="1" t="n">
        <v>45672</v>
      </c>
      <c r="C2213" s="1" t="n">
        <v>45703</v>
      </c>
      <c r="D2213" t="inlineStr">
        <is>
          <t>VÄRMLANDS LÄN</t>
        </is>
      </c>
      <c r="E2213" t="inlineStr">
        <is>
          <t>ARVIKA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45703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45703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2322-2025</t>
        </is>
      </c>
      <c r="B2216" s="1" t="n">
        <v>45673</v>
      </c>
      <c r="C2216" s="1" t="n">
        <v>45703</v>
      </c>
      <c r="D2216" t="inlineStr">
        <is>
          <t>VÄRMLANDS LÄN</t>
        </is>
      </c>
      <c r="E2216" t="inlineStr">
        <is>
          <t>ARVIKA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2320-2025</t>
        </is>
      </c>
      <c r="B2217" s="1" t="n">
        <v>45673</v>
      </c>
      <c r="C2217" s="1" t="n">
        <v>45703</v>
      </c>
      <c r="D2217" t="inlineStr">
        <is>
          <t>VÄRMLANDS LÄN</t>
        </is>
      </c>
      <c r="E2217" t="inlineStr">
        <is>
          <t>ARVIKA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2564-2025</t>
        </is>
      </c>
      <c r="B2218" s="1" t="n">
        <v>45674</v>
      </c>
      <c r="C2218" s="1" t="n">
        <v>45703</v>
      </c>
      <c r="D2218" t="inlineStr">
        <is>
          <t>VÄRMLANDS LÄN</t>
        </is>
      </c>
      <c r="E2218" t="inlineStr">
        <is>
          <t>ARVIKA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2599-2025</t>
        </is>
      </c>
      <c r="B2219" s="1" t="n">
        <v>45674</v>
      </c>
      <c r="C2219" s="1" t="n">
        <v>45703</v>
      </c>
      <c r="D2219" t="inlineStr">
        <is>
          <t>VÄRMLANDS LÄN</t>
        </is>
      </c>
      <c r="E2219" t="inlineStr">
        <is>
          <t>ARVIKA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2600-2025</t>
        </is>
      </c>
      <c r="B2220" s="1" t="n">
        <v>45674</v>
      </c>
      <c r="C2220" s="1" t="n">
        <v>45703</v>
      </c>
      <c r="D2220" t="inlineStr">
        <is>
          <t>VÄRMLANDS LÄN</t>
        </is>
      </c>
      <c r="E2220" t="inlineStr">
        <is>
          <t>ARVIKA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2605-2025</t>
        </is>
      </c>
      <c r="B2221" s="1" t="n">
        <v>45674</v>
      </c>
      <c r="C2221" s="1" t="n">
        <v>45703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2702-2025</t>
        </is>
      </c>
      <c r="B2222" s="1" t="n">
        <v>45677</v>
      </c>
      <c r="C2222" s="1" t="n">
        <v>45703</v>
      </c>
      <c r="D2222" t="inlineStr">
        <is>
          <t>VÄRMLANDS LÄN</t>
        </is>
      </c>
      <c r="E2222" t="inlineStr">
        <is>
          <t>ARVIKA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45703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45703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45703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3590-2025</t>
        </is>
      </c>
      <c r="B2226" s="1" t="n">
        <v>45680</v>
      </c>
      <c r="C2226" s="1" t="n">
        <v>45703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3588-2025</t>
        </is>
      </c>
      <c r="B2227" s="1" t="n">
        <v>45680</v>
      </c>
      <c r="C2227" s="1" t="n">
        <v>45703</v>
      </c>
      <c r="D2227" t="inlineStr">
        <is>
          <t>VÄRMLANDS LÄN</t>
        </is>
      </c>
      <c r="E2227" t="inlineStr">
        <is>
          <t>ARVIKA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3613-2025</t>
        </is>
      </c>
      <c r="B2228" s="1" t="n">
        <v>45681</v>
      </c>
      <c r="C2228" s="1" t="n">
        <v>45703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3610-2025</t>
        </is>
      </c>
      <c r="B2229" s="1" t="n">
        <v>45681</v>
      </c>
      <c r="C2229" s="1" t="n">
        <v>45703</v>
      </c>
      <c r="D2229" t="inlineStr">
        <is>
          <t>VÄRMLANDS LÄN</t>
        </is>
      </c>
      <c r="E2229" t="inlineStr">
        <is>
          <t>ARVIKA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3671-2025</t>
        </is>
      </c>
      <c r="B2230" s="1" t="n">
        <v>45681</v>
      </c>
      <c r="C2230" s="1" t="n">
        <v>45703</v>
      </c>
      <c r="D2230" t="inlineStr">
        <is>
          <t>VÄRMLANDS LÄN</t>
        </is>
      </c>
      <c r="E2230" t="inlineStr">
        <is>
          <t>ARVIKA</t>
        </is>
      </c>
      <c r="F2230" t="inlineStr">
        <is>
          <t>Bergvik skog väst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3827-2025</t>
        </is>
      </c>
      <c r="B2231" s="1" t="n">
        <v>45681</v>
      </c>
      <c r="C2231" s="1" t="n">
        <v>45703</v>
      </c>
      <c r="D2231" t="inlineStr">
        <is>
          <t>VÄRMLANDS LÄN</t>
        </is>
      </c>
      <c r="E2231" t="inlineStr">
        <is>
          <t>ARVIKA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45703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45703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4238-2025</t>
        </is>
      </c>
      <c r="B2234" s="1" t="n">
        <v>45685</v>
      </c>
      <c r="C2234" s="1" t="n">
        <v>45703</v>
      </c>
      <c r="D2234" t="inlineStr">
        <is>
          <t>VÄRMLANDS LÄN</t>
        </is>
      </c>
      <c r="E2234" t="inlineStr">
        <is>
          <t>ARVIKA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4211-2025</t>
        </is>
      </c>
      <c r="B2235" s="1" t="n">
        <v>45685</v>
      </c>
      <c r="C2235" s="1" t="n">
        <v>45703</v>
      </c>
      <c r="D2235" t="inlineStr">
        <is>
          <t>VÄRMLANDS LÄN</t>
        </is>
      </c>
      <c r="E2235" t="inlineStr">
        <is>
          <t>ARVIKA</t>
        </is>
      </c>
      <c r="G2235" t="n">
        <v>11.1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45703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45703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45703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4736-2025</t>
        </is>
      </c>
      <c r="B2239" s="1" t="n">
        <v>45688</v>
      </c>
      <c r="C2239" s="1" t="n">
        <v>45703</v>
      </c>
      <c r="D2239" t="inlineStr">
        <is>
          <t>VÄRMLANDS LÄN</t>
        </is>
      </c>
      <c r="E2239" t="inlineStr">
        <is>
          <t>ARVIKA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45703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4995-2025</t>
        </is>
      </c>
      <c r="B2241" s="1" t="n">
        <v>45691</v>
      </c>
      <c r="C2241" s="1" t="n">
        <v>45703</v>
      </c>
      <c r="D2241" t="inlineStr">
        <is>
          <t>VÄRMLANDS LÄN</t>
        </is>
      </c>
      <c r="E2241" t="inlineStr">
        <is>
          <t>ARVIKA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4997-2025</t>
        </is>
      </c>
      <c r="B2242" s="1" t="n">
        <v>45691</v>
      </c>
      <c r="C2242" s="1" t="n">
        <v>45703</v>
      </c>
      <c r="D2242" t="inlineStr">
        <is>
          <t>VÄRMLANDS LÄN</t>
        </is>
      </c>
      <c r="E2242" t="inlineStr">
        <is>
          <t>ARVIKA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5056-2025</t>
        </is>
      </c>
      <c r="B2243" s="1" t="n">
        <v>45691</v>
      </c>
      <c r="C2243" s="1" t="n">
        <v>45703</v>
      </c>
      <c r="D2243" t="inlineStr">
        <is>
          <t>VÄRMLANDS LÄN</t>
        </is>
      </c>
      <c r="E2243" t="inlineStr">
        <is>
          <t>ARVIKA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5072-2025</t>
        </is>
      </c>
      <c r="B2244" s="1" t="n">
        <v>45691</v>
      </c>
      <c r="C2244" s="1" t="n">
        <v>45703</v>
      </c>
      <c r="D2244" t="inlineStr">
        <is>
          <t>VÄRMLANDS LÄN</t>
        </is>
      </c>
      <c r="E2244" t="inlineStr">
        <is>
          <t>ARVIKA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5053-2025</t>
        </is>
      </c>
      <c r="B2245" s="1" t="n">
        <v>45691</v>
      </c>
      <c r="C2245" s="1" t="n">
        <v>45703</v>
      </c>
      <c r="D2245" t="inlineStr">
        <is>
          <t>VÄRMLANDS LÄN</t>
        </is>
      </c>
      <c r="E2245" t="inlineStr">
        <is>
          <t>ARVIKA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5329-2025</t>
        </is>
      </c>
      <c r="B2246" s="1" t="n">
        <v>45692</v>
      </c>
      <c r="C2246" s="1" t="n">
        <v>45703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45703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5360-2025</t>
        </is>
      </c>
      <c r="B2248" s="1" t="n">
        <v>45692</v>
      </c>
      <c r="C2248" s="1" t="n">
        <v>45703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5397-2025</t>
        </is>
      </c>
      <c r="B2249" s="1" t="n">
        <v>45692</v>
      </c>
      <c r="C2249" s="1" t="n">
        <v>45703</v>
      </c>
      <c r="D2249" t="inlineStr">
        <is>
          <t>VÄRMLANDS LÄN</t>
        </is>
      </c>
      <c r="E2249" t="inlineStr">
        <is>
          <t>ARVIKA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45703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45703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5866-2025</t>
        </is>
      </c>
      <c r="B2252" s="1" t="n">
        <v>45695</v>
      </c>
      <c r="C2252" s="1" t="n">
        <v>45703</v>
      </c>
      <c r="D2252" t="inlineStr">
        <is>
          <t>VÄRMLANDS LÄN</t>
        </is>
      </c>
      <c r="E2252" t="inlineStr">
        <is>
          <t>ARVIKA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5945-2025</t>
        </is>
      </c>
      <c r="B2253" s="1" t="n">
        <v>45695</v>
      </c>
      <c r="C2253" s="1" t="n">
        <v>45703</v>
      </c>
      <c r="D2253" t="inlineStr">
        <is>
          <t>VÄRMLANDS LÄN</t>
        </is>
      </c>
      <c r="E2253" t="inlineStr">
        <is>
          <t>ARVIKA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6110-2025</t>
        </is>
      </c>
      <c r="B2254" s="1" t="n">
        <v>45698</v>
      </c>
      <c r="C2254" s="1" t="n">
        <v>45703</v>
      </c>
      <c r="D2254" t="inlineStr">
        <is>
          <t>VÄRMLANDS LÄN</t>
        </is>
      </c>
      <c r="E2254" t="inlineStr">
        <is>
          <t>ARVIKA</t>
        </is>
      </c>
      <c r="F2254" t="inlineStr">
        <is>
          <t>Bergvik skog väst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6186-2025</t>
        </is>
      </c>
      <c r="B2255" s="1" t="n">
        <v>45698</v>
      </c>
      <c r="C2255" s="1" t="n">
        <v>45703</v>
      </c>
      <c r="D2255" t="inlineStr">
        <is>
          <t>VÄRMLANDS LÄN</t>
        </is>
      </c>
      <c r="E2255" t="inlineStr">
        <is>
          <t>ARVIKA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6227-2025</t>
        </is>
      </c>
      <c r="B2256" s="1" t="n">
        <v>45698</v>
      </c>
      <c r="C2256" s="1" t="n">
        <v>45703</v>
      </c>
      <c r="D2256" t="inlineStr">
        <is>
          <t>VÄRMLANDS LÄN</t>
        </is>
      </c>
      <c r="E2256" t="inlineStr">
        <is>
          <t>ARVIKA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6223-2025</t>
        </is>
      </c>
      <c r="B2257" s="1" t="n">
        <v>45698</v>
      </c>
      <c r="C2257" s="1" t="n">
        <v>45703</v>
      </c>
      <c r="D2257" t="inlineStr">
        <is>
          <t>VÄRMLANDS LÄN</t>
        </is>
      </c>
      <c r="E2257" t="inlineStr">
        <is>
          <t>ARVIKA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6241-2025</t>
        </is>
      </c>
      <c r="B2258" s="1" t="n">
        <v>45698</v>
      </c>
      <c r="C2258" s="1" t="n">
        <v>45703</v>
      </c>
      <c r="D2258" t="inlineStr">
        <is>
          <t>VÄRMLANDS LÄN</t>
        </is>
      </c>
      <c r="E2258" t="inlineStr">
        <is>
          <t>ARVIKA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  <c r="U2258">
        <f>HYPERLINK("https://klasma.github.io/Logging_1784/knärot/A 6241-2025 karta knärot.png", "A 6241-2025")</f>
        <v/>
      </c>
      <c r="V2258">
        <f>HYPERLINK("https://klasma.github.io/Logging_1784/klagomål/A 6241-2025 FSC-klagomål.docx", "A 6241-2025")</f>
        <v/>
      </c>
      <c r="W2258">
        <f>HYPERLINK("https://klasma.github.io/Logging_1784/klagomålsmail/A 6241-2025 FSC-klagomål mail.docx", "A 6241-2025")</f>
        <v/>
      </c>
      <c r="X2258">
        <f>HYPERLINK("https://klasma.github.io/Logging_1784/tillsyn/A 6241-2025 tillsynsbegäran.docx", "A 6241-2025")</f>
        <v/>
      </c>
      <c r="Y2258">
        <f>HYPERLINK("https://klasma.github.io/Logging_1784/tillsynsmail/A 6241-2025 tillsynsbegäran mail.docx", "A 6241-2025")</f>
        <v/>
      </c>
    </row>
    <row r="2259" ht="15" customHeight="1">
      <c r="A2259" t="inlineStr">
        <is>
          <t>A 6250-2025</t>
        </is>
      </c>
      <c r="B2259" s="1" t="n">
        <v>45698</v>
      </c>
      <c r="C2259" s="1" t="n">
        <v>45703</v>
      </c>
      <c r="D2259" t="inlineStr">
        <is>
          <t>VÄRMLANDS LÄN</t>
        </is>
      </c>
      <c r="E2259" t="inlineStr">
        <is>
          <t>ARVIKA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6237-2025</t>
        </is>
      </c>
      <c r="B2260" s="1" t="n">
        <v>45698</v>
      </c>
      <c r="C2260" s="1" t="n">
        <v>45703</v>
      </c>
      <c r="D2260" t="inlineStr">
        <is>
          <t>VÄRMLANDS LÄN</t>
        </is>
      </c>
      <c r="E2260" t="inlineStr">
        <is>
          <t>ARVIKA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6966-2025</t>
        </is>
      </c>
      <c r="B2261" s="1" t="n">
        <v>45701</v>
      </c>
      <c r="C2261" s="1" t="n">
        <v>45703</v>
      </c>
      <c r="D2261" t="inlineStr">
        <is>
          <t>VÄRMLANDS LÄN</t>
        </is>
      </c>
      <c r="E2261" t="inlineStr">
        <is>
          <t>ARVIKA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6978-2025</t>
        </is>
      </c>
      <c r="B2262" s="1" t="n">
        <v>45701</v>
      </c>
      <c r="C2262" s="1" t="n">
        <v>45703</v>
      </c>
      <c r="D2262" t="inlineStr">
        <is>
          <t>VÄRMLANDS LÄN</t>
        </is>
      </c>
      <c r="E2262" t="inlineStr">
        <is>
          <t>ARVIKA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>
      <c r="A2263" t="inlineStr">
        <is>
          <t>A 7314-2025</t>
        </is>
      </c>
      <c r="B2263" s="1" t="n">
        <v>45702</v>
      </c>
      <c r="C2263" s="1" t="n">
        <v>45703</v>
      </c>
      <c r="D2263" t="inlineStr">
        <is>
          <t>VÄRMLANDS LÄN</t>
        </is>
      </c>
      <c r="E2263" t="inlineStr">
        <is>
          <t>ARVIKA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2025-02-15T16:18:04Z</dcterms:created>
  <dcterms:modified xmlns:dcterms="http://purl.org/dc/terms/" xmlns:xsi="http://www.w3.org/2001/XMLSchema-instance" xsi:type="dcterms:W3CDTF">2025-02-15T16:18:06Z</dcterms:modified>
</cp:coreProperties>
</file>