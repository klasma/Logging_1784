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45729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45729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45729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45729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45729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45729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45729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45729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45729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45729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45729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45729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45729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45729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45729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45729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45729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45729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45729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45729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45729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45729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45729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45729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45729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45729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45729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45729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45729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45729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45729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45729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45729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45729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45729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45729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45729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45729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45729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45729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45729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45729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45729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45729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45729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45729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45729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45729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45729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45729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45729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45729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45729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45729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45729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45729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45729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45729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45729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45729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45729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45729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45729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45729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45729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45729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45729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45729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45729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8525-2023</t>
        </is>
      </c>
      <c r="B71" s="1" t="n">
        <v>44977</v>
      </c>
      <c r="C71" s="1" t="n">
        <v>45729</v>
      </c>
      <c r="D71" t="inlineStr">
        <is>
          <t>VÄRMLANDS LÄN</t>
        </is>
      </c>
      <c r="E71" t="inlineStr">
        <is>
          <t>ARVIKA</t>
        </is>
      </c>
      <c r="G71" t="n">
        <v>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8525-2023 artfynd.xlsx", "A 8525-2023")</f>
        <v/>
      </c>
      <c r="T71">
        <f>HYPERLINK("https://klasma.github.io/Logging_1784/kartor/A 8525-2023 karta.png", "A 8525-2023")</f>
        <v/>
      </c>
      <c r="U71">
        <f>HYPERLINK("https://klasma.github.io/Logging_1784/knärot/A 8525-2023 karta knärot.png", "A 8525-2023")</f>
        <v/>
      </c>
      <c r="V71">
        <f>HYPERLINK("https://klasma.github.io/Logging_1784/klagomål/A 8525-2023 FSC-klagomål.docx", "A 8525-2023")</f>
        <v/>
      </c>
      <c r="W71">
        <f>HYPERLINK("https://klasma.github.io/Logging_1784/klagomålsmail/A 8525-2023 FSC-klagomål mail.docx", "A 8525-2023")</f>
        <v/>
      </c>
      <c r="X71">
        <f>HYPERLINK("https://klasma.github.io/Logging_1784/tillsyn/A 8525-2023 tillsynsbegäran.docx", "A 8525-2023")</f>
        <v/>
      </c>
      <c r="Y71">
        <f>HYPERLINK("https://klasma.github.io/Logging_1784/tillsynsmail/A 8525-2023 tillsynsbegäran mail.docx", "A 8525-2023")</f>
        <v/>
      </c>
    </row>
    <row r="72" ht="15" customHeight="1">
      <c r="A72" t="inlineStr">
        <is>
          <t>A 10814-2023</t>
        </is>
      </c>
      <c r="B72" s="1" t="n">
        <v>44990</v>
      </c>
      <c r="C72" s="1" t="n">
        <v>45729</v>
      </c>
      <c r="D72" t="inlineStr">
        <is>
          <t>VÄRMLANDS LÄN</t>
        </is>
      </c>
      <c r="E72" t="inlineStr">
        <is>
          <t>ARVIKA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HYPERLINK("https://klasma.github.io/Logging_1784/artfynd/A 10814-2023 artfynd.xlsx", "A 10814-2023")</f>
        <v/>
      </c>
      <c r="T72">
        <f>HYPERLINK("https://klasma.github.io/Logging_1784/kartor/A 10814-2023 karta.png", "A 10814-2023")</f>
        <v/>
      </c>
      <c r="V72">
        <f>HYPERLINK("https://klasma.github.io/Logging_1784/klagomål/A 10814-2023 FSC-klagomål.docx", "A 10814-2023")</f>
        <v/>
      </c>
      <c r="W72">
        <f>HYPERLINK("https://klasma.github.io/Logging_1784/klagomålsmail/A 10814-2023 FSC-klagomål mail.docx", "A 10814-2023")</f>
        <v/>
      </c>
      <c r="X72">
        <f>HYPERLINK("https://klasma.github.io/Logging_1784/tillsyn/A 10814-2023 tillsynsbegäran.docx", "A 10814-2023")</f>
        <v/>
      </c>
      <c r="Y72">
        <f>HYPERLINK("https://klasma.github.io/Logging_1784/tillsynsmail/A 10814-2023 tillsynsbegäran mail.docx", "A 10814-2023")</f>
        <v/>
      </c>
    </row>
    <row r="73" ht="15" customHeight="1">
      <c r="A73" t="inlineStr">
        <is>
          <t>A 15145-2023</t>
        </is>
      </c>
      <c r="B73" s="1" t="n">
        <v>45016</v>
      </c>
      <c r="C73" s="1" t="n">
        <v>45729</v>
      </c>
      <c r="D73" t="inlineStr">
        <is>
          <t>VÄRMLANDS LÄN</t>
        </is>
      </c>
      <c r="E73" t="inlineStr">
        <is>
          <t>ARVIKA</t>
        </is>
      </c>
      <c r="G73" t="n">
        <v>2.9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15145-2023 artfynd.xlsx", "A 15145-2023")</f>
        <v/>
      </c>
      <c r="T73">
        <f>HYPERLINK("https://klasma.github.io/Logging_1784/kartor/A 15145-2023 karta.png", "A 15145-2023")</f>
        <v/>
      </c>
      <c r="U73">
        <f>HYPERLINK("https://klasma.github.io/Logging_1784/knärot/A 15145-2023 karta knärot.png", "A 15145-2023")</f>
        <v/>
      </c>
      <c r="V73">
        <f>HYPERLINK("https://klasma.github.io/Logging_1784/klagomål/A 15145-2023 FSC-klagomål.docx", "A 15145-2023")</f>
        <v/>
      </c>
      <c r="W73">
        <f>HYPERLINK("https://klasma.github.io/Logging_1784/klagomålsmail/A 15145-2023 FSC-klagomål mail.docx", "A 15145-2023")</f>
        <v/>
      </c>
      <c r="X73">
        <f>HYPERLINK("https://klasma.github.io/Logging_1784/tillsyn/A 15145-2023 tillsynsbegäran.docx", "A 15145-2023")</f>
        <v/>
      </c>
      <c r="Y73">
        <f>HYPERLINK("https://klasma.github.io/Logging_1784/tillsynsmail/A 15145-2023 tillsynsbegäran mail.docx", "A 15145-2023")</f>
        <v/>
      </c>
    </row>
    <row r="74" ht="15" customHeight="1">
      <c r="A74" t="inlineStr">
        <is>
          <t>A 16391-2023</t>
        </is>
      </c>
      <c r="B74" s="1" t="n">
        <v>45029</v>
      </c>
      <c r="C74" s="1" t="n">
        <v>45729</v>
      </c>
      <c r="D74" t="inlineStr">
        <is>
          <t>VÄRMLANDS LÄN</t>
        </is>
      </c>
      <c r="E74" t="inlineStr">
        <is>
          <t>ARVIKA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Kulfibbla</t>
        </is>
      </c>
      <c r="S74">
        <f>HYPERLINK("https://klasma.github.io/Logging_1784/artfynd/A 16391-2023 artfynd.xlsx", "A 16391-2023")</f>
        <v/>
      </c>
      <c r="T74">
        <f>HYPERLINK("https://klasma.github.io/Logging_1784/kartor/A 16391-2023 karta.png", "A 16391-2023")</f>
        <v/>
      </c>
      <c r="V74">
        <f>HYPERLINK("https://klasma.github.io/Logging_1784/klagomål/A 16391-2023 FSC-klagomål.docx", "A 16391-2023")</f>
        <v/>
      </c>
      <c r="W74">
        <f>HYPERLINK("https://klasma.github.io/Logging_1784/klagomålsmail/A 16391-2023 FSC-klagomål mail.docx", "A 16391-2023")</f>
        <v/>
      </c>
      <c r="X74">
        <f>HYPERLINK("https://klasma.github.io/Logging_1784/tillsyn/A 16391-2023 tillsynsbegäran.docx", "A 16391-2023")</f>
        <v/>
      </c>
      <c r="Y74">
        <f>HYPERLINK("https://klasma.github.io/Logging_1784/tillsynsmail/A 16391-2023 tillsynsbegäran mail.docx", "A 16391-2023")</f>
        <v/>
      </c>
    </row>
    <row r="75" ht="15" customHeight="1">
      <c r="A75" t="inlineStr">
        <is>
          <t>A 24239-2023</t>
        </is>
      </c>
      <c r="B75" s="1" t="n">
        <v>45079</v>
      </c>
      <c r="C75" s="1" t="n">
        <v>45729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24239-2023 artfynd.xlsx", "A 24239-2023")</f>
        <v/>
      </c>
      <c r="T75">
        <f>HYPERLINK("https://klasma.github.io/Logging_1784/kartor/A 24239-2023 karta.png", "A 24239-2023")</f>
        <v/>
      </c>
      <c r="U75">
        <f>HYPERLINK("https://klasma.github.io/Logging_1784/knärot/A 24239-2023 karta knärot.png", "A 24239-2023")</f>
        <v/>
      </c>
      <c r="V75">
        <f>HYPERLINK("https://klasma.github.io/Logging_1784/klagomål/A 24239-2023 FSC-klagomål.docx", "A 24239-2023")</f>
        <v/>
      </c>
      <c r="W75">
        <f>HYPERLINK("https://klasma.github.io/Logging_1784/klagomålsmail/A 24239-2023 FSC-klagomål mail.docx", "A 24239-2023")</f>
        <v/>
      </c>
      <c r="X75">
        <f>HYPERLINK("https://klasma.github.io/Logging_1784/tillsyn/A 24239-2023 tillsynsbegäran.docx", "A 24239-2023")</f>
        <v/>
      </c>
      <c r="Y75">
        <f>HYPERLINK("https://klasma.github.io/Logging_1784/tillsynsmail/A 24239-2023 tillsynsbegäran mail.docx", "A 24239-2023")</f>
        <v/>
      </c>
    </row>
    <row r="76" ht="15" customHeight="1">
      <c r="A76" t="inlineStr">
        <is>
          <t>A 25913-2023</t>
        </is>
      </c>
      <c r="B76" s="1" t="n">
        <v>45090</v>
      </c>
      <c r="C76" s="1" t="n">
        <v>45729</v>
      </c>
      <c r="D76" t="inlineStr">
        <is>
          <t>VÄRMLANDS LÄN</t>
        </is>
      </c>
      <c r="E76" t="inlineStr">
        <is>
          <t>ARVIKA</t>
        </is>
      </c>
      <c r="G76" t="n">
        <v>4.3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25913-2023 artfynd.xlsx", "A 25913-2023")</f>
        <v/>
      </c>
      <c r="T76">
        <f>HYPERLINK("https://klasma.github.io/Logging_1784/kartor/A 25913-2023 karta.png", "A 25913-2023")</f>
        <v/>
      </c>
      <c r="V76">
        <f>HYPERLINK("https://klasma.github.io/Logging_1784/klagomål/A 25913-2023 FSC-klagomål.docx", "A 25913-2023")</f>
        <v/>
      </c>
      <c r="W76">
        <f>HYPERLINK("https://klasma.github.io/Logging_1784/klagomålsmail/A 25913-2023 FSC-klagomål mail.docx", "A 25913-2023")</f>
        <v/>
      </c>
      <c r="X76">
        <f>HYPERLINK("https://klasma.github.io/Logging_1784/tillsyn/A 25913-2023 tillsynsbegäran.docx", "A 25913-2023")</f>
        <v/>
      </c>
      <c r="Y76">
        <f>HYPERLINK("https://klasma.github.io/Logging_1784/tillsynsmail/A 25913-2023 tillsynsbegäran mail.docx", "A 25913-2023")</f>
        <v/>
      </c>
      <c r="Z76">
        <f>HYPERLINK("https://klasma.github.io/Logging_1784/fåglar/A 25913-2023 prioriterade fågelarter.docx", "A 25913-2023")</f>
        <v/>
      </c>
    </row>
    <row r="77" ht="15" customHeight="1">
      <c r="A77" t="inlineStr">
        <is>
          <t>A 32877-2023</t>
        </is>
      </c>
      <c r="B77" s="1" t="n">
        <v>45124</v>
      </c>
      <c r="C77" s="1" t="n">
        <v>45729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HYPERLINK("https://klasma.github.io/Logging_1784/artfynd/A 32877-2023 artfynd.xlsx", "A 32877-2023")</f>
        <v/>
      </c>
      <c r="T77">
        <f>HYPERLINK("https://klasma.github.io/Logging_1784/kartor/A 32877-2023 karta.png", "A 32877-2023")</f>
        <v/>
      </c>
      <c r="U77">
        <f>HYPERLINK("https://klasma.github.io/Logging_1784/knärot/A 32877-2023 karta knärot.png", "A 32877-2023")</f>
        <v/>
      </c>
      <c r="V77">
        <f>HYPERLINK("https://klasma.github.io/Logging_1784/klagomål/A 32877-2023 FSC-klagomål.docx", "A 32877-2023")</f>
        <v/>
      </c>
      <c r="W77">
        <f>HYPERLINK("https://klasma.github.io/Logging_1784/klagomålsmail/A 32877-2023 FSC-klagomål mail.docx", "A 32877-2023")</f>
        <v/>
      </c>
      <c r="X77">
        <f>HYPERLINK("https://klasma.github.io/Logging_1784/tillsyn/A 32877-2023 tillsynsbegäran.docx", "A 32877-2023")</f>
        <v/>
      </c>
      <c r="Y77">
        <f>HYPERLINK("https://klasma.github.io/Logging_1784/tillsynsmail/A 32877-2023 tillsynsbegäran mail.docx", "A 32877-2023")</f>
        <v/>
      </c>
    </row>
    <row r="78" ht="15" customHeight="1">
      <c r="A78" t="inlineStr">
        <is>
          <t>A 43388-2023</t>
        </is>
      </c>
      <c r="B78" s="1" t="n">
        <v>45183</v>
      </c>
      <c r="C78" s="1" t="n">
        <v>45729</v>
      </c>
      <c r="D78" t="inlineStr">
        <is>
          <t>VÄRMLANDS LÄN</t>
        </is>
      </c>
      <c r="E78" t="inlineStr">
        <is>
          <t>ARVIKA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43388-2023 artfynd.xlsx", "A 43388-2023")</f>
        <v/>
      </c>
      <c r="T78">
        <f>HYPERLINK("https://klasma.github.io/Logging_1784/kartor/A 43388-2023 karta.png", "A 43388-2023")</f>
        <v/>
      </c>
      <c r="U78">
        <f>HYPERLINK("https://klasma.github.io/Logging_1784/knärot/A 43388-2023 karta knärot.png", "A 43388-2023")</f>
        <v/>
      </c>
      <c r="V78">
        <f>HYPERLINK("https://klasma.github.io/Logging_1784/klagomål/A 43388-2023 FSC-klagomål.docx", "A 43388-2023")</f>
        <v/>
      </c>
      <c r="W78">
        <f>HYPERLINK("https://klasma.github.io/Logging_1784/klagomålsmail/A 43388-2023 FSC-klagomål mail.docx", "A 43388-2023")</f>
        <v/>
      </c>
      <c r="X78">
        <f>HYPERLINK("https://klasma.github.io/Logging_1784/tillsyn/A 43388-2023 tillsynsbegäran.docx", "A 43388-2023")</f>
        <v/>
      </c>
      <c r="Y78">
        <f>HYPERLINK("https://klasma.github.io/Logging_1784/tillsynsmail/A 43388-2023 tillsynsbegäran mail.docx", "A 43388-2023")</f>
        <v/>
      </c>
    </row>
    <row r="79" ht="15" customHeight="1">
      <c r="A79" t="inlineStr">
        <is>
          <t>A 47141-2023</t>
        </is>
      </c>
      <c r="B79" s="1" t="n">
        <v>45201</v>
      </c>
      <c r="C79" s="1" t="n">
        <v>45729</v>
      </c>
      <c r="D79" t="inlineStr">
        <is>
          <t>VÄRMLANDS LÄN</t>
        </is>
      </c>
      <c r="E79" t="inlineStr">
        <is>
          <t>ARVIKA</t>
        </is>
      </c>
      <c r="G79" t="n">
        <v>3.7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47141-2023 artfynd.xlsx", "A 47141-2023")</f>
        <v/>
      </c>
      <c r="T79">
        <f>HYPERLINK("https://klasma.github.io/Logging_1784/kartor/A 47141-2023 karta.png", "A 47141-2023")</f>
        <v/>
      </c>
      <c r="U79">
        <f>HYPERLINK("https://klasma.github.io/Logging_1784/knärot/A 47141-2023 karta knärot.png", "A 47141-2023")</f>
        <v/>
      </c>
      <c r="V79">
        <f>HYPERLINK("https://klasma.github.io/Logging_1784/klagomål/A 47141-2023 FSC-klagomål.docx", "A 47141-2023")</f>
        <v/>
      </c>
      <c r="W79">
        <f>HYPERLINK("https://klasma.github.io/Logging_1784/klagomålsmail/A 47141-2023 FSC-klagomål mail.docx", "A 47141-2023")</f>
        <v/>
      </c>
      <c r="X79">
        <f>HYPERLINK("https://klasma.github.io/Logging_1784/tillsyn/A 47141-2023 tillsynsbegäran.docx", "A 47141-2023")</f>
        <v/>
      </c>
      <c r="Y79">
        <f>HYPERLINK("https://klasma.github.io/Logging_1784/tillsynsmail/A 47141-2023 tillsynsbegäran mail.docx", "A 47141-2023")</f>
        <v/>
      </c>
    </row>
    <row r="80" ht="15" customHeight="1">
      <c r="A80" t="inlineStr">
        <is>
          <t>A 48464-2023</t>
        </is>
      </c>
      <c r="B80" s="1" t="n">
        <v>45206</v>
      </c>
      <c r="C80" s="1" t="n">
        <v>45729</v>
      </c>
      <c r="D80" t="inlineStr">
        <is>
          <t>VÄRMLANDS LÄN</t>
        </is>
      </c>
      <c r="E80" t="inlineStr">
        <is>
          <t>ARVIKA</t>
        </is>
      </c>
      <c r="G80" t="n">
        <v>7.9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48464-2023 artfynd.xlsx", "A 48464-2023")</f>
        <v/>
      </c>
      <c r="T80">
        <f>HYPERLINK("https://klasma.github.io/Logging_1784/kartor/A 48464-2023 karta.png", "A 48464-2023")</f>
        <v/>
      </c>
      <c r="U80">
        <f>HYPERLINK("https://klasma.github.io/Logging_1784/knärot/A 48464-2023 karta knärot.png", "A 48464-2023")</f>
        <v/>
      </c>
      <c r="V80">
        <f>HYPERLINK("https://klasma.github.io/Logging_1784/klagomål/A 48464-2023 FSC-klagomål.docx", "A 48464-2023")</f>
        <v/>
      </c>
      <c r="W80">
        <f>HYPERLINK("https://klasma.github.io/Logging_1784/klagomålsmail/A 48464-2023 FSC-klagomål mail.docx", "A 48464-2023")</f>
        <v/>
      </c>
      <c r="X80">
        <f>HYPERLINK("https://klasma.github.io/Logging_1784/tillsyn/A 48464-2023 tillsynsbegäran.docx", "A 48464-2023")</f>
        <v/>
      </c>
      <c r="Y80">
        <f>HYPERLINK("https://klasma.github.io/Logging_1784/tillsynsmail/A 48464-2023 tillsynsbegäran mail.docx", "A 48464-2023")</f>
        <v/>
      </c>
    </row>
    <row r="81" ht="15" customHeight="1">
      <c r="A81" t="inlineStr">
        <is>
          <t>A 53630-2023</t>
        </is>
      </c>
      <c r="B81" s="1" t="n">
        <v>45230</v>
      </c>
      <c r="C81" s="1" t="n">
        <v>45729</v>
      </c>
      <c r="D81" t="inlineStr">
        <is>
          <t>VÄRMLANDS LÄN</t>
        </is>
      </c>
      <c r="E81" t="inlineStr">
        <is>
          <t>ARVIKA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HYPERLINK("https://klasma.github.io/Logging_1784/artfynd/A 53630-2023 artfynd.xlsx", "A 53630-2023")</f>
        <v/>
      </c>
      <c r="T81">
        <f>HYPERLINK("https://klasma.github.io/Logging_1784/kartor/A 53630-2023 karta.png", "A 53630-2023")</f>
        <v/>
      </c>
      <c r="V81">
        <f>HYPERLINK("https://klasma.github.io/Logging_1784/klagomål/A 53630-2023 FSC-klagomål.docx", "A 53630-2023")</f>
        <v/>
      </c>
      <c r="W81">
        <f>HYPERLINK("https://klasma.github.io/Logging_1784/klagomålsmail/A 53630-2023 FSC-klagomål mail.docx", "A 53630-2023")</f>
        <v/>
      </c>
      <c r="X81">
        <f>HYPERLINK("https://klasma.github.io/Logging_1784/tillsyn/A 53630-2023 tillsynsbegäran.docx", "A 53630-2023")</f>
        <v/>
      </c>
      <c r="Y81">
        <f>HYPERLINK("https://klasma.github.io/Logging_1784/tillsynsmail/A 53630-2023 tillsynsbegäran mail.docx", "A 53630-2023")</f>
        <v/>
      </c>
    </row>
    <row r="82" ht="15" customHeight="1">
      <c r="A82" t="inlineStr">
        <is>
          <t>A 61004-2023</t>
        </is>
      </c>
      <c r="B82" s="1" t="n">
        <v>45261</v>
      </c>
      <c r="C82" s="1" t="n">
        <v>45729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61004-2023 artfynd.xlsx", "A 61004-2023")</f>
        <v/>
      </c>
      <c r="T82">
        <f>HYPERLINK("https://klasma.github.io/Logging_1784/kartor/A 61004-2023 karta.png", "A 61004-2023")</f>
        <v/>
      </c>
      <c r="U82">
        <f>HYPERLINK("https://klasma.github.io/Logging_1784/knärot/A 61004-2023 karta knärot.png", "A 61004-2023")</f>
        <v/>
      </c>
      <c r="V82">
        <f>HYPERLINK("https://klasma.github.io/Logging_1784/klagomål/A 61004-2023 FSC-klagomål.docx", "A 61004-2023")</f>
        <v/>
      </c>
      <c r="W82">
        <f>HYPERLINK("https://klasma.github.io/Logging_1784/klagomålsmail/A 61004-2023 FSC-klagomål mail.docx", "A 61004-2023")</f>
        <v/>
      </c>
      <c r="X82">
        <f>HYPERLINK("https://klasma.github.io/Logging_1784/tillsyn/A 61004-2023 tillsynsbegäran.docx", "A 61004-2023")</f>
        <v/>
      </c>
      <c r="Y82">
        <f>HYPERLINK("https://klasma.github.io/Logging_1784/tillsynsmail/A 61004-2023 tillsynsbegäran mail.docx", "A 61004-2023")</f>
        <v/>
      </c>
    </row>
    <row r="83" ht="15" customHeight="1">
      <c r="A83" t="inlineStr">
        <is>
          <t>A 9629-2024</t>
        </is>
      </c>
      <c r="B83" s="1" t="n">
        <v>45362</v>
      </c>
      <c r="C83" s="1" t="n">
        <v>45729</v>
      </c>
      <c r="D83" t="inlineStr">
        <is>
          <t>VÄRMLANDS LÄN</t>
        </is>
      </c>
      <c r="E83" t="inlineStr">
        <is>
          <t>ARVIKA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HYPERLINK("https://klasma.github.io/Logging_1784/artfynd/A 9629-2024 artfynd.xlsx", "A 9629-2024")</f>
        <v/>
      </c>
      <c r="T83">
        <f>HYPERLINK("https://klasma.github.io/Logging_1784/kartor/A 9629-2024 karta.png", "A 9629-2024")</f>
        <v/>
      </c>
      <c r="V83">
        <f>HYPERLINK("https://klasma.github.io/Logging_1784/klagomål/A 9629-2024 FSC-klagomål.docx", "A 9629-2024")</f>
        <v/>
      </c>
      <c r="W83">
        <f>HYPERLINK("https://klasma.github.io/Logging_1784/klagomålsmail/A 9629-2024 FSC-klagomål mail.docx", "A 9629-2024")</f>
        <v/>
      </c>
      <c r="X83">
        <f>HYPERLINK("https://klasma.github.io/Logging_1784/tillsyn/A 9629-2024 tillsynsbegäran.docx", "A 9629-2024")</f>
        <v/>
      </c>
      <c r="Y83">
        <f>HYPERLINK("https://klasma.github.io/Logging_1784/tillsynsmail/A 9629-2024 tillsynsbegäran mail.docx", "A 9629-2024")</f>
        <v/>
      </c>
      <c r="Z83">
        <f>HYPERLINK("https://klasma.github.io/Logging_1784/fåglar/A 9629-2024 prioriterade fågelarter.docx", "A 9629-2024")</f>
        <v/>
      </c>
    </row>
    <row r="84" ht="15" customHeight="1">
      <c r="A84" t="inlineStr">
        <is>
          <t>A 14030-2024</t>
        </is>
      </c>
      <c r="B84" s="1" t="n">
        <v>45392</v>
      </c>
      <c r="C84" s="1" t="n">
        <v>45729</v>
      </c>
      <c r="D84" t="inlineStr">
        <is>
          <t>VÄRMLANDS LÄN</t>
        </is>
      </c>
      <c r="E84" t="inlineStr">
        <is>
          <t>ARVIKA</t>
        </is>
      </c>
      <c r="F84" t="inlineStr">
        <is>
          <t>Kyrkan</t>
        </is>
      </c>
      <c r="G84" t="n">
        <v>32.2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14030-2024 artfynd.xlsx", "A 14030-2024")</f>
        <v/>
      </c>
      <c r="T84">
        <f>HYPERLINK("https://klasma.github.io/Logging_1784/kartor/A 14030-2024 karta.png", "A 14030-2024")</f>
        <v/>
      </c>
      <c r="U84">
        <f>HYPERLINK("https://klasma.github.io/Logging_1784/knärot/A 14030-2024 karta knärot.png", "A 14030-2024")</f>
        <v/>
      </c>
      <c r="V84">
        <f>HYPERLINK("https://klasma.github.io/Logging_1784/klagomål/A 14030-2024 FSC-klagomål.docx", "A 14030-2024")</f>
        <v/>
      </c>
      <c r="W84">
        <f>HYPERLINK("https://klasma.github.io/Logging_1784/klagomålsmail/A 14030-2024 FSC-klagomål mail.docx", "A 14030-2024")</f>
        <v/>
      </c>
      <c r="X84">
        <f>HYPERLINK("https://klasma.github.io/Logging_1784/tillsyn/A 14030-2024 tillsynsbegäran.docx", "A 14030-2024")</f>
        <v/>
      </c>
      <c r="Y84">
        <f>HYPERLINK("https://klasma.github.io/Logging_1784/tillsynsmail/A 14030-2024 tillsynsbegäran mail.docx", "A 14030-2024")</f>
        <v/>
      </c>
    </row>
    <row r="85" ht="15" customHeight="1">
      <c r="A85" t="inlineStr">
        <is>
          <t>A 17928-2024</t>
        </is>
      </c>
      <c r="B85" s="1" t="n">
        <v>45419</v>
      </c>
      <c r="C85" s="1" t="n">
        <v>45729</v>
      </c>
      <c r="D85" t="inlineStr">
        <is>
          <t>VÄRMLANDS LÄN</t>
        </is>
      </c>
      <c r="E85" t="inlineStr">
        <is>
          <t>ARVIKA</t>
        </is>
      </c>
      <c r="G85" t="n">
        <v>6.7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Bårdlav</t>
        </is>
      </c>
      <c r="S85">
        <f>HYPERLINK("https://klasma.github.io/Logging_1784/artfynd/A 17928-2024 artfynd.xlsx", "A 17928-2024")</f>
        <v/>
      </c>
      <c r="T85">
        <f>HYPERLINK("https://klasma.github.io/Logging_1784/kartor/A 17928-2024 karta.png", "A 17928-2024")</f>
        <v/>
      </c>
      <c r="V85">
        <f>HYPERLINK("https://klasma.github.io/Logging_1784/klagomål/A 17928-2024 FSC-klagomål.docx", "A 17928-2024")</f>
        <v/>
      </c>
      <c r="W85">
        <f>HYPERLINK("https://klasma.github.io/Logging_1784/klagomålsmail/A 17928-2024 FSC-klagomål mail.docx", "A 17928-2024")</f>
        <v/>
      </c>
      <c r="X85">
        <f>HYPERLINK("https://klasma.github.io/Logging_1784/tillsyn/A 17928-2024 tillsynsbegäran.docx", "A 17928-2024")</f>
        <v/>
      </c>
      <c r="Y85">
        <f>HYPERLINK("https://klasma.github.io/Logging_1784/tillsynsmail/A 17928-2024 tillsynsbegäran mail.docx", "A 17928-2024")</f>
        <v/>
      </c>
    </row>
    <row r="86" ht="15" customHeight="1">
      <c r="A86" t="inlineStr">
        <is>
          <t>A 19026-2024</t>
        </is>
      </c>
      <c r="B86" s="1" t="n">
        <v>45427</v>
      </c>
      <c r="C86" s="1" t="n">
        <v>45729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Blomkålssvamp</t>
        </is>
      </c>
      <c r="S86">
        <f>HYPERLINK("https://klasma.github.io/Logging_1784/artfynd/A 19026-2024 artfynd.xlsx", "A 19026-2024")</f>
        <v/>
      </c>
      <c r="T86">
        <f>HYPERLINK("https://klasma.github.io/Logging_1784/kartor/A 19026-2024 karta.png", "A 19026-2024")</f>
        <v/>
      </c>
      <c r="V86">
        <f>HYPERLINK("https://klasma.github.io/Logging_1784/klagomål/A 19026-2024 FSC-klagomål.docx", "A 19026-2024")</f>
        <v/>
      </c>
      <c r="W86">
        <f>HYPERLINK("https://klasma.github.io/Logging_1784/klagomålsmail/A 19026-2024 FSC-klagomål mail.docx", "A 19026-2024")</f>
        <v/>
      </c>
      <c r="X86">
        <f>HYPERLINK("https://klasma.github.io/Logging_1784/tillsyn/A 19026-2024 tillsynsbegäran.docx", "A 19026-2024")</f>
        <v/>
      </c>
      <c r="Y86">
        <f>HYPERLINK("https://klasma.github.io/Logging_1784/tillsynsmail/A 19026-2024 tillsynsbegäran mail.docx", "A 19026-2024")</f>
        <v/>
      </c>
    </row>
    <row r="87" ht="15" customHeight="1">
      <c r="A87" t="inlineStr">
        <is>
          <t>A 23083-2024</t>
        </is>
      </c>
      <c r="B87" s="1" t="n">
        <v>45450</v>
      </c>
      <c r="C87" s="1" t="n">
        <v>45729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HYPERLINK("https://klasma.github.io/Logging_1784/artfynd/A 23083-2024 artfynd.xlsx", "A 23083-2024")</f>
        <v/>
      </c>
      <c r="T87">
        <f>HYPERLINK("https://klasma.github.io/Logging_1784/kartor/A 23083-2024 karta.png", "A 23083-2024")</f>
        <v/>
      </c>
      <c r="U87">
        <f>HYPERLINK("https://klasma.github.io/Logging_1784/knärot/A 23083-2024 karta knärot.png", "A 23083-2024")</f>
        <v/>
      </c>
      <c r="V87">
        <f>HYPERLINK("https://klasma.github.io/Logging_1784/klagomål/A 23083-2024 FSC-klagomål.docx", "A 23083-2024")</f>
        <v/>
      </c>
      <c r="W87">
        <f>HYPERLINK("https://klasma.github.io/Logging_1784/klagomålsmail/A 23083-2024 FSC-klagomål mail.docx", "A 23083-2024")</f>
        <v/>
      </c>
      <c r="X87">
        <f>HYPERLINK("https://klasma.github.io/Logging_1784/tillsyn/A 23083-2024 tillsynsbegäran.docx", "A 23083-2024")</f>
        <v/>
      </c>
      <c r="Y87">
        <f>HYPERLINK("https://klasma.github.io/Logging_1784/tillsynsmail/A 23083-2024 tillsynsbegäran mail.docx", "A 23083-2024")</f>
        <v/>
      </c>
    </row>
    <row r="88" ht="15" customHeight="1">
      <c r="A88" t="inlineStr">
        <is>
          <t>A 36475-2024</t>
        </is>
      </c>
      <c r="B88" s="1" t="n">
        <v>45537</v>
      </c>
      <c r="C88" s="1" t="n">
        <v>45729</v>
      </c>
      <c r="D88" t="inlineStr">
        <is>
          <t>VÄRMLANDS LÄN</t>
        </is>
      </c>
      <c r="E88" t="inlineStr">
        <is>
          <t>ARVIKA</t>
        </is>
      </c>
      <c r="F88" t="inlineStr">
        <is>
          <t>Kommuner</t>
        </is>
      </c>
      <c r="G88" t="n">
        <v>2.2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Slåttergubbemal</t>
        </is>
      </c>
      <c r="S88">
        <f>HYPERLINK("https://klasma.github.io/Logging_1784/artfynd/A 36475-2024 artfynd.xlsx", "A 36475-2024")</f>
        <v/>
      </c>
      <c r="T88">
        <f>HYPERLINK("https://klasma.github.io/Logging_1784/kartor/A 36475-2024 karta.png", "A 36475-2024")</f>
        <v/>
      </c>
      <c r="V88">
        <f>HYPERLINK("https://klasma.github.io/Logging_1784/klagomål/A 36475-2024 FSC-klagomål.docx", "A 36475-2024")</f>
        <v/>
      </c>
      <c r="W88">
        <f>HYPERLINK("https://klasma.github.io/Logging_1784/klagomålsmail/A 36475-2024 FSC-klagomål mail.docx", "A 36475-2024")</f>
        <v/>
      </c>
      <c r="X88">
        <f>HYPERLINK("https://klasma.github.io/Logging_1784/tillsyn/A 36475-2024 tillsynsbegäran.docx", "A 36475-2024")</f>
        <v/>
      </c>
      <c r="Y88">
        <f>HYPERLINK("https://klasma.github.io/Logging_1784/tillsynsmail/A 36475-2024 tillsynsbegäran mail.docx", "A 36475-2024")</f>
        <v/>
      </c>
    </row>
    <row r="89" ht="15" customHeight="1">
      <c r="A89" t="inlineStr">
        <is>
          <t>A 47217-2024</t>
        </is>
      </c>
      <c r="B89" s="1" t="n">
        <v>45586</v>
      </c>
      <c r="C89" s="1" t="n">
        <v>45729</v>
      </c>
      <c r="D89" t="inlineStr">
        <is>
          <t>VÄRMLANDS LÄN</t>
        </is>
      </c>
      <c r="E89" t="inlineStr">
        <is>
          <t>ARVIKA</t>
        </is>
      </c>
      <c r="G89" t="n">
        <v>5.6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47217-2024 artfynd.xlsx", "A 47217-2024")</f>
        <v/>
      </c>
      <c r="T89">
        <f>HYPERLINK("https://klasma.github.io/Logging_1784/kartor/A 47217-2024 karta.png", "A 47217-2024")</f>
        <v/>
      </c>
      <c r="U89">
        <f>HYPERLINK("https://klasma.github.io/Logging_1784/knärot/A 47217-2024 karta knärot.png", "A 47217-2024")</f>
        <v/>
      </c>
      <c r="V89">
        <f>HYPERLINK("https://klasma.github.io/Logging_1784/klagomål/A 47217-2024 FSC-klagomål.docx", "A 47217-2024")</f>
        <v/>
      </c>
      <c r="W89">
        <f>HYPERLINK("https://klasma.github.io/Logging_1784/klagomålsmail/A 47217-2024 FSC-klagomål mail.docx", "A 47217-2024")</f>
        <v/>
      </c>
      <c r="X89">
        <f>HYPERLINK("https://klasma.github.io/Logging_1784/tillsyn/A 47217-2024 tillsynsbegäran.docx", "A 47217-2024")</f>
        <v/>
      </c>
      <c r="Y89">
        <f>HYPERLINK("https://klasma.github.io/Logging_1784/tillsynsmail/A 47217-2024 tillsynsbegäran mail.docx", "A 47217-2024")</f>
        <v/>
      </c>
    </row>
    <row r="90" ht="15" customHeight="1">
      <c r="A90" t="inlineStr">
        <is>
          <t>A 48010-2024</t>
        </is>
      </c>
      <c r="B90" s="1" t="n">
        <v>45589</v>
      </c>
      <c r="C90" s="1" t="n">
        <v>45729</v>
      </c>
      <c r="D90" t="inlineStr">
        <is>
          <t>VÄRMLANDS LÄN</t>
        </is>
      </c>
      <c r="E90" t="inlineStr">
        <is>
          <t>ARVIKA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48010-2024 artfynd.xlsx", "A 48010-2024")</f>
        <v/>
      </c>
      <c r="T90">
        <f>HYPERLINK("https://klasma.github.io/Logging_1784/kartor/A 48010-2024 karta.png", "A 48010-2024")</f>
        <v/>
      </c>
      <c r="U90">
        <f>HYPERLINK("https://klasma.github.io/Logging_1784/knärot/A 48010-2024 karta knärot.png", "A 48010-2024")</f>
        <v/>
      </c>
      <c r="V90">
        <f>HYPERLINK("https://klasma.github.io/Logging_1784/klagomål/A 48010-2024 FSC-klagomål.docx", "A 48010-2024")</f>
        <v/>
      </c>
      <c r="W90">
        <f>HYPERLINK("https://klasma.github.io/Logging_1784/klagomålsmail/A 48010-2024 FSC-klagomål mail.docx", "A 48010-2024")</f>
        <v/>
      </c>
      <c r="X90">
        <f>HYPERLINK("https://klasma.github.io/Logging_1784/tillsyn/A 48010-2024 tillsynsbegäran.docx", "A 48010-2024")</f>
        <v/>
      </c>
      <c r="Y90">
        <f>HYPERLINK("https://klasma.github.io/Logging_1784/tillsynsmail/A 48010-2024 tillsynsbegäran mail.docx", "A 48010-2024")</f>
        <v/>
      </c>
    </row>
    <row r="91" ht="15" customHeight="1">
      <c r="A91" t="inlineStr">
        <is>
          <t>A 58108-2024</t>
        </is>
      </c>
      <c r="B91" s="1" t="n">
        <v>45632</v>
      </c>
      <c r="C91" s="1" t="n">
        <v>45729</v>
      </c>
      <c r="D91" t="inlineStr">
        <is>
          <t>VÄRMLANDS LÄN</t>
        </is>
      </c>
      <c r="E91" t="inlineStr">
        <is>
          <t>ARVIKA</t>
        </is>
      </c>
      <c r="G91" t="n">
        <v>10.5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58108-2024 artfynd.xlsx", "A 58108-2024")</f>
        <v/>
      </c>
      <c r="T91">
        <f>HYPERLINK("https://klasma.github.io/Logging_1784/kartor/A 58108-2024 karta.png", "A 58108-2024")</f>
        <v/>
      </c>
      <c r="U91">
        <f>HYPERLINK("https://klasma.github.io/Logging_1784/knärot/A 58108-2024 karta knärot.png", "A 58108-2024")</f>
        <v/>
      </c>
      <c r="V91">
        <f>HYPERLINK("https://klasma.github.io/Logging_1784/klagomål/A 58108-2024 FSC-klagomål.docx", "A 58108-2024")</f>
        <v/>
      </c>
      <c r="W91">
        <f>HYPERLINK("https://klasma.github.io/Logging_1784/klagomålsmail/A 58108-2024 FSC-klagomål mail.docx", "A 58108-2024")</f>
        <v/>
      </c>
      <c r="X91">
        <f>HYPERLINK("https://klasma.github.io/Logging_1784/tillsyn/A 58108-2024 tillsynsbegäran.docx", "A 58108-2024")</f>
        <v/>
      </c>
      <c r="Y91">
        <f>HYPERLINK("https://klasma.github.io/Logging_1784/tillsynsmail/A 58108-2024 tillsynsbegäran mail.docx", "A 58108-2024")</f>
        <v/>
      </c>
    </row>
    <row r="92" ht="15" customHeight="1">
      <c r="A92" t="inlineStr">
        <is>
          <t>A 865-2025</t>
        </is>
      </c>
      <c r="B92" s="1" t="n">
        <v>45665</v>
      </c>
      <c r="C92" s="1" t="n">
        <v>45729</v>
      </c>
      <c r="D92" t="inlineStr">
        <is>
          <t>VÄRMLANDS LÄN</t>
        </is>
      </c>
      <c r="E92" t="inlineStr">
        <is>
          <t>ARVIKA</t>
        </is>
      </c>
      <c r="G92" t="n">
        <v>7.7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HYPERLINK("https://klasma.github.io/Logging_1784/artfynd/A 865-2025 artfynd.xlsx", "A 865-2025")</f>
        <v/>
      </c>
      <c r="T92">
        <f>HYPERLINK("https://klasma.github.io/Logging_1784/kartor/A 865-2025 karta.png", "A 865-2025")</f>
        <v/>
      </c>
      <c r="V92">
        <f>HYPERLINK("https://klasma.github.io/Logging_1784/klagomål/A 865-2025 FSC-klagomål.docx", "A 865-2025")</f>
        <v/>
      </c>
      <c r="W92">
        <f>HYPERLINK("https://klasma.github.io/Logging_1784/klagomålsmail/A 865-2025 FSC-klagomål mail.docx", "A 865-2025")</f>
        <v/>
      </c>
      <c r="X92">
        <f>HYPERLINK("https://klasma.github.io/Logging_1784/tillsyn/A 865-2025 tillsynsbegäran.docx", "A 865-2025")</f>
        <v/>
      </c>
      <c r="Y92">
        <f>HYPERLINK("https://klasma.github.io/Logging_1784/tillsynsmail/A 865-2025 tillsynsbegäran mail.docx", "A 865-2025")</f>
        <v/>
      </c>
    </row>
    <row r="93" ht="15" customHeight="1">
      <c r="A93" t="inlineStr">
        <is>
          <t>A 5779-2025</t>
        </is>
      </c>
      <c r="B93" s="1" t="n">
        <v>45694</v>
      </c>
      <c r="C93" s="1" t="n">
        <v>45729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HYPERLINK("https://klasma.github.io/Logging_1784/artfynd/A 5779-2025 artfynd.xlsx", "A 5779-2025")</f>
        <v/>
      </c>
      <c r="T93">
        <f>HYPERLINK("https://klasma.github.io/Logging_1784/kartor/A 5779-2025 karta.png", "A 5779-2025")</f>
        <v/>
      </c>
      <c r="V93">
        <f>HYPERLINK("https://klasma.github.io/Logging_1784/klagomål/A 5779-2025 FSC-klagomål.docx", "A 5779-2025")</f>
        <v/>
      </c>
      <c r="W93">
        <f>HYPERLINK("https://klasma.github.io/Logging_1784/klagomålsmail/A 5779-2025 FSC-klagomål mail.docx", "A 5779-2025")</f>
        <v/>
      </c>
      <c r="X93">
        <f>HYPERLINK("https://klasma.github.io/Logging_1784/tillsyn/A 5779-2025 tillsynsbegäran.docx", "A 5779-2025")</f>
        <v/>
      </c>
      <c r="Y93">
        <f>HYPERLINK("https://klasma.github.io/Logging_1784/tillsynsmail/A 5779-2025 tillsynsbegäran mail.docx", "A 5779-2025")</f>
        <v/>
      </c>
    </row>
    <row r="94" ht="15" customHeight="1">
      <c r="A94" t="inlineStr">
        <is>
          <t>A 6966-2025</t>
        </is>
      </c>
      <c r="B94" s="1" t="n">
        <v>45701</v>
      </c>
      <c r="C94" s="1" t="n">
        <v>45729</v>
      </c>
      <c r="D94" t="inlineStr">
        <is>
          <t>VÄRMLANDS LÄN</t>
        </is>
      </c>
      <c r="E94" t="inlineStr">
        <is>
          <t>ARVIKA</t>
        </is>
      </c>
      <c r="G94" t="n">
        <v>1.9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6966-2025 artfynd.xlsx", "A 6966-2025")</f>
        <v/>
      </c>
      <c r="T94">
        <f>HYPERLINK("https://klasma.github.io/Logging_1784/kartor/A 6966-2025 karta.png", "A 6966-2025")</f>
        <v/>
      </c>
      <c r="U94">
        <f>HYPERLINK("https://klasma.github.io/Logging_1784/knärot/A 6966-2025 karta knärot.png", "A 6966-2025")</f>
        <v/>
      </c>
      <c r="V94">
        <f>HYPERLINK("https://klasma.github.io/Logging_1784/klagomål/A 6966-2025 FSC-klagomål.docx", "A 6966-2025")</f>
        <v/>
      </c>
      <c r="W94">
        <f>HYPERLINK("https://klasma.github.io/Logging_1784/klagomålsmail/A 6966-2025 FSC-klagomål mail.docx", "A 6966-2025")</f>
        <v/>
      </c>
      <c r="X94">
        <f>HYPERLINK("https://klasma.github.io/Logging_1784/tillsyn/A 6966-2025 tillsynsbegäran.docx", "A 6966-2025")</f>
        <v/>
      </c>
      <c r="Y94">
        <f>HYPERLINK("https://klasma.github.io/Logging_1784/tillsynsmail/A 6966-2025 tillsynsbegäran mail.docx", "A 6966-2025")</f>
        <v/>
      </c>
    </row>
    <row r="95" ht="15" customHeight="1">
      <c r="A95" t="inlineStr">
        <is>
          <t>A 8165-2025</t>
        </is>
      </c>
      <c r="B95" s="1" t="n">
        <v>45708</v>
      </c>
      <c r="C95" s="1" t="n">
        <v>45729</v>
      </c>
      <c r="D95" t="inlineStr">
        <is>
          <t>VÄRMLANDS LÄN</t>
        </is>
      </c>
      <c r="E95" t="inlineStr">
        <is>
          <t>ARVIKA</t>
        </is>
      </c>
      <c r="G95" t="n">
        <v>6.3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8165-2025 artfynd.xlsx", "A 8165-2025")</f>
        <v/>
      </c>
      <c r="T95">
        <f>HYPERLINK("https://klasma.github.io/Logging_1784/kartor/A 8165-2025 karta.png", "A 8165-2025")</f>
        <v/>
      </c>
      <c r="U95">
        <f>HYPERLINK("https://klasma.github.io/Logging_1784/knärot/A 8165-2025 karta knärot.png", "A 8165-2025")</f>
        <v/>
      </c>
      <c r="V95">
        <f>HYPERLINK("https://klasma.github.io/Logging_1784/klagomål/A 8165-2025 FSC-klagomål.docx", "A 8165-2025")</f>
        <v/>
      </c>
      <c r="W95">
        <f>HYPERLINK("https://klasma.github.io/Logging_1784/klagomålsmail/A 8165-2025 FSC-klagomål mail.docx", "A 8165-2025")</f>
        <v/>
      </c>
      <c r="X95">
        <f>HYPERLINK("https://klasma.github.io/Logging_1784/tillsyn/A 8165-2025 tillsynsbegäran.docx", "A 8165-2025")</f>
        <v/>
      </c>
      <c r="Y95">
        <f>HYPERLINK("https://klasma.github.io/Logging_1784/tillsynsmail/A 8165-2025 tillsynsbegäran mail.docx", "A 8165-2025")</f>
        <v/>
      </c>
    </row>
    <row r="96" ht="15" customHeight="1">
      <c r="A96" t="inlineStr">
        <is>
          <t>A 9055-2025</t>
        </is>
      </c>
      <c r="B96" s="1" t="n">
        <v>45713</v>
      </c>
      <c r="C96" s="1" t="n">
        <v>45729</v>
      </c>
      <c r="D96" t="inlineStr">
        <is>
          <t>VÄRMLANDS LÄN</t>
        </is>
      </c>
      <c r="E96" t="inlineStr">
        <is>
          <t>ARVIKA</t>
        </is>
      </c>
      <c r="G96" t="n">
        <v>2.4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HYPERLINK("https://klasma.github.io/Logging_1784/artfynd/A 9055-2025 artfynd.xlsx", "A 9055-2025")</f>
        <v/>
      </c>
      <c r="T96">
        <f>HYPERLINK("https://klasma.github.io/Logging_1784/kartor/A 9055-2025 karta.png", "A 9055-2025")</f>
        <v/>
      </c>
      <c r="V96">
        <f>HYPERLINK("https://klasma.github.io/Logging_1784/klagomål/A 9055-2025 FSC-klagomål.docx", "A 9055-2025")</f>
        <v/>
      </c>
      <c r="W96">
        <f>HYPERLINK("https://klasma.github.io/Logging_1784/klagomålsmail/A 9055-2025 FSC-klagomål mail.docx", "A 9055-2025")</f>
        <v/>
      </c>
      <c r="X96">
        <f>HYPERLINK("https://klasma.github.io/Logging_1784/tillsyn/A 9055-2025 tillsynsbegäran.docx", "A 9055-2025")</f>
        <v/>
      </c>
      <c r="Y96">
        <f>HYPERLINK("https://klasma.github.io/Logging_1784/tillsynsmail/A 9055-2025 tillsynsbegäran mail.docx", "A 9055-2025")</f>
        <v/>
      </c>
      <c r="Z96">
        <f>HYPERLINK("https://klasma.github.io/Logging_1784/fåglar/A 9055-2025 prioriterade fågelarter.docx", "A 9055-2025")</f>
        <v/>
      </c>
    </row>
    <row r="97" ht="15" customHeight="1">
      <c r="A97" t="inlineStr">
        <is>
          <t>A 9060-2025</t>
        </is>
      </c>
      <c r="B97" s="1" t="n">
        <v>45713</v>
      </c>
      <c r="C97" s="1" t="n">
        <v>45729</v>
      </c>
      <c r="D97" t="inlineStr">
        <is>
          <t>VÄRMLANDS LÄN</t>
        </is>
      </c>
      <c r="E97" t="inlineStr">
        <is>
          <t>ARVIKA</t>
        </is>
      </c>
      <c r="G97" t="n">
        <v>5.8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HYPERLINK("https://klasma.github.io/Logging_1784/artfynd/A 9060-2025 artfynd.xlsx", "A 9060-2025")</f>
        <v/>
      </c>
      <c r="T97">
        <f>HYPERLINK("https://klasma.github.io/Logging_1784/kartor/A 9060-2025 karta.png", "A 9060-2025")</f>
        <v/>
      </c>
      <c r="V97">
        <f>HYPERLINK("https://klasma.github.io/Logging_1784/klagomål/A 9060-2025 FSC-klagomål.docx", "A 9060-2025")</f>
        <v/>
      </c>
      <c r="W97">
        <f>HYPERLINK("https://klasma.github.io/Logging_1784/klagomålsmail/A 9060-2025 FSC-klagomål mail.docx", "A 9060-2025")</f>
        <v/>
      </c>
      <c r="X97">
        <f>HYPERLINK("https://klasma.github.io/Logging_1784/tillsyn/A 9060-2025 tillsynsbegäran.docx", "A 9060-2025")</f>
        <v/>
      </c>
      <c r="Y97">
        <f>HYPERLINK("https://klasma.github.io/Logging_1784/tillsynsmail/A 9060-2025 tillsynsbegäran mail.docx", "A 9060-2025")</f>
        <v/>
      </c>
      <c r="Z97">
        <f>HYPERLINK("https://klasma.github.io/Logging_1784/fåglar/A 9060-2025 prioriterade fågelarter.docx", "A 9060-2025")</f>
        <v/>
      </c>
    </row>
    <row r="98" ht="15" customHeight="1">
      <c r="A98" t="inlineStr">
        <is>
          <t>A 17779-2019</t>
        </is>
      </c>
      <c r="B98" s="1" t="n">
        <v>43556</v>
      </c>
      <c r="C98" s="1" t="n">
        <v>45729</v>
      </c>
      <c r="D98" t="inlineStr">
        <is>
          <t>VÄRMLANDS LÄN</t>
        </is>
      </c>
      <c r="E98" t="inlineStr">
        <is>
          <t>ARVIKA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18001-2019</t>
        </is>
      </c>
      <c r="B99" s="1" t="n">
        <v>43556</v>
      </c>
      <c r="C99" s="1" t="n">
        <v>45729</v>
      </c>
      <c r="D99" t="inlineStr">
        <is>
          <t>VÄRMLANDS LÄN</t>
        </is>
      </c>
      <c r="E99" t="inlineStr">
        <is>
          <t>ARVIKA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18243-2019</t>
        </is>
      </c>
      <c r="B100" s="1" t="n">
        <v>43557</v>
      </c>
      <c r="C100" s="1" t="n">
        <v>45729</v>
      </c>
      <c r="D100" t="inlineStr">
        <is>
          <t>VÄRMLANDS LÄN</t>
        </is>
      </c>
      <c r="E100" t="inlineStr">
        <is>
          <t>ARVIKA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18249-2019</t>
        </is>
      </c>
      <c r="B101" s="1" t="n">
        <v>43557</v>
      </c>
      <c r="C101" s="1" t="n">
        <v>45729</v>
      </c>
      <c r="D101" t="inlineStr">
        <is>
          <t>VÄRMLANDS LÄN</t>
        </is>
      </c>
      <c r="E101" t="inlineStr">
        <is>
          <t>ARVIKA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18117-2019</t>
        </is>
      </c>
      <c r="B102" s="1" t="n">
        <v>43558</v>
      </c>
      <c r="C102" s="1" t="n">
        <v>45729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18153-2019</t>
        </is>
      </c>
      <c r="B103" s="1" t="n">
        <v>43558</v>
      </c>
      <c r="C103" s="1" t="n">
        <v>45729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18574-2019</t>
        </is>
      </c>
      <c r="B104" s="1" t="n">
        <v>43560</v>
      </c>
      <c r="C104" s="1" t="n">
        <v>45729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19011-2019</t>
        </is>
      </c>
      <c r="B105" s="1" t="n">
        <v>43563</v>
      </c>
      <c r="C105" s="1" t="n">
        <v>45729</v>
      </c>
      <c r="D105" t="inlineStr">
        <is>
          <t>VÄRMLANDS LÄN</t>
        </is>
      </c>
      <c r="E105" t="inlineStr">
        <is>
          <t>ARVIKA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19096-2019</t>
        </is>
      </c>
      <c r="B106" s="1" t="n">
        <v>43564</v>
      </c>
      <c r="C106" s="1" t="n">
        <v>45729</v>
      </c>
      <c r="D106" t="inlineStr">
        <is>
          <t>VÄRMLANDS LÄN</t>
        </is>
      </c>
      <c r="E106" t="inlineStr">
        <is>
          <t>ARVIKA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19164-2019</t>
        </is>
      </c>
      <c r="B107" s="1" t="n">
        <v>43564</v>
      </c>
      <c r="C107" s="1" t="n">
        <v>45729</v>
      </c>
      <c r="D107" t="inlineStr">
        <is>
          <t>VÄRMLANDS LÄN</t>
        </is>
      </c>
      <c r="E107" t="inlineStr">
        <is>
          <t>ARVIKA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20364-2019</t>
        </is>
      </c>
      <c r="B108" s="1" t="n">
        <v>43571</v>
      </c>
      <c r="C108" s="1" t="n">
        <v>45729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20329-2019</t>
        </is>
      </c>
      <c r="B109" s="1" t="n">
        <v>43571</v>
      </c>
      <c r="C109" s="1" t="n">
        <v>45729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20927-2019</t>
        </is>
      </c>
      <c r="B110" s="1" t="n">
        <v>43578</v>
      </c>
      <c r="C110" s="1" t="n">
        <v>45729</v>
      </c>
      <c r="D110" t="inlineStr">
        <is>
          <t>VÄRMLANDS LÄN</t>
        </is>
      </c>
      <c r="E110" t="inlineStr">
        <is>
          <t>ARVIKA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21299-2019</t>
        </is>
      </c>
      <c r="B111" s="1" t="n">
        <v>43579</v>
      </c>
      <c r="C111" s="1" t="n">
        <v>45729</v>
      </c>
      <c r="D111" t="inlineStr">
        <is>
          <t>VÄRMLANDS LÄN</t>
        </is>
      </c>
      <c r="E111" t="inlineStr">
        <is>
          <t>ARVIKA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21447-2019</t>
        </is>
      </c>
      <c r="B112" s="1" t="n">
        <v>43580</v>
      </c>
      <c r="C112" s="1" t="n">
        <v>45729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21802-2019</t>
        </is>
      </c>
      <c r="B113" s="1" t="n">
        <v>43582</v>
      </c>
      <c r="C113" s="1" t="n">
        <v>45729</v>
      </c>
      <c r="D113" t="inlineStr">
        <is>
          <t>VÄRMLANDS LÄN</t>
        </is>
      </c>
      <c r="E113" t="inlineStr">
        <is>
          <t>ARVIKA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21804-2019</t>
        </is>
      </c>
      <c r="B114" s="1" t="n">
        <v>43582</v>
      </c>
      <c r="C114" s="1" t="n">
        <v>45729</v>
      </c>
      <c r="D114" t="inlineStr">
        <is>
          <t>VÄRMLANDS LÄN</t>
        </is>
      </c>
      <c r="E114" t="inlineStr">
        <is>
          <t>ARVIKA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23122-2019</t>
        </is>
      </c>
      <c r="B115" s="1" t="n">
        <v>43592</v>
      </c>
      <c r="C115" s="1" t="n">
        <v>45729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23646-2019</t>
        </is>
      </c>
      <c r="B116" s="1" t="n">
        <v>43594</v>
      </c>
      <c r="C116" s="1" t="n">
        <v>45729</v>
      </c>
      <c r="D116" t="inlineStr">
        <is>
          <t>VÄRMLANDS LÄN</t>
        </is>
      </c>
      <c r="E116" t="inlineStr">
        <is>
          <t>ARVIKA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24236-2019</t>
        </is>
      </c>
      <c r="B117" s="1" t="n">
        <v>43596</v>
      </c>
      <c r="C117" s="1" t="n">
        <v>45729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24240-2019</t>
        </is>
      </c>
      <c r="B118" s="1" t="n">
        <v>43596</v>
      </c>
      <c r="C118" s="1" t="n">
        <v>45729</v>
      </c>
      <c r="D118" t="inlineStr">
        <is>
          <t>VÄRMLANDS LÄN</t>
        </is>
      </c>
      <c r="E118" t="inlineStr">
        <is>
          <t>ARVIKA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24235-2019</t>
        </is>
      </c>
      <c r="B119" s="1" t="n">
        <v>43596</v>
      </c>
      <c r="C119" s="1" t="n">
        <v>45729</v>
      </c>
      <c r="D119" t="inlineStr">
        <is>
          <t>VÄRMLANDS LÄN</t>
        </is>
      </c>
      <c r="E119" t="inlineStr">
        <is>
          <t>ARVIKA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24249-2019</t>
        </is>
      </c>
      <c r="B120" s="1" t="n">
        <v>43596</v>
      </c>
      <c r="C120" s="1" t="n">
        <v>45729</v>
      </c>
      <c r="D120" t="inlineStr">
        <is>
          <t>VÄRMLANDS LÄN</t>
        </is>
      </c>
      <c r="E120" t="inlineStr">
        <is>
          <t>ARVIKA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24414-2019</t>
        </is>
      </c>
      <c r="B121" s="1" t="n">
        <v>43600</v>
      </c>
      <c r="C121" s="1" t="n">
        <v>45729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24468-2019</t>
        </is>
      </c>
      <c r="B122" s="1" t="n">
        <v>43600</v>
      </c>
      <c r="C122" s="1" t="n">
        <v>45729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24687-2019</t>
        </is>
      </c>
      <c r="B123" s="1" t="n">
        <v>43601</v>
      </c>
      <c r="C123" s="1" t="n">
        <v>45729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24763-2019</t>
        </is>
      </c>
      <c r="B124" s="1" t="n">
        <v>43601</v>
      </c>
      <c r="C124" s="1" t="n">
        <v>45729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26527-2019</t>
        </is>
      </c>
      <c r="B125" s="1" t="n">
        <v>43612</v>
      </c>
      <c r="C125" s="1" t="n">
        <v>45729</v>
      </c>
      <c r="D125" t="inlineStr">
        <is>
          <t>VÄRMLANDS LÄN</t>
        </is>
      </c>
      <c r="E125" t="inlineStr">
        <is>
          <t>ARVIKA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26372-2019</t>
        </is>
      </c>
      <c r="B126" s="1" t="n">
        <v>43612</v>
      </c>
      <c r="C126" s="1" t="n">
        <v>45729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26653-2019</t>
        </is>
      </c>
      <c r="B127" s="1" t="n">
        <v>43613</v>
      </c>
      <c r="C127" s="1" t="n">
        <v>45729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26719-2019</t>
        </is>
      </c>
      <c r="B128" s="1" t="n">
        <v>43613</v>
      </c>
      <c r="C128" s="1" t="n">
        <v>45729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27076-2019</t>
        </is>
      </c>
      <c r="B129" s="1" t="n">
        <v>43614</v>
      </c>
      <c r="C129" s="1" t="n">
        <v>45729</v>
      </c>
      <c r="D129" t="inlineStr">
        <is>
          <t>VÄRMLANDS LÄN</t>
        </is>
      </c>
      <c r="E129" t="inlineStr">
        <is>
          <t>ARVIKA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29593-2019</t>
        </is>
      </c>
      <c r="B130" s="1" t="n">
        <v>43628</v>
      </c>
      <c r="C130" s="1" t="n">
        <v>45729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29588-2019</t>
        </is>
      </c>
      <c r="B131" s="1" t="n">
        <v>43628</v>
      </c>
      <c r="C131" s="1" t="n">
        <v>45729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29803-2019</t>
        </is>
      </c>
      <c r="B132" s="1" t="n">
        <v>43629</v>
      </c>
      <c r="C132" s="1" t="n">
        <v>45729</v>
      </c>
      <c r="D132" t="inlineStr">
        <is>
          <t>VÄRMLANDS LÄN</t>
        </is>
      </c>
      <c r="E132" t="inlineStr">
        <is>
          <t>ARVIKA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30328-2019</t>
        </is>
      </c>
      <c r="B133" s="1" t="n">
        <v>43633</v>
      </c>
      <c r="C133" s="1" t="n">
        <v>45729</v>
      </c>
      <c r="D133" t="inlineStr">
        <is>
          <t>VÄRMLANDS LÄN</t>
        </is>
      </c>
      <c r="E133" t="inlineStr">
        <is>
          <t>ARVIKA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30316-2019</t>
        </is>
      </c>
      <c r="B134" s="1" t="n">
        <v>43633</v>
      </c>
      <c r="C134" s="1" t="n">
        <v>45729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30325-2019</t>
        </is>
      </c>
      <c r="B135" s="1" t="n">
        <v>43633</v>
      </c>
      <c r="C135" s="1" t="n">
        <v>45729</v>
      </c>
      <c r="D135" t="inlineStr">
        <is>
          <t>VÄRMLANDS LÄN</t>
        </is>
      </c>
      <c r="E135" t="inlineStr">
        <is>
          <t>ARVIKA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30310-2019</t>
        </is>
      </c>
      <c r="B136" s="1" t="n">
        <v>43634</v>
      </c>
      <c r="C136" s="1" t="n">
        <v>45729</v>
      </c>
      <c r="D136" t="inlineStr">
        <is>
          <t>VÄRMLANDS LÄN</t>
        </is>
      </c>
      <c r="E136" t="inlineStr">
        <is>
          <t>ARVIKA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30353-2019</t>
        </is>
      </c>
      <c r="B137" s="1" t="n">
        <v>43634</v>
      </c>
      <c r="C137" s="1" t="n">
        <v>45729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30643-2019</t>
        </is>
      </c>
      <c r="B138" s="1" t="n">
        <v>43635</v>
      </c>
      <c r="C138" s="1" t="n">
        <v>45729</v>
      </c>
      <c r="D138" t="inlineStr">
        <is>
          <t>VÄRMLANDS LÄN</t>
        </is>
      </c>
      <c r="E138" t="inlineStr">
        <is>
          <t>ARVIKA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30636-2019</t>
        </is>
      </c>
      <c r="B139" s="1" t="n">
        <v>43635</v>
      </c>
      <c r="C139" s="1" t="n">
        <v>45729</v>
      </c>
      <c r="D139" t="inlineStr">
        <is>
          <t>VÄRMLANDS LÄN</t>
        </is>
      </c>
      <c r="E139" t="inlineStr">
        <is>
          <t>ARVIKA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622-2020</t>
        </is>
      </c>
      <c r="B140" s="1" t="n">
        <v>43635</v>
      </c>
      <c r="C140" s="1" t="n">
        <v>45729</v>
      </c>
      <c r="D140" t="inlineStr">
        <is>
          <t>VÄRMLANDS LÄN</t>
        </is>
      </c>
      <c r="E140" t="inlineStr">
        <is>
          <t>ARVIKA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30885-2019</t>
        </is>
      </c>
      <c r="B141" s="1" t="n">
        <v>43636</v>
      </c>
      <c r="C141" s="1" t="n">
        <v>45729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31218-2019</t>
        </is>
      </c>
      <c r="B142" s="1" t="n">
        <v>43640</v>
      </c>
      <c r="C142" s="1" t="n">
        <v>45729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31327-2019</t>
        </is>
      </c>
      <c r="B143" s="1" t="n">
        <v>43641</v>
      </c>
      <c r="C143" s="1" t="n">
        <v>45729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32185-2019</t>
        </is>
      </c>
      <c r="B144" s="1" t="n">
        <v>43643</v>
      </c>
      <c r="C144" s="1" t="n">
        <v>45729</v>
      </c>
      <c r="D144" t="inlineStr">
        <is>
          <t>VÄRMLANDS LÄN</t>
        </is>
      </c>
      <c r="E144" t="inlineStr">
        <is>
          <t>ARVIKA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32413-2019</t>
        </is>
      </c>
      <c r="B145" s="1" t="n">
        <v>43644</v>
      </c>
      <c r="C145" s="1" t="n">
        <v>45729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34023-2019</t>
        </is>
      </c>
      <c r="B146" s="1" t="n">
        <v>43654</v>
      </c>
      <c r="C146" s="1" t="n">
        <v>45729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36041-2019</t>
        </is>
      </c>
      <c r="B147" s="1" t="n">
        <v>43657</v>
      </c>
      <c r="C147" s="1" t="n">
        <v>45729</v>
      </c>
      <c r="D147" t="inlineStr">
        <is>
          <t>VÄRMLANDS LÄN</t>
        </is>
      </c>
      <c r="E147" t="inlineStr">
        <is>
          <t>ARVIKA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34582-2019</t>
        </is>
      </c>
      <c r="B148" s="1" t="n">
        <v>43657</v>
      </c>
      <c r="C148" s="1" t="n">
        <v>45729</v>
      </c>
      <c r="D148" t="inlineStr">
        <is>
          <t>VÄRMLANDS LÄN</t>
        </is>
      </c>
      <c r="E148" t="inlineStr">
        <is>
          <t>ARVIKA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36309-2019</t>
        </is>
      </c>
      <c r="B149" s="1" t="n">
        <v>43661</v>
      </c>
      <c r="C149" s="1" t="n">
        <v>45729</v>
      </c>
      <c r="D149" t="inlineStr">
        <is>
          <t>VÄRMLANDS LÄN</t>
        </is>
      </c>
      <c r="E149" t="inlineStr">
        <is>
          <t>ARVIKA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35181-2019</t>
        </is>
      </c>
      <c r="B150" s="1" t="n">
        <v>43662</v>
      </c>
      <c r="C150" s="1" t="n">
        <v>45729</v>
      </c>
      <c r="D150" t="inlineStr">
        <is>
          <t>VÄRMLANDS LÄN</t>
        </is>
      </c>
      <c r="E150" t="inlineStr">
        <is>
          <t>ARVIKA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36106-2019</t>
        </is>
      </c>
      <c r="B151" s="1" t="n">
        <v>43668</v>
      </c>
      <c r="C151" s="1" t="n">
        <v>45729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36648-2019</t>
        </is>
      </c>
      <c r="B152" s="1" t="n">
        <v>43671</v>
      </c>
      <c r="C152" s="1" t="n">
        <v>45729</v>
      </c>
      <c r="D152" t="inlineStr">
        <is>
          <t>VÄRMLANDS LÄN</t>
        </is>
      </c>
      <c r="E152" t="inlineStr">
        <is>
          <t>ARVIKA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37000-2019</t>
        </is>
      </c>
      <c r="B153" s="1" t="n">
        <v>43676</v>
      </c>
      <c r="C153" s="1" t="n">
        <v>45729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36999-2019</t>
        </is>
      </c>
      <c r="B154" s="1" t="n">
        <v>43676</v>
      </c>
      <c r="C154" s="1" t="n">
        <v>45729</v>
      </c>
      <c r="D154" t="inlineStr">
        <is>
          <t>VÄRMLANDS LÄN</t>
        </is>
      </c>
      <c r="E154" t="inlineStr">
        <is>
          <t>ARVIKA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37165-2019</t>
        </is>
      </c>
      <c r="B155" s="1" t="n">
        <v>43677</v>
      </c>
      <c r="C155" s="1" t="n">
        <v>45729</v>
      </c>
      <c r="D155" t="inlineStr">
        <is>
          <t>VÄRMLANDS LÄN</t>
        </is>
      </c>
      <c r="E155" t="inlineStr">
        <is>
          <t>ARVIKA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37199-2019</t>
        </is>
      </c>
      <c r="B156" s="1" t="n">
        <v>43677</v>
      </c>
      <c r="C156" s="1" t="n">
        <v>45729</v>
      </c>
      <c r="D156" t="inlineStr">
        <is>
          <t>VÄRMLANDS LÄN</t>
        </is>
      </c>
      <c r="E156" t="inlineStr">
        <is>
          <t>ARVIKA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37147-2019</t>
        </is>
      </c>
      <c r="B157" s="1" t="n">
        <v>43677</v>
      </c>
      <c r="C157" s="1" t="n">
        <v>45729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38002-2019</t>
        </is>
      </c>
      <c r="B158" s="1" t="n">
        <v>43683</v>
      </c>
      <c r="C158" s="1" t="n">
        <v>45729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38410-2019</t>
        </is>
      </c>
      <c r="B159" s="1" t="n">
        <v>43685</v>
      </c>
      <c r="C159" s="1" t="n">
        <v>45729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39740-2019</t>
        </is>
      </c>
      <c r="B160" s="1" t="n">
        <v>43691</v>
      </c>
      <c r="C160" s="1" t="n">
        <v>45729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40159-2019</t>
        </is>
      </c>
      <c r="B161" s="1" t="n">
        <v>43693</v>
      </c>
      <c r="C161" s="1" t="n">
        <v>45729</v>
      </c>
      <c r="D161" t="inlineStr">
        <is>
          <t>VÄRMLANDS LÄN</t>
        </is>
      </c>
      <c r="E161" t="inlineStr">
        <is>
          <t>ARVIKA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40397-2019</t>
        </is>
      </c>
      <c r="B162" s="1" t="n">
        <v>43696</v>
      </c>
      <c r="C162" s="1" t="n">
        <v>45729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41531-2019</t>
        </is>
      </c>
      <c r="B163" s="1" t="n">
        <v>43699</v>
      </c>
      <c r="C163" s="1" t="n">
        <v>45729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42102-2019</t>
        </is>
      </c>
      <c r="B164" s="1" t="n">
        <v>43702</v>
      </c>
      <c r="C164" s="1" t="n">
        <v>45729</v>
      </c>
      <c r="D164" t="inlineStr">
        <is>
          <t>VÄRMLANDS LÄN</t>
        </is>
      </c>
      <c r="E164" t="inlineStr">
        <is>
          <t>ARVIKA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42692-2019</t>
        </is>
      </c>
      <c r="B165" s="1" t="n">
        <v>43704</v>
      </c>
      <c r="C165" s="1" t="n">
        <v>45729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42485-2019</t>
        </is>
      </c>
      <c r="B166" s="1" t="n">
        <v>43704</v>
      </c>
      <c r="C166" s="1" t="n">
        <v>45729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42854-2019</t>
        </is>
      </c>
      <c r="B167" s="1" t="n">
        <v>43705</v>
      </c>
      <c r="C167" s="1" t="n">
        <v>45729</v>
      </c>
      <c r="D167" t="inlineStr">
        <is>
          <t>VÄRMLANDS LÄN</t>
        </is>
      </c>
      <c r="E167" t="inlineStr">
        <is>
          <t>ARVIKA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43146-2019</t>
        </is>
      </c>
      <c r="B168" s="1" t="n">
        <v>43705</v>
      </c>
      <c r="C168" s="1" t="n">
        <v>45729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44468-2019</t>
        </is>
      </c>
      <c r="B169" s="1" t="n">
        <v>43711</v>
      </c>
      <c r="C169" s="1" t="n">
        <v>45729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45796-2019</t>
        </is>
      </c>
      <c r="B170" s="1" t="n">
        <v>43712</v>
      </c>
      <c r="C170" s="1" t="n">
        <v>45729</v>
      </c>
      <c r="D170" t="inlineStr">
        <is>
          <t>VÄRMLANDS LÄN</t>
        </is>
      </c>
      <c r="E170" t="inlineStr">
        <is>
          <t>ARVIKA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44646-2019</t>
        </is>
      </c>
      <c r="B171" s="1" t="n">
        <v>43712</v>
      </c>
      <c r="C171" s="1" t="n">
        <v>45729</v>
      </c>
      <c r="D171" t="inlineStr">
        <is>
          <t>VÄRMLANDS LÄN</t>
        </is>
      </c>
      <c r="E171" t="inlineStr">
        <is>
          <t>ARVIKA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46270-2019</t>
        </is>
      </c>
      <c r="B172" s="1" t="n">
        <v>43718</v>
      </c>
      <c r="C172" s="1" t="n">
        <v>45729</v>
      </c>
      <c r="D172" t="inlineStr">
        <is>
          <t>VÄRMLANDS LÄN</t>
        </is>
      </c>
      <c r="E172" t="inlineStr">
        <is>
          <t>ARVIKA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46129-2019</t>
        </is>
      </c>
      <c r="B173" s="1" t="n">
        <v>43718</v>
      </c>
      <c r="C173" s="1" t="n">
        <v>45729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48077-2019</t>
        </is>
      </c>
      <c r="B174" s="1" t="n">
        <v>43725</v>
      </c>
      <c r="C174" s="1" t="n">
        <v>45729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48026-2019</t>
        </is>
      </c>
      <c r="B175" s="1" t="n">
        <v>43725</v>
      </c>
      <c r="C175" s="1" t="n">
        <v>45729</v>
      </c>
      <c r="D175" t="inlineStr">
        <is>
          <t>VÄRMLANDS LÄN</t>
        </is>
      </c>
      <c r="E175" t="inlineStr">
        <is>
          <t>ARVIKA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48549-2019</t>
        </is>
      </c>
      <c r="B176" s="1" t="n">
        <v>43727</v>
      </c>
      <c r="C176" s="1" t="n">
        <v>45729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48428-2019</t>
        </is>
      </c>
      <c r="B177" s="1" t="n">
        <v>43727</v>
      </c>
      <c r="C177" s="1" t="n">
        <v>45729</v>
      </c>
      <c r="D177" t="inlineStr">
        <is>
          <t>VÄRMLANDS LÄN</t>
        </is>
      </c>
      <c r="E177" t="inlineStr">
        <is>
          <t>ARVIKA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48892-2019</t>
        </is>
      </c>
      <c r="B178" s="1" t="n">
        <v>43728</v>
      </c>
      <c r="C178" s="1" t="n">
        <v>45729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49965-2019</t>
        </is>
      </c>
      <c r="B179" s="1" t="n">
        <v>43733</v>
      </c>
      <c r="C179" s="1" t="n">
        <v>45729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50540-2019</t>
        </is>
      </c>
      <c r="B180" s="1" t="n">
        <v>43735</v>
      </c>
      <c r="C180" s="1" t="n">
        <v>45729</v>
      </c>
      <c r="D180" t="inlineStr">
        <is>
          <t>VÄRMLANDS LÄN</t>
        </is>
      </c>
      <c r="E180" t="inlineStr">
        <is>
          <t>ARVIKA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50309-2019</t>
        </is>
      </c>
      <c r="B181" s="1" t="n">
        <v>43735</v>
      </c>
      <c r="C181" s="1" t="n">
        <v>45729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50953-2019</t>
        </is>
      </c>
      <c r="B182" s="1" t="n">
        <v>43738</v>
      </c>
      <c r="C182" s="1" t="n">
        <v>45729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51301-2019</t>
        </is>
      </c>
      <c r="B183" s="1" t="n">
        <v>43739</v>
      </c>
      <c r="C183" s="1" t="n">
        <v>45729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54709-2019</t>
        </is>
      </c>
      <c r="B184" s="1" t="n">
        <v>43748</v>
      </c>
      <c r="C184" s="1" t="n">
        <v>45729</v>
      </c>
      <c r="D184" t="inlineStr">
        <is>
          <t>VÄRMLANDS LÄN</t>
        </is>
      </c>
      <c r="E184" t="inlineStr">
        <is>
          <t>ARVIKA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53665-2019</t>
        </is>
      </c>
      <c r="B185" s="1" t="n">
        <v>43749</v>
      </c>
      <c r="C185" s="1" t="n">
        <v>45729</v>
      </c>
      <c r="D185" t="inlineStr">
        <is>
          <t>VÄRMLANDS LÄN</t>
        </is>
      </c>
      <c r="E185" t="inlineStr">
        <is>
          <t>ARVIKA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53491-2019</t>
        </is>
      </c>
      <c r="B186" s="1" t="n">
        <v>43749</v>
      </c>
      <c r="C186" s="1" t="n">
        <v>45729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55810-2019</t>
        </is>
      </c>
      <c r="B187" s="1" t="n">
        <v>43759</v>
      </c>
      <c r="C187" s="1" t="n">
        <v>45729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55608-2019</t>
        </is>
      </c>
      <c r="B188" s="1" t="n">
        <v>43760</v>
      </c>
      <c r="C188" s="1" t="n">
        <v>45729</v>
      </c>
      <c r="D188" t="inlineStr">
        <is>
          <t>VÄRMLANDS LÄN</t>
        </is>
      </c>
      <c r="E188" t="inlineStr">
        <is>
          <t>ARVIKA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56391-2019</t>
        </is>
      </c>
      <c r="B189" s="1" t="n">
        <v>43762</v>
      </c>
      <c r="C189" s="1" t="n">
        <v>45729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57350-2019</t>
        </is>
      </c>
      <c r="B190" s="1" t="n">
        <v>43767</v>
      </c>
      <c r="C190" s="1" t="n">
        <v>45729</v>
      </c>
      <c r="D190" t="inlineStr">
        <is>
          <t>VÄRMLANDS LÄN</t>
        </is>
      </c>
      <c r="E190" t="inlineStr">
        <is>
          <t>ARVIKA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58130-2019</t>
        </is>
      </c>
      <c r="B191" s="1" t="n">
        <v>43769</v>
      </c>
      <c r="C191" s="1" t="n">
        <v>45729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58733-2019</t>
        </is>
      </c>
      <c r="B192" s="1" t="n">
        <v>43773</v>
      </c>
      <c r="C192" s="1" t="n">
        <v>45729</v>
      </c>
      <c r="D192" t="inlineStr">
        <is>
          <t>VÄRMLANDS LÄN</t>
        </is>
      </c>
      <c r="E192" t="inlineStr">
        <is>
          <t>ARVIKA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58540-2019</t>
        </is>
      </c>
      <c r="B193" s="1" t="n">
        <v>43773</v>
      </c>
      <c r="C193" s="1" t="n">
        <v>45729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59389-2019</t>
        </is>
      </c>
      <c r="B194" s="1" t="n">
        <v>43775</v>
      </c>
      <c r="C194" s="1" t="n">
        <v>45729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59607-2019</t>
        </is>
      </c>
      <c r="B195" s="1" t="n">
        <v>43776</v>
      </c>
      <c r="C195" s="1" t="n">
        <v>45729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61098-2019</t>
        </is>
      </c>
      <c r="B196" s="1" t="n">
        <v>43782</v>
      </c>
      <c r="C196" s="1" t="n">
        <v>45729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61104-2019</t>
        </is>
      </c>
      <c r="B197" s="1" t="n">
        <v>43782</v>
      </c>
      <c r="C197" s="1" t="n">
        <v>45729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61099-2019</t>
        </is>
      </c>
      <c r="B198" s="1" t="n">
        <v>43782</v>
      </c>
      <c r="C198" s="1" t="n">
        <v>45729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61800-2019</t>
        </is>
      </c>
      <c r="B199" s="1" t="n">
        <v>43786</v>
      </c>
      <c r="C199" s="1" t="n">
        <v>45729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62238-2019</t>
        </is>
      </c>
      <c r="B200" s="1" t="n">
        <v>43788</v>
      </c>
      <c r="C200" s="1" t="n">
        <v>45729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62911-2019</t>
        </is>
      </c>
      <c r="B201" s="1" t="n">
        <v>43790</v>
      </c>
      <c r="C201" s="1" t="n">
        <v>45729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62922-2019</t>
        </is>
      </c>
      <c r="B202" s="1" t="n">
        <v>43790</v>
      </c>
      <c r="C202" s="1" t="n">
        <v>45729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62917-2019</t>
        </is>
      </c>
      <c r="B203" s="1" t="n">
        <v>43790</v>
      </c>
      <c r="C203" s="1" t="n">
        <v>45729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62931-2019</t>
        </is>
      </c>
      <c r="B204" s="1" t="n">
        <v>43790</v>
      </c>
      <c r="C204" s="1" t="n">
        <v>45729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62905-2019</t>
        </is>
      </c>
      <c r="B205" s="1" t="n">
        <v>43790</v>
      </c>
      <c r="C205" s="1" t="n">
        <v>45729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62914-2019</t>
        </is>
      </c>
      <c r="B206" s="1" t="n">
        <v>43790</v>
      </c>
      <c r="C206" s="1" t="n">
        <v>45729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62924-2019</t>
        </is>
      </c>
      <c r="B207" s="1" t="n">
        <v>43790</v>
      </c>
      <c r="C207" s="1" t="n">
        <v>45729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64912-2019</t>
        </is>
      </c>
      <c r="B208" s="1" t="n">
        <v>43795</v>
      </c>
      <c r="C208" s="1" t="n">
        <v>45729</v>
      </c>
      <c r="D208" t="inlineStr">
        <is>
          <t>VÄRMLANDS LÄN</t>
        </is>
      </c>
      <c r="E208" t="inlineStr">
        <is>
          <t>ARVIKA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64886-2019</t>
        </is>
      </c>
      <c r="B209" s="1" t="n">
        <v>43795</v>
      </c>
      <c r="C209" s="1" t="n">
        <v>45729</v>
      </c>
      <c r="D209" t="inlineStr">
        <is>
          <t>VÄRMLANDS LÄN</t>
        </is>
      </c>
      <c r="E209" t="inlineStr">
        <is>
          <t>ARVIKA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64510-2019</t>
        </is>
      </c>
      <c r="B210" s="1" t="n">
        <v>43798</v>
      </c>
      <c r="C210" s="1" t="n">
        <v>45729</v>
      </c>
      <c r="D210" t="inlineStr">
        <is>
          <t>VÄRMLANDS LÄN</t>
        </is>
      </c>
      <c r="E210" t="inlineStr">
        <is>
          <t>ARVIKA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64609-2019</t>
        </is>
      </c>
      <c r="B211" s="1" t="n">
        <v>43798</v>
      </c>
      <c r="C211" s="1" t="n">
        <v>45729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64519-2019</t>
        </is>
      </c>
      <c r="B212" s="1" t="n">
        <v>43798</v>
      </c>
      <c r="C212" s="1" t="n">
        <v>45729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65205-2019</t>
        </is>
      </c>
      <c r="B213" s="1" t="n">
        <v>43802</v>
      </c>
      <c r="C213" s="1" t="n">
        <v>45729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65880-2019</t>
        </is>
      </c>
      <c r="B214" s="1" t="n">
        <v>43805</v>
      </c>
      <c r="C214" s="1" t="n">
        <v>45729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66352-2019</t>
        </is>
      </c>
      <c r="B215" s="1" t="n">
        <v>43808</v>
      </c>
      <c r="C215" s="1" t="n">
        <v>45729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66818-2019</t>
        </is>
      </c>
      <c r="B216" s="1" t="n">
        <v>43810</v>
      </c>
      <c r="C216" s="1" t="n">
        <v>45729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67134-2019</t>
        </is>
      </c>
      <c r="B217" s="1" t="n">
        <v>43811</v>
      </c>
      <c r="C217" s="1" t="n">
        <v>45729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67700-2019</t>
        </is>
      </c>
      <c r="B218" s="1" t="n">
        <v>43815</v>
      </c>
      <c r="C218" s="1" t="n">
        <v>45729</v>
      </c>
      <c r="D218" t="inlineStr">
        <is>
          <t>VÄRMLANDS LÄN</t>
        </is>
      </c>
      <c r="E218" t="inlineStr">
        <is>
          <t>ARVIKA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68056-2019</t>
        </is>
      </c>
      <c r="B219" s="1" t="n">
        <v>43816</v>
      </c>
      <c r="C219" s="1" t="n">
        <v>45729</v>
      </c>
      <c r="D219" t="inlineStr">
        <is>
          <t>VÄRMLANDS LÄN</t>
        </is>
      </c>
      <c r="E219" t="inlineStr">
        <is>
          <t>ARVIKA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67903-2019</t>
        </is>
      </c>
      <c r="B220" s="1" t="n">
        <v>43816</v>
      </c>
      <c r="C220" s="1" t="n">
        <v>45729</v>
      </c>
      <c r="D220" t="inlineStr">
        <is>
          <t>VÄRMLANDS LÄN</t>
        </is>
      </c>
      <c r="E220" t="inlineStr">
        <is>
          <t>ARVIKA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68059-2019</t>
        </is>
      </c>
      <c r="B221" s="1" t="n">
        <v>43816</v>
      </c>
      <c r="C221" s="1" t="n">
        <v>45729</v>
      </c>
      <c r="D221" t="inlineStr">
        <is>
          <t>VÄRMLANDS LÄN</t>
        </is>
      </c>
      <c r="E221" t="inlineStr">
        <is>
          <t>ARVIKA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68372-2019</t>
        </is>
      </c>
      <c r="B222" s="1" t="n">
        <v>43817</v>
      </c>
      <c r="C222" s="1" t="n">
        <v>45729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68567-2019</t>
        </is>
      </c>
      <c r="B223" s="1" t="n">
        <v>43818</v>
      </c>
      <c r="C223" s="1" t="n">
        <v>45729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68560-2019</t>
        </is>
      </c>
      <c r="B224" s="1" t="n">
        <v>43818</v>
      </c>
      <c r="C224" s="1" t="n">
        <v>45729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68577-2019</t>
        </is>
      </c>
      <c r="B225" s="1" t="n">
        <v>43818</v>
      </c>
      <c r="C225" s="1" t="n">
        <v>45729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68573-2019</t>
        </is>
      </c>
      <c r="B226" s="1" t="n">
        <v>43818</v>
      </c>
      <c r="C226" s="1" t="n">
        <v>45729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68895-2019</t>
        </is>
      </c>
      <c r="B227" s="1" t="n">
        <v>43822</v>
      </c>
      <c r="C227" s="1" t="n">
        <v>45729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25.9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69086-2019</t>
        </is>
      </c>
      <c r="B228" s="1" t="n">
        <v>43829</v>
      </c>
      <c r="C228" s="1" t="n">
        <v>45729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91-2020</t>
        </is>
      </c>
      <c r="B229" s="1" t="n">
        <v>43832</v>
      </c>
      <c r="C229" s="1" t="n">
        <v>45729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14-2020</t>
        </is>
      </c>
      <c r="B230" s="1" t="n">
        <v>43832</v>
      </c>
      <c r="C230" s="1" t="n">
        <v>45729</v>
      </c>
      <c r="D230" t="inlineStr">
        <is>
          <t>VÄRMLANDS LÄN</t>
        </is>
      </c>
      <c r="E230" t="inlineStr">
        <is>
          <t>ARVIKA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94-2020</t>
        </is>
      </c>
      <c r="B231" s="1" t="n">
        <v>43832</v>
      </c>
      <c r="C231" s="1" t="n">
        <v>45729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197-2020</t>
        </is>
      </c>
      <c r="B232" s="1" t="n">
        <v>43833</v>
      </c>
      <c r="C232" s="1" t="n">
        <v>45729</v>
      </c>
      <c r="D232" t="inlineStr">
        <is>
          <t>VÄRMLANDS LÄN</t>
        </is>
      </c>
      <c r="E232" t="inlineStr">
        <is>
          <t>ARVIKA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239-2020</t>
        </is>
      </c>
      <c r="B233" s="1" t="n">
        <v>43835</v>
      </c>
      <c r="C233" s="1" t="n">
        <v>45729</v>
      </c>
      <c r="D233" t="inlineStr">
        <is>
          <t>VÄRMLANDS LÄN</t>
        </is>
      </c>
      <c r="E233" t="inlineStr">
        <is>
          <t>ARVIKA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323-2020</t>
        </is>
      </c>
      <c r="B234" s="1" t="n">
        <v>43837</v>
      </c>
      <c r="C234" s="1" t="n">
        <v>45729</v>
      </c>
      <c r="D234" t="inlineStr">
        <is>
          <t>VÄRMLANDS LÄN</t>
        </is>
      </c>
      <c r="E234" t="inlineStr">
        <is>
          <t>ARVIKA</t>
        </is>
      </c>
      <c r="F234" t="inlineStr">
        <is>
          <t>Övriga Aktiebolag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351-2020</t>
        </is>
      </c>
      <c r="B235" s="1" t="n">
        <v>43837</v>
      </c>
      <c r="C235" s="1" t="n">
        <v>45729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1795-2020</t>
        </is>
      </c>
      <c r="B236" s="1" t="n">
        <v>43837</v>
      </c>
      <c r="C236" s="1" t="n">
        <v>45729</v>
      </c>
      <c r="D236" t="inlineStr">
        <is>
          <t>VÄRMLANDS LÄN</t>
        </is>
      </c>
      <c r="E236" t="inlineStr">
        <is>
          <t>ARVIKA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1791-2020</t>
        </is>
      </c>
      <c r="B237" s="1" t="n">
        <v>43837</v>
      </c>
      <c r="C237" s="1" t="n">
        <v>45729</v>
      </c>
      <c r="D237" t="inlineStr">
        <is>
          <t>VÄRMLANDS LÄN</t>
        </is>
      </c>
      <c r="E237" t="inlineStr">
        <is>
          <t>ARVIKA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858-2020</t>
        </is>
      </c>
      <c r="B238" s="1" t="n">
        <v>43839</v>
      </c>
      <c r="C238" s="1" t="n">
        <v>45729</v>
      </c>
      <c r="D238" t="inlineStr">
        <is>
          <t>VÄRMLANDS LÄN</t>
        </is>
      </c>
      <c r="E238" t="inlineStr">
        <is>
          <t>ARVIKA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996-2020</t>
        </is>
      </c>
      <c r="B239" s="1" t="n">
        <v>43839</v>
      </c>
      <c r="C239" s="1" t="n">
        <v>45729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854-2020</t>
        </is>
      </c>
      <c r="B240" s="1" t="n">
        <v>43839</v>
      </c>
      <c r="C240" s="1" t="n">
        <v>45729</v>
      </c>
      <c r="D240" t="inlineStr">
        <is>
          <t>VÄRMLANDS LÄN</t>
        </is>
      </c>
      <c r="E240" t="inlineStr">
        <is>
          <t>ARVIKA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2513-2020</t>
        </is>
      </c>
      <c r="B241" s="1" t="n">
        <v>43843</v>
      </c>
      <c r="C241" s="1" t="n">
        <v>45729</v>
      </c>
      <c r="D241" t="inlineStr">
        <is>
          <t>VÄRMLANDS LÄN</t>
        </is>
      </c>
      <c r="E241" t="inlineStr">
        <is>
          <t>ARVIKA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2706-2020</t>
        </is>
      </c>
      <c r="B242" s="1" t="n">
        <v>43843</v>
      </c>
      <c r="C242" s="1" t="n">
        <v>45729</v>
      </c>
      <c r="D242" t="inlineStr">
        <is>
          <t>VÄRMLANDS LÄN</t>
        </is>
      </c>
      <c r="E242" t="inlineStr">
        <is>
          <t>ARVIKA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2709-2020</t>
        </is>
      </c>
      <c r="B243" s="1" t="n">
        <v>43843</v>
      </c>
      <c r="C243" s="1" t="n">
        <v>45729</v>
      </c>
      <c r="D243" t="inlineStr">
        <is>
          <t>VÄRMLANDS LÄN</t>
        </is>
      </c>
      <c r="E243" t="inlineStr">
        <is>
          <t>ARVIKA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2771-2020</t>
        </is>
      </c>
      <c r="B244" s="1" t="n">
        <v>43843</v>
      </c>
      <c r="C244" s="1" t="n">
        <v>45729</v>
      </c>
      <c r="D244" t="inlineStr">
        <is>
          <t>VÄRMLANDS LÄN</t>
        </is>
      </c>
      <c r="E244" t="inlineStr">
        <is>
          <t>ARVIKA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2075-2020</t>
        </is>
      </c>
      <c r="B245" s="1" t="n">
        <v>43845</v>
      </c>
      <c r="C245" s="1" t="n">
        <v>45729</v>
      </c>
      <c r="D245" t="inlineStr">
        <is>
          <t>VÄRMLANDS LÄN</t>
        </is>
      </c>
      <c r="E245" t="inlineStr">
        <is>
          <t>ARVIKA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3903-2020</t>
        </is>
      </c>
      <c r="B246" s="1" t="n">
        <v>43846</v>
      </c>
      <c r="C246" s="1" t="n">
        <v>45729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2624-2020</t>
        </is>
      </c>
      <c r="B247" s="1" t="n">
        <v>43847</v>
      </c>
      <c r="C247" s="1" t="n">
        <v>45729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3420-2020</t>
        </is>
      </c>
      <c r="B248" s="1" t="n">
        <v>43852</v>
      </c>
      <c r="C248" s="1" t="n">
        <v>45729</v>
      </c>
      <c r="D248" t="inlineStr">
        <is>
          <t>VÄRMLANDS LÄN</t>
        </is>
      </c>
      <c r="E248" t="inlineStr">
        <is>
          <t>ARVIKA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3927-2020</t>
        </is>
      </c>
      <c r="B249" s="1" t="n">
        <v>43854</v>
      </c>
      <c r="C249" s="1" t="n">
        <v>45729</v>
      </c>
      <c r="D249" t="inlineStr">
        <is>
          <t>VÄRMLANDS LÄN</t>
        </is>
      </c>
      <c r="E249" t="inlineStr">
        <is>
          <t>ARVIKA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5359-2020</t>
        </is>
      </c>
      <c r="B250" s="1" t="n">
        <v>43857</v>
      </c>
      <c r="C250" s="1" t="n">
        <v>45729</v>
      </c>
      <c r="D250" t="inlineStr">
        <is>
          <t>VÄRMLANDS LÄN</t>
        </is>
      </c>
      <c r="E250" t="inlineStr">
        <is>
          <t>ARVIKA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5602-2020</t>
        </is>
      </c>
      <c r="B251" s="1" t="n">
        <v>43861</v>
      </c>
      <c r="C251" s="1" t="n">
        <v>45729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6169-2020</t>
        </is>
      </c>
      <c r="B252" s="1" t="n">
        <v>43865</v>
      </c>
      <c r="C252" s="1" t="n">
        <v>45729</v>
      </c>
      <c r="D252" t="inlineStr">
        <is>
          <t>VÄRMLANDS LÄN</t>
        </is>
      </c>
      <c r="E252" t="inlineStr">
        <is>
          <t>ARVIKA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6770-2020</t>
        </is>
      </c>
      <c r="B253" s="1" t="n">
        <v>43867</v>
      </c>
      <c r="C253" s="1" t="n">
        <v>45729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6696-2020</t>
        </is>
      </c>
      <c r="B254" s="1" t="n">
        <v>43867</v>
      </c>
      <c r="C254" s="1" t="n">
        <v>45729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7936-2020</t>
        </is>
      </c>
      <c r="B255" s="1" t="n">
        <v>43873</v>
      </c>
      <c r="C255" s="1" t="n">
        <v>45729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8342-2020</t>
        </is>
      </c>
      <c r="B256" s="1" t="n">
        <v>43874</v>
      </c>
      <c r="C256" s="1" t="n">
        <v>45729</v>
      </c>
      <c r="D256" t="inlineStr">
        <is>
          <t>VÄRMLANDS LÄN</t>
        </is>
      </c>
      <c r="E256" t="inlineStr">
        <is>
          <t>ARVIKA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10424-2020</t>
        </is>
      </c>
      <c r="B257" s="1" t="n">
        <v>43886</v>
      </c>
      <c r="C257" s="1" t="n">
        <v>45729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11170-2020</t>
        </is>
      </c>
      <c r="B258" s="1" t="n">
        <v>43891</v>
      </c>
      <c r="C258" s="1" t="n">
        <v>45729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11313-2020</t>
        </is>
      </c>
      <c r="B259" s="1" t="n">
        <v>43892</v>
      </c>
      <c r="C259" s="1" t="n">
        <v>45729</v>
      </c>
      <c r="D259" t="inlineStr">
        <is>
          <t>VÄRMLANDS LÄN</t>
        </is>
      </c>
      <c r="E259" t="inlineStr">
        <is>
          <t>ARVIKA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11660-2020</t>
        </is>
      </c>
      <c r="B260" s="1" t="n">
        <v>43893</v>
      </c>
      <c r="C260" s="1" t="n">
        <v>45729</v>
      </c>
      <c r="D260" t="inlineStr">
        <is>
          <t>VÄRMLANDS LÄN</t>
        </is>
      </c>
      <c r="E260" t="inlineStr">
        <is>
          <t>ARVIKA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12210-2020</t>
        </is>
      </c>
      <c r="B261" s="1" t="n">
        <v>43895</v>
      </c>
      <c r="C261" s="1" t="n">
        <v>45729</v>
      </c>
      <c r="D261" t="inlineStr">
        <is>
          <t>VÄRMLANDS LÄN</t>
        </is>
      </c>
      <c r="E261" t="inlineStr">
        <is>
          <t>ARVIKA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12399-2020</t>
        </is>
      </c>
      <c r="B262" s="1" t="n">
        <v>43896</v>
      </c>
      <c r="C262" s="1" t="n">
        <v>45729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12506-2020</t>
        </is>
      </c>
      <c r="B263" s="1" t="n">
        <v>43896</v>
      </c>
      <c r="C263" s="1" t="n">
        <v>45729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12559-2020</t>
        </is>
      </c>
      <c r="B264" s="1" t="n">
        <v>43898</v>
      </c>
      <c r="C264" s="1" t="n">
        <v>45729</v>
      </c>
      <c r="D264" t="inlineStr">
        <is>
          <t>VÄRMLANDS LÄN</t>
        </is>
      </c>
      <c r="E264" t="inlineStr">
        <is>
          <t>ARVIKA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12995-2020</t>
        </is>
      </c>
      <c r="B265" s="1" t="n">
        <v>43900</v>
      </c>
      <c r="C265" s="1" t="n">
        <v>45729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13060-2020</t>
        </is>
      </c>
      <c r="B266" s="1" t="n">
        <v>43900</v>
      </c>
      <c r="C266" s="1" t="n">
        <v>45729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13459-2020</t>
        </is>
      </c>
      <c r="B267" s="1" t="n">
        <v>43902</v>
      </c>
      <c r="C267" s="1" t="n">
        <v>45729</v>
      </c>
      <c r="D267" t="inlineStr">
        <is>
          <t>VÄRMLANDS LÄN</t>
        </is>
      </c>
      <c r="E267" t="inlineStr">
        <is>
          <t>ARVIKA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13623-2020</t>
        </is>
      </c>
      <c r="B268" s="1" t="n">
        <v>43903</v>
      </c>
      <c r="C268" s="1" t="n">
        <v>45729</v>
      </c>
      <c r="D268" t="inlineStr">
        <is>
          <t>VÄRMLANDS LÄN</t>
        </is>
      </c>
      <c r="E268" t="inlineStr">
        <is>
          <t>ARVIKA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13615-2020</t>
        </is>
      </c>
      <c r="B269" s="1" t="n">
        <v>43903</v>
      </c>
      <c r="C269" s="1" t="n">
        <v>45729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13828-2020</t>
        </is>
      </c>
      <c r="B270" s="1" t="n">
        <v>43905</v>
      </c>
      <c r="C270" s="1" t="n">
        <v>45729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14052-2020</t>
        </is>
      </c>
      <c r="B271" s="1" t="n">
        <v>43906</v>
      </c>
      <c r="C271" s="1" t="n">
        <v>45729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14445-2020</t>
        </is>
      </c>
      <c r="B272" s="1" t="n">
        <v>43908</v>
      </c>
      <c r="C272" s="1" t="n">
        <v>45729</v>
      </c>
      <c r="D272" t="inlineStr">
        <is>
          <t>VÄRMLANDS LÄN</t>
        </is>
      </c>
      <c r="E272" t="inlineStr">
        <is>
          <t>ARVIKA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14353-2020</t>
        </is>
      </c>
      <c r="B273" s="1" t="n">
        <v>43908</v>
      </c>
      <c r="C273" s="1" t="n">
        <v>45729</v>
      </c>
      <c r="D273" t="inlineStr">
        <is>
          <t>VÄRMLANDS LÄN</t>
        </is>
      </c>
      <c r="E273" t="inlineStr">
        <is>
          <t>ARVIKA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14661-2020</t>
        </is>
      </c>
      <c r="B274" s="1" t="n">
        <v>43909</v>
      </c>
      <c r="C274" s="1" t="n">
        <v>45729</v>
      </c>
      <c r="D274" t="inlineStr">
        <is>
          <t>VÄRMLANDS LÄN</t>
        </is>
      </c>
      <c r="E274" t="inlineStr">
        <is>
          <t>ARVIKA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14606-2020</t>
        </is>
      </c>
      <c r="B275" s="1" t="n">
        <v>43909</v>
      </c>
      <c r="C275" s="1" t="n">
        <v>45729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15022-2020</t>
        </is>
      </c>
      <c r="B276" s="1" t="n">
        <v>43910</v>
      </c>
      <c r="C276" s="1" t="n">
        <v>45729</v>
      </c>
      <c r="D276" t="inlineStr">
        <is>
          <t>VÄRMLANDS LÄN</t>
        </is>
      </c>
      <c r="E276" t="inlineStr">
        <is>
          <t>ARVIKA</t>
        </is>
      </c>
      <c r="G276" t="n">
        <v>29.3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15256-2020</t>
        </is>
      </c>
      <c r="B277" s="1" t="n">
        <v>43913</v>
      </c>
      <c r="C277" s="1" t="n">
        <v>45729</v>
      </c>
      <c r="D277" t="inlineStr">
        <is>
          <t>VÄRMLANDS LÄN</t>
        </is>
      </c>
      <c r="E277" t="inlineStr">
        <is>
          <t>ARVIKA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15259-2020</t>
        </is>
      </c>
      <c r="B278" s="1" t="n">
        <v>43913</v>
      </c>
      <c r="C278" s="1" t="n">
        <v>45729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15339-2020</t>
        </is>
      </c>
      <c r="B279" s="1" t="n">
        <v>43913</v>
      </c>
      <c r="C279" s="1" t="n">
        <v>45729</v>
      </c>
      <c r="D279" t="inlineStr">
        <is>
          <t>VÄRMLANDS LÄN</t>
        </is>
      </c>
      <c r="E279" t="inlineStr">
        <is>
          <t>ARVIKA</t>
        </is>
      </c>
      <c r="G279" t="n">
        <v>21.4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15627-2020</t>
        </is>
      </c>
      <c r="B280" s="1" t="n">
        <v>43914</v>
      </c>
      <c r="C280" s="1" t="n">
        <v>45729</v>
      </c>
      <c r="D280" t="inlineStr">
        <is>
          <t>VÄRMLANDS LÄN</t>
        </is>
      </c>
      <c r="E280" t="inlineStr">
        <is>
          <t>ARVIKA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15657-2020</t>
        </is>
      </c>
      <c r="B281" s="1" t="n">
        <v>43915</v>
      </c>
      <c r="C281" s="1" t="n">
        <v>45729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15853-2020</t>
        </is>
      </c>
      <c r="B282" s="1" t="n">
        <v>43915</v>
      </c>
      <c r="C282" s="1" t="n">
        <v>45729</v>
      </c>
      <c r="D282" t="inlineStr">
        <is>
          <t>VÄRMLANDS LÄN</t>
        </is>
      </c>
      <c r="E282" t="inlineStr">
        <is>
          <t>ARVIKA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16030-2020</t>
        </is>
      </c>
      <c r="B283" s="1" t="n">
        <v>43916</v>
      </c>
      <c r="C283" s="1" t="n">
        <v>45729</v>
      </c>
      <c r="D283" t="inlineStr">
        <is>
          <t>VÄRMLANDS LÄN</t>
        </is>
      </c>
      <c r="E283" t="inlineStr">
        <is>
          <t>ARVIKA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16035-2020</t>
        </is>
      </c>
      <c r="B284" s="1" t="n">
        <v>43916</v>
      </c>
      <c r="C284" s="1" t="n">
        <v>45729</v>
      </c>
      <c r="D284" t="inlineStr">
        <is>
          <t>VÄRMLANDS LÄN</t>
        </is>
      </c>
      <c r="E284" t="inlineStr">
        <is>
          <t>ARVIKA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16064-2020</t>
        </is>
      </c>
      <c r="B285" s="1" t="n">
        <v>43916</v>
      </c>
      <c r="C285" s="1" t="n">
        <v>45729</v>
      </c>
      <c r="D285" t="inlineStr">
        <is>
          <t>VÄRMLANDS LÄN</t>
        </is>
      </c>
      <c r="E285" t="inlineStr">
        <is>
          <t>ARVIKA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16329-2020</t>
        </is>
      </c>
      <c r="B286" s="1" t="n">
        <v>43917</v>
      </c>
      <c r="C286" s="1" t="n">
        <v>45729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17036-2020</t>
        </is>
      </c>
      <c r="B287" s="1" t="n">
        <v>43921</v>
      </c>
      <c r="C287" s="1" t="n">
        <v>45729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17732-2020</t>
        </is>
      </c>
      <c r="B288" s="1" t="n">
        <v>43924</v>
      </c>
      <c r="C288" s="1" t="n">
        <v>45729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17970-2020</t>
        </is>
      </c>
      <c r="B289" s="1" t="n">
        <v>43925</v>
      </c>
      <c r="C289" s="1" t="n">
        <v>45729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19519-2020</t>
        </is>
      </c>
      <c r="B290" s="1" t="n">
        <v>43939</v>
      </c>
      <c r="C290" s="1" t="n">
        <v>45729</v>
      </c>
      <c r="D290" t="inlineStr">
        <is>
          <t>VÄRMLANDS LÄN</t>
        </is>
      </c>
      <c r="E290" t="inlineStr">
        <is>
          <t>ARVIKA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20235-2020</t>
        </is>
      </c>
      <c r="B291" s="1" t="n">
        <v>43944</v>
      </c>
      <c r="C291" s="1" t="n">
        <v>45729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20564-2020</t>
        </is>
      </c>
      <c r="B292" s="1" t="n">
        <v>43948</v>
      </c>
      <c r="C292" s="1" t="n">
        <v>45729</v>
      </c>
      <c r="D292" t="inlineStr">
        <is>
          <t>VÄRMLANDS LÄN</t>
        </is>
      </c>
      <c r="E292" t="inlineStr">
        <is>
          <t>ARVIKA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20798-2020</t>
        </is>
      </c>
      <c r="B293" s="1" t="n">
        <v>43949</v>
      </c>
      <c r="C293" s="1" t="n">
        <v>45729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20898-2020</t>
        </is>
      </c>
      <c r="B294" s="1" t="n">
        <v>43950</v>
      </c>
      <c r="C294" s="1" t="n">
        <v>45729</v>
      </c>
      <c r="D294" t="inlineStr">
        <is>
          <t>VÄRMLANDS LÄN</t>
        </is>
      </c>
      <c r="E294" t="inlineStr">
        <is>
          <t>ARVIKA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23165-2020</t>
        </is>
      </c>
      <c r="B295" s="1" t="n">
        <v>43966</v>
      </c>
      <c r="C295" s="1" t="n">
        <v>45729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23362-2020</t>
        </is>
      </c>
      <c r="B296" s="1" t="n">
        <v>43967</v>
      </c>
      <c r="C296" s="1" t="n">
        <v>45729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24165-2020</t>
        </is>
      </c>
      <c r="B297" s="1" t="n">
        <v>43975</v>
      </c>
      <c r="C297" s="1" t="n">
        <v>45729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25237-2020</t>
        </is>
      </c>
      <c r="B298" s="1" t="n">
        <v>43979</v>
      </c>
      <c r="C298" s="1" t="n">
        <v>45729</v>
      </c>
      <c r="D298" t="inlineStr">
        <is>
          <t>VÄRMLANDS LÄN</t>
        </is>
      </c>
      <c r="E298" t="inlineStr">
        <is>
          <t>ARVIKA</t>
        </is>
      </c>
      <c r="G298" t="n">
        <v>26.4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25234-2020</t>
        </is>
      </c>
      <c r="B299" s="1" t="n">
        <v>43979</v>
      </c>
      <c r="C299" s="1" t="n">
        <v>45729</v>
      </c>
      <c r="D299" t="inlineStr">
        <is>
          <t>VÄRMLANDS LÄN</t>
        </is>
      </c>
      <c r="E299" t="inlineStr">
        <is>
          <t>ARVIKA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25211-2020</t>
        </is>
      </c>
      <c r="B300" s="1" t="n">
        <v>43980</v>
      </c>
      <c r="C300" s="1" t="n">
        <v>45729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25977-2020</t>
        </is>
      </c>
      <c r="B301" s="1" t="n">
        <v>43985</v>
      </c>
      <c r="C301" s="1" t="n">
        <v>45729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25953-2020</t>
        </is>
      </c>
      <c r="B302" s="1" t="n">
        <v>43985</v>
      </c>
      <c r="C302" s="1" t="n">
        <v>45729</v>
      </c>
      <c r="D302" t="inlineStr">
        <is>
          <t>VÄRMLANDS LÄN</t>
        </is>
      </c>
      <c r="E302" t="inlineStr">
        <is>
          <t>ARVIKA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26547-2020</t>
        </is>
      </c>
      <c r="B303" s="1" t="n">
        <v>43987</v>
      </c>
      <c r="C303" s="1" t="n">
        <v>45729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27474-2020</t>
        </is>
      </c>
      <c r="B304" s="1" t="n">
        <v>43993</v>
      </c>
      <c r="C304" s="1" t="n">
        <v>45729</v>
      </c>
      <c r="D304" t="inlineStr">
        <is>
          <t>VÄRMLANDS LÄN</t>
        </is>
      </c>
      <c r="E304" t="inlineStr">
        <is>
          <t>ARVIKA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27756-2020</t>
        </is>
      </c>
      <c r="B305" s="1" t="n">
        <v>43994</v>
      </c>
      <c r="C305" s="1" t="n">
        <v>45729</v>
      </c>
      <c r="D305" t="inlineStr">
        <is>
          <t>VÄRMLANDS LÄN</t>
        </is>
      </c>
      <c r="E305" t="inlineStr">
        <is>
          <t>ARVIKA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28594-2020</t>
        </is>
      </c>
      <c r="B306" s="1" t="n">
        <v>43999</v>
      </c>
      <c r="C306" s="1" t="n">
        <v>45729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29418-2020</t>
        </is>
      </c>
      <c r="B307" s="1" t="n">
        <v>44004</v>
      </c>
      <c r="C307" s="1" t="n">
        <v>45729</v>
      </c>
      <c r="D307" t="inlineStr">
        <is>
          <t>VÄRMLANDS LÄN</t>
        </is>
      </c>
      <c r="E307" t="inlineStr">
        <is>
          <t>ARVIKA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29424-2020</t>
        </is>
      </c>
      <c r="B308" s="1" t="n">
        <v>44004</v>
      </c>
      <c r="C308" s="1" t="n">
        <v>45729</v>
      </c>
      <c r="D308" t="inlineStr">
        <is>
          <t>VÄRMLANDS LÄN</t>
        </is>
      </c>
      <c r="E308" t="inlineStr">
        <is>
          <t>ARVIKA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30684-2020</t>
        </is>
      </c>
      <c r="B309" s="1" t="n">
        <v>44008</v>
      </c>
      <c r="C309" s="1" t="n">
        <v>45729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30690-2020</t>
        </is>
      </c>
      <c r="B310" s="1" t="n">
        <v>44008</v>
      </c>
      <c r="C310" s="1" t="n">
        <v>45729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31135-2020</t>
        </is>
      </c>
      <c r="B311" s="1" t="n">
        <v>44012</v>
      </c>
      <c r="C311" s="1" t="n">
        <v>45729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31689-2020</t>
        </is>
      </c>
      <c r="B312" s="1" t="n">
        <v>44014</v>
      </c>
      <c r="C312" s="1" t="n">
        <v>45729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32354-2020</t>
        </is>
      </c>
      <c r="B313" s="1" t="n">
        <v>44017</v>
      </c>
      <c r="C313" s="1" t="n">
        <v>45729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32570-2020</t>
        </is>
      </c>
      <c r="B314" s="1" t="n">
        <v>44018</v>
      </c>
      <c r="C314" s="1" t="n">
        <v>45729</v>
      </c>
      <c r="D314" t="inlineStr">
        <is>
          <t>VÄRMLANDS LÄN</t>
        </is>
      </c>
      <c r="E314" t="inlineStr">
        <is>
          <t>ARVIKA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32600-2020</t>
        </is>
      </c>
      <c r="B315" s="1" t="n">
        <v>44019</v>
      </c>
      <c r="C315" s="1" t="n">
        <v>45729</v>
      </c>
      <c r="D315" t="inlineStr">
        <is>
          <t>VÄRMLANDS LÄN</t>
        </is>
      </c>
      <c r="E315" t="inlineStr">
        <is>
          <t>ARVIKA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34053-2020</t>
        </is>
      </c>
      <c r="B316" s="1" t="n">
        <v>44026</v>
      </c>
      <c r="C316" s="1" t="n">
        <v>45729</v>
      </c>
      <c r="D316" t="inlineStr">
        <is>
          <t>VÄRMLANDS LÄN</t>
        </is>
      </c>
      <c r="E316" t="inlineStr">
        <is>
          <t>ARVIKA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34035-2020</t>
        </is>
      </c>
      <c r="B317" s="1" t="n">
        <v>44026</v>
      </c>
      <c r="C317" s="1" t="n">
        <v>45729</v>
      </c>
      <c r="D317" t="inlineStr">
        <is>
          <t>VÄRMLANDS LÄN</t>
        </is>
      </c>
      <c r="E317" t="inlineStr">
        <is>
          <t>ARVIKA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34044-2020</t>
        </is>
      </c>
      <c r="B318" s="1" t="n">
        <v>44026</v>
      </c>
      <c r="C318" s="1" t="n">
        <v>45729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33847-2020</t>
        </is>
      </c>
      <c r="B319" s="1" t="n">
        <v>44027</v>
      </c>
      <c r="C319" s="1" t="n">
        <v>45729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34296-2020</t>
        </is>
      </c>
      <c r="B320" s="1" t="n">
        <v>44030</v>
      </c>
      <c r="C320" s="1" t="n">
        <v>45729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34297-2020</t>
        </is>
      </c>
      <c r="B321" s="1" t="n">
        <v>44030</v>
      </c>
      <c r="C321" s="1" t="n">
        <v>45729</v>
      </c>
      <c r="D321" t="inlineStr">
        <is>
          <t>VÄRMLANDS LÄN</t>
        </is>
      </c>
      <c r="E321" t="inlineStr">
        <is>
          <t>ARVIKA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34534-2020</t>
        </is>
      </c>
      <c r="B322" s="1" t="n">
        <v>44031</v>
      </c>
      <c r="C322" s="1" t="n">
        <v>45729</v>
      </c>
      <c r="D322" t="inlineStr">
        <is>
          <t>VÄRMLANDS LÄN</t>
        </is>
      </c>
      <c r="E322" t="inlineStr">
        <is>
          <t>ARVIKA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34535-2020</t>
        </is>
      </c>
      <c r="B323" s="1" t="n">
        <v>44031</v>
      </c>
      <c r="C323" s="1" t="n">
        <v>45729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35420-2020</t>
        </is>
      </c>
      <c r="B324" s="1" t="n">
        <v>44042</v>
      </c>
      <c r="C324" s="1" t="n">
        <v>45729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35424-2020</t>
        </is>
      </c>
      <c r="B325" s="1" t="n">
        <v>44042</v>
      </c>
      <c r="C325" s="1" t="n">
        <v>45729</v>
      </c>
      <c r="D325" t="inlineStr">
        <is>
          <t>VÄRMLANDS LÄN</t>
        </is>
      </c>
      <c r="E325" t="inlineStr">
        <is>
          <t>ARVIKA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35431-2020</t>
        </is>
      </c>
      <c r="B326" s="1" t="n">
        <v>44042</v>
      </c>
      <c r="C326" s="1" t="n">
        <v>45729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35429-2020</t>
        </is>
      </c>
      <c r="B327" s="1" t="n">
        <v>44042</v>
      </c>
      <c r="C327" s="1" t="n">
        <v>45729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35421-2020</t>
        </is>
      </c>
      <c r="B328" s="1" t="n">
        <v>44042</v>
      </c>
      <c r="C328" s="1" t="n">
        <v>45729</v>
      </c>
      <c r="D328" t="inlineStr">
        <is>
          <t>VÄRMLANDS LÄN</t>
        </is>
      </c>
      <c r="E328" t="inlineStr">
        <is>
          <t>ARVIKA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36301-2020</t>
        </is>
      </c>
      <c r="B329" s="1" t="n">
        <v>44049</v>
      </c>
      <c r="C329" s="1" t="n">
        <v>45729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36548-2020</t>
        </is>
      </c>
      <c r="B330" s="1" t="n">
        <v>44050</v>
      </c>
      <c r="C330" s="1" t="n">
        <v>45729</v>
      </c>
      <c r="D330" t="inlineStr">
        <is>
          <t>VÄRMLANDS LÄN</t>
        </is>
      </c>
      <c r="E330" t="inlineStr">
        <is>
          <t>ARVIKA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36827-2020</t>
        </is>
      </c>
      <c r="B331" s="1" t="n">
        <v>44053</v>
      </c>
      <c r="C331" s="1" t="n">
        <v>45729</v>
      </c>
      <c r="D331" t="inlineStr">
        <is>
          <t>VÄRMLANDS LÄN</t>
        </is>
      </c>
      <c r="E331" t="inlineStr">
        <is>
          <t>ARVIKA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36820-2020</t>
        </is>
      </c>
      <c r="B332" s="1" t="n">
        <v>44053</v>
      </c>
      <c r="C332" s="1" t="n">
        <v>45729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37995-2020</t>
        </is>
      </c>
      <c r="B333" s="1" t="n">
        <v>44057</v>
      </c>
      <c r="C333" s="1" t="n">
        <v>45729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38940-2020</t>
        </is>
      </c>
      <c r="B334" s="1" t="n">
        <v>44062</v>
      </c>
      <c r="C334" s="1" t="n">
        <v>45729</v>
      </c>
      <c r="D334" t="inlineStr">
        <is>
          <t>VÄRMLANDS LÄN</t>
        </is>
      </c>
      <c r="E334" t="inlineStr">
        <is>
          <t>ARVIKA</t>
        </is>
      </c>
      <c r="G334" t="n">
        <v>14.3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39528-2020</t>
        </is>
      </c>
      <c r="B335" s="1" t="n">
        <v>44064</v>
      </c>
      <c r="C335" s="1" t="n">
        <v>45729</v>
      </c>
      <c r="D335" t="inlineStr">
        <is>
          <t>VÄRMLANDS LÄN</t>
        </is>
      </c>
      <c r="E335" t="inlineStr">
        <is>
          <t>ARVIKA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39883-2020</t>
        </is>
      </c>
      <c r="B336" s="1" t="n">
        <v>44067</v>
      </c>
      <c r="C336" s="1" t="n">
        <v>45729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40331-2020</t>
        </is>
      </c>
      <c r="B337" s="1" t="n">
        <v>44067</v>
      </c>
      <c r="C337" s="1" t="n">
        <v>45729</v>
      </c>
      <c r="D337" t="inlineStr">
        <is>
          <t>VÄRMLANDS LÄN</t>
        </is>
      </c>
      <c r="E337" t="inlineStr">
        <is>
          <t>ARVIKA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40975-2020</t>
        </is>
      </c>
      <c r="B338" s="1" t="n">
        <v>44068</v>
      </c>
      <c r="C338" s="1" t="n">
        <v>45729</v>
      </c>
      <c r="D338" t="inlineStr">
        <is>
          <t>VÄRMLANDS LÄN</t>
        </is>
      </c>
      <c r="E338" t="inlineStr">
        <is>
          <t>ARVIKA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41000-2020</t>
        </is>
      </c>
      <c r="B339" s="1" t="n">
        <v>44068</v>
      </c>
      <c r="C339" s="1" t="n">
        <v>45729</v>
      </c>
      <c r="D339" t="inlineStr">
        <is>
          <t>VÄRMLANDS LÄN</t>
        </is>
      </c>
      <c r="E339" t="inlineStr">
        <is>
          <t>ARVIKA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40926-2020</t>
        </is>
      </c>
      <c r="B340" s="1" t="n">
        <v>44070</v>
      </c>
      <c r="C340" s="1" t="n">
        <v>45729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41274-2020</t>
        </is>
      </c>
      <c r="B341" s="1" t="n">
        <v>44071</v>
      </c>
      <c r="C341" s="1" t="n">
        <v>45729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41130-2020</t>
        </is>
      </c>
      <c r="B342" s="1" t="n">
        <v>44071</v>
      </c>
      <c r="C342" s="1" t="n">
        <v>45729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42128-2020</t>
        </is>
      </c>
      <c r="B343" s="1" t="n">
        <v>44075</v>
      </c>
      <c r="C343" s="1" t="n">
        <v>45729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42294-2020</t>
        </is>
      </c>
      <c r="B344" s="1" t="n">
        <v>44076</v>
      </c>
      <c r="C344" s="1" t="n">
        <v>45729</v>
      </c>
      <c r="D344" t="inlineStr">
        <is>
          <t>VÄRMLANDS LÄN</t>
        </is>
      </c>
      <c r="E344" t="inlineStr">
        <is>
          <t>ARVIKA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43193-2020</t>
        </is>
      </c>
      <c r="B345" s="1" t="n">
        <v>44081</v>
      </c>
      <c r="C345" s="1" t="n">
        <v>45729</v>
      </c>
      <c r="D345" t="inlineStr">
        <is>
          <t>VÄRMLANDS LÄN</t>
        </is>
      </c>
      <c r="E345" t="inlineStr">
        <is>
          <t>ARVIKA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44767-2020</t>
        </is>
      </c>
      <c r="B346" s="1" t="n">
        <v>44085</v>
      </c>
      <c r="C346" s="1" t="n">
        <v>45729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44689-2020</t>
        </is>
      </c>
      <c r="B347" s="1" t="n">
        <v>44085</v>
      </c>
      <c r="C347" s="1" t="n">
        <v>45729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45319-2020</t>
        </is>
      </c>
      <c r="B348" s="1" t="n">
        <v>44085</v>
      </c>
      <c r="C348" s="1" t="n">
        <v>45729</v>
      </c>
      <c r="D348" t="inlineStr">
        <is>
          <t>VÄRMLANDS LÄN</t>
        </is>
      </c>
      <c r="E348" t="inlineStr">
        <is>
          <t>ARVIKA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45524-2020</t>
        </is>
      </c>
      <c r="B349" s="1" t="n">
        <v>44089</v>
      </c>
      <c r="C349" s="1" t="n">
        <v>45729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45258-2020</t>
        </is>
      </c>
      <c r="B350" s="1" t="n">
        <v>44089</v>
      </c>
      <c r="C350" s="1" t="n">
        <v>45729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46192-2020</t>
        </is>
      </c>
      <c r="B351" s="1" t="n">
        <v>44092</v>
      </c>
      <c r="C351" s="1" t="n">
        <v>45729</v>
      </c>
      <c r="D351" t="inlineStr">
        <is>
          <t>VÄRMLANDS LÄN</t>
        </is>
      </c>
      <c r="E351" t="inlineStr">
        <is>
          <t>ARVIKA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46680-2020</t>
        </is>
      </c>
      <c r="B352" s="1" t="n">
        <v>44095</v>
      </c>
      <c r="C352" s="1" t="n">
        <v>45729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47266-2020</t>
        </is>
      </c>
      <c r="B353" s="1" t="n">
        <v>44097</v>
      </c>
      <c r="C353" s="1" t="n">
        <v>45729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47147-2020</t>
        </is>
      </c>
      <c r="B354" s="1" t="n">
        <v>44097</v>
      </c>
      <c r="C354" s="1" t="n">
        <v>45729</v>
      </c>
      <c r="D354" t="inlineStr">
        <is>
          <t>VÄRMLANDS LÄN</t>
        </is>
      </c>
      <c r="E354" t="inlineStr">
        <is>
          <t>ARVIKA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47328-2020</t>
        </is>
      </c>
      <c r="B355" s="1" t="n">
        <v>44097</v>
      </c>
      <c r="C355" s="1" t="n">
        <v>45729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47928-2020</t>
        </is>
      </c>
      <c r="B356" s="1" t="n">
        <v>44099</v>
      </c>
      <c r="C356" s="1" t="n">
        <v>45729</v>
      </c>
      <c r="D356" t="inlineStr">
        <is>
          <t>VÄRMLANDS LÄN</t>
        </is>
      </c>
      <c r="E356" t="inlineStr">
        <is>
          <t>ARVIKA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48020-2020</t>
        </is>
      </c>
      <c r="B357" s="1" t="n">
        <v>44099</v>
      </c>
      <c r="C357" s="1" t="n">
        <v>45729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45729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53382-2020</t>
        </is>
      </c>
      <c r="B359" s="1" t="n">
        <v>44123</v>
      </c>
      <c r="C359" s="1" t="n">
        <v>45729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53300-2020</t>
        </is>
      </c>
      <c r="B360" s="1" t="n">
        <v>44123</v>
      </c>
      <c r="C360" s="1" t="n">
        <v>45729</v>
      </c>
      <c r="D360" t="inlineStr">
        <is>
          <t>VÄRMLANDS LÄN</t>
        </is>
      </c>
      <c r="E360" t="inlineStr">
        <is>
          <t>ARVIKA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53715-2020</t>
        </is>
      </c>
      <c r="B361" s="1" t="n">
        <v>44124</v>
      </c>
      <c r="C361" s="1" t="n">
        <v>45729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54264-2020</t>
        </is>
      </c>
      <c r="B362" s="1" t="n">
        <v>44124</v>
      </c>
      <c r="C362" s="1" t="n">
        <v>45729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54503-2020</t>
        </is>
      </c>
      <c r="B363" s="1" t="n">
        <v>44126</v>
      </c>
      <c r="C363" s="1" t="n">
        <v>45729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55903-2020</t>
        </is>
      </c>
      <c r="B364" s="1" t="n">
        <v>44132</v>
      </c>
      <c r="C364" s="1" t="n">
        <v>45729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56624-2020</t>
        </is>
      </c>
      <c r="B365" s="1" t="n">
        <v>44137</v>
      </c>
      <c r="C365" s="1" t="n">
        <v>45729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56518-2020</t>
        </is>
      </c>
      <c r="B366" s="1" t="n">
        <v>44137</v>
      </c>
      <c r="C366" s="1" t="n">
        <v>45729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57219-2020</t>
        </is>
      </c>
      <c r="B367" s="1" t="n">
        <v>44138</v>
      </c>
      <c r="C367" s="1" t="n">
        <v>45729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57331-2020</t>
        </is>
      </c>
      <c r="B368" s="1" t="n">
        <v>44139</v>
      </c>
      <c r="C368" s="1" t="n">
        <v>45729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58687-2020</t>
        </is>
      </c>
      <c r="B369" s="1" t="n">
        <v>44146</v>
      </c>
      <c r="C369" s="1" t="n">
        <v>45729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58695-2020</t>
        </is>
      </c>
      <c r="B370" s="1" t="n">
        <v>44146</v>
      </c>
      <c r="C370" s="1" t="n">
        <v>45729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59823-2020</t>
        </is>
      </c>
      <c r="B371" s="1" t="n">
        <v>44151</v>
      </c>
      <c r="C371" s="1" t="n">
        <v>45729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59779-2020</t>
        </is>
      </c>
      <c r="B372" s="1" t="n">
        <v>44151</v>
      </c>
      <c r="C372" s="1" t="n">
        <v>45729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59795-2020</t>
        </is>
      </c>
      <c r="B373" s="1" t="n">
        <v>44151</v>
      </c>
      <c r="C373" s="1" t="n">
        <v>45729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59820-2020</t>
        </is>
      </c>
      <c r="B374" s="1" t="n">
        <v>44151</v>
      </c>
      <c r="C374" s="1" t="n">
        <v>45729</v>
      </c>
      <c r="D374" t="inlineStr">
        <is>
          <t>VÄRMLANDS LÄN</t>
        </is>
      </c>
      <c r="E374" t="inlineStr">
        <is>
          <t>ARVIKA</t>
        </is>
      </c>
      <c r="G374" t="n">
        <v>21.2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59814-2020</t>
        </is>
      </c>
      <c r="B375" s="1" t="n">
        <v>44151</v>
      </c>
      <c r="C375" s="1" t="n">
        <v>45729</v>
      </c>
      <c r="D375" t="inlineStr">
        <is>
          <t>VÄRMLANDS LÄN</t>
        </is>
      </c>
      <c r="E375" t="inlineStr">
        <is>
          <t>ARVIKA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59824-2020</t>
        </is>
      </c>
      <c r="B376" s="1" t="n">
        <v>44151</v>
      </c>
      <c r="C376" s="1" t="n">
        <v>45729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59784-2020</t>
        </is>
      </c>
      <c r="B377" s="1" t="n">
        <v>44151</v>
      </c>
      <c r="C377" s="1" t="n">
        <v>45729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59821-2020</t>
        </is>
      </c>
      <c r="B378" s="1" t="n">
        <v>44151</v>
      </c>
      <c r="C378" s="1" t="n">
        <v>45729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60277-2020</t>
        </is>
      </c>
      <c r="B379" s="1" t="n">
        <v>44151</v>
      </c>
      <c r="C379" s="1" t="n">
        <v>45729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60275-2020</t>
        </is>
      </c>
      <c r="B380" s="1" t="n">
        <v>44151</v>
      </c>
      <c r="C380" s="1" t="n">
        <v>45729</v>
      </c>
      <c r="D380" t="inlineStr">
        <is>
          <t>VÄRMLANDS LÄN</t>
        </is>
      </c>
      <c r="E380" t="inlineStr">
        <is>
          <t>ARVIKA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60955-2020</t>
        </is>
      </c>
      <c r="B381" s="1" t="n">
        <v>44154</v>
      </c>
      <c r="C381" s="1" t="n">
        <v>45729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60784-2020</t>
        </is>
      </c>
      <c r="B382" s="1" t="n">
        <v>44154</v>
      </c>
      <c r="C382" s="1" t="n">
        <v>45729</v>
      </c>
      <c r="D382" t="inlineStr">
        <is>
          <t>VÄRMLANDS LÄN</t>
        </is>
      </c>
      <c r="E382" t="inlineStr">
        <is>
          <t>ARVIKA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61280-2020</t>
        </is>
      </c>
      <c r="B383" s="1" t="n">
        <v>44155</v>
      </c>
      <c r="C383" s="1" t="n">
        <v>45729</v>
      </c>
      <c r="D383" t="inlineStr">
        <is>
          <t>VÄRMLANDS LÄN</t>
        </is>
      </c>
      <c r="E383" t="inlineStr">
        <is>
          <t>ARVIKA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61734-2020</t>
        </is>
      </c>
      <c r="B384" s="1" t="n">
        <v>44158</v>
      </c>
      <c r="C384" s="1" t="n">
        <v>45729</v>
      </c>
      <c r="D384" t="inlineStr">
        <is>
          <t>VÄRMLANDS LÄN</t>
        </is>
      </c>
      <c r="E384" t="inlineStr">
        <is>
          <t>ARVIKA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62149-2020</t>
        </is>
      </c>
      <c r="B385" s="1" t="n">
        <v>44159</v>
      </c>
      <c r="C385" s="1" t="n">
        <v>45729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62566-2020</t>
        </is>
      </c>
      <c r="B386" s="1" t="n">
        <v>44160</v>
      </c>
      <c r="C386" s="1" t="n">
        <v>45729</v>
      </c>
      <c r="D386" t="inlineStr">
        <is>
          <t>VÄRMLANDS LÄN</t>
        </is>
      </c>
      <c r="E386" t="inlineStr">
        <is>
          <t>ARVIKA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62713-2020</t>
        </is>
      </c>
      <c r="B387" s="1" t="n">
        <v>44161</v>
      </c>
      <c r="C387" s="1" t="n">
        <v>45729</v>
      </c>
      <c r="D387" t="inlineStr">
        <is>
          <t>VÄRMLANDS LÄN</t>
        </is>
      </c>
      <c r="E387" t="inlineStr">
        <is>
          <t>ARVIKA</t>
        </is>
      </c>
      <c r="F387" t="inlineStr">
        <is>
          <t>Kyrkan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63536-2020</t>
        </is>
      </c>
      <c r="B388" s="1" t="n">
        <v>44165</v>
      </c>
      <c r="C388" s="1" t="n">
        <v>45729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63720-2020</t>
        </is>
      </c>
      <c r="B389" s="1" t="n">
        <v>44166</v>
      </c>
      <c r="C389" s="1" t="n">
        <v>45729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65353-2020</t>
        </is>
      </c>
      <c r="B390" s="1" t="n">
        <v>44169</v>
      </c>
      <c r="C390" s="1" t="n">
        <v>45729</v>
      </c>
      <c r="D390" t="inlineStr">
        <is>
          <t>VÄRMLANDS LÄN</t>
        </is>
      </c>
      <c r="E390" t="inlineStr">
        <is>
          <t>ARVIKA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65075-2020</t>
        </is>
      </c>
      <c r="B391" s="1" t="n">
        <v>44172</v>
      </c>
      <c r="C391" s="1" t="n">
        <v>45729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66807-2020</t>
        </is>
      </c>
      <c r="B392" s="1" t="n">
        <v>44179</v>
      </c>
      <c r="C392" s="1" t="n">
        <v>45729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67035-2020</t>
        </is>
      </c>
      <c r="B393" s="1" t="n">
        <v>44180</v>
      </c>
      <c r="C393" s="1" t="n">
        <v>45729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68279-2020</t>
        </is>
      </c>
      <c r="B394" s="1" t="n">
        <v>44183</v>
      </c>
      <c r="C394" s="1" t="n">
        <v>45729</v>
      </c>
      <c r="D394" t="inlineStr">
        <is>
          <t>VÄRMLANDS LÄN</t>
        </is>
      </c>
      <c r="E394" t="inlineStr">
        <is>
          <t>ARVIKA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69361-2020</t>
        </is>
      </c>
      <c r="B395" s="1" t="n">
        <v>44193</v>
      </c>
      <c r="C395" s="1" t="n">
        <v>45729</v>
      </c>
      <c r="D395" t="inlineStr">
        <is>
          <t>VÄRMLANDS LÄN</t>
        </is>
      </c>
      <c r="E395" t="inlineStr">
        <is>
          <t>ARVIKA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69367-2020</t>
        </is>
      </c>
      <c r="B396" s="1" t="n">
        <v>44193</v>
      </c>
      <c r="C396" s="1" t="n">
        <v>45729</v>
      </c>
      <c r="D396" t="inlineStr">
        <is>
          <t>VÄRMLANDS LÄN</t>
        </is>
      </c>
      <c r="E396" t="inlineStr">
        <is>
          <t>ARVIKA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260-2021</t>
        </is>
      </c>
      <c r="B397" s="1" t="n">
        <v>44200</v>
      </c>
      <c r="C397" s="1" t="n">
        <v>45729</v>
      </c>
      <c r="D397" t="inlineStr">
        <is>
          <t>VÄRMLANDS LÄN</t>
        </is>
      </c>
      <c r="E397" t="inlineStr">
        <is>
          <t>ARVIKA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485-2021</t>
        </is>
      </c>
      <c r="B398" s="1" t="n">
        <v>44200</v>
      </c>
      <c r="C398" s="1" t="n">
        <v>45729</v>
      </c>
      <c r="D398" t="inlineStr">
        <is>
          <t>VÄRMLANDS LÄN</t>
        </is>
      </c>
      <c r="E398" t="inlineStr">
        <is>
          <t>ARVIKA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625-2021</t>
        </is>
      </c>
      <c r="B399" s="1" t="n">
        <v>44201</v>
      </c>
      <c r="C399" s="1" t="n">
        <v>45729</v>
      </c>
      <c r="D399" t="inlineStr">
        <is>
          <t>VÄRMLANDS LÄN</t>
        </is>
      </c>
      <c r="E399" t="inlineStr">
        <is>
          <t>ARVIKA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1059-2021</t>
        </is>
      </c>
      <c r="B400" s="1" t="n">
        <v>44207</v>
      </c>
      <c r="C400" s="1" t="n">
        <v>45729</v>
      </c>
      <c r="D400" t="inlineStr">
        <is>
          <t>VÄRMLANDS LÄN</t>
        </is>
      </c>
      <c r="E400" t="inlineStr">
        <is>
          <t>ARVIKA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1397-2021</t>
        </is>
      </c>
      <c r="B401" s="1" t="n">
        <v>44208</v>
      </c>
      <c r="C401" s="1" t="n">
        <v>45729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1534-2021</t>
        </is>
      </c>
      <c r="B402" s="1" t="n">
        <v>44209</v>
      </c>
      <c r="C402" s="1" t="n">
        <v>45729</v>
      </c>
      <c r="D402" t="inlineStr">
        <is>
          <t>VÄRMLANDS LÄN</t>
        </is>
      </c>
      <c r="E402" t="inlineStr">
        <is>
          <t>ARVIKA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1906-2021</t>
        </is>
      </c>
      <c r="B403" s="1" t="n">
        <v>44210</v>
      </c>
      <c r="C403" s="1" t="n">
        <v>45729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2214-2021</t>
        </is>
      </c>
      <c r="B404" s="1" t="n">
        <v>44211</v>
      </c>
      <c r="C404" s="1" t="n">
        <v>45729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2237-2021</t>
        </is>
      </c>
      <c r="B405" s="1" t="n">
        <v>44211</v>
      </c>
      <c r="C405" s="1" t="n">
        <v>45729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2931-2021</t>
        </is>
      </c>
      <c r="B406" s="1" t="n">
        <v>44216</v>
      </c>
      <c r="C406" s="1" t="n">
        <v>45729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3289-2021</t>
        </is>
      </c>
      <c r="B407" s="1" t="n">
        <v>44217</v>
      </c>
      <c r="C407" s="1" t="n">
        <v>45729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3664-2021</t>
        </is>
      </c>
      <c r="B408" s="1" t="n">
        <v>44221</v>
      </c>
      <c r="C408" s="1" t="n">
        <v>45729</v>
      </c>
      <c r="D408" t="inlineStr">
        <is>
          <t>VÄRMLANDS LÄN</t>
        </is>
      </c>
      <c r="E408" t="inlineStr">
        <is>
          <t>ARVIKA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4086-2021</t>
        </is>
      </c>
      <c r="B409" s="1" t="n">
        <v>44222</v>
      </c>
      <c r="C409" s="1" t="n">
        <v>45729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4099-2021</t>
        </is>
      </c>
      <c r="B410" s="1" t="n">
        <v>44222</v>
      </c>
      <c r="C410" s="1" t="n">
        <v>45729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4630-2021</t>
        </is>
      </c>
      <c r="B411" s="1" t="n">
        <v>44224</v>
      </c>
      <c r="C411" s="1" t="n">
        <v>45729</v>
      </c>
      <c r="D411" t="inlineStr">
        <is>
          <t>VÄRMLANDS LÄN</t>
        </is>
      </c>
      <c r="E411" t="inlineStr">
        <is>
          <t>ARVIKA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5229-2021</t>
        </is>
      </c>
      <c r="B412" s="1" t="n">
        <v>44229</v>
      </c>
      <c r="C412" s="1" t="n">
        <v>45729</v>
      </c>
      <c r="D412" t="inlineStr">
        <is>
          <t>VÄRMLANDS LÄN</t>
        </is>
      </c>
      <c r="E412" t="inlineStr">
        <is>
          <t>ARVIKA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5881-2021</t>
        </is>
      </c>
      <c r="B413" s="1" t="n">
        <v>44231</v>
      </c>
      <c r="C413" s="1" t="n">
        <v>45729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5907-2021</t>
        </is>
      </c>
      <c r="B414" s="1" t="n">
        <v>44231</v>
      </c>
      <c r="C414" s="1" t="n">
        <v>45729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6184-2021</t>
        </is>
      </c>
      <c r="B415" s="1" t="n">
        <v>44233</v>
      </c>
      <c r="C415" s="1" t="n">
        <v>45729</v>
      </c>
      <c r="D415" t="inlineStr">
        <is>
          <t>VÄRMLANDS LÄN</t>
        </is>
      </c>
      <c r="E415" t="inlineStr">
        <is>
          <t>ARVIKA</t>
        </is>
      </c>
      <c r="G415" t="n">
        <v>12.4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6474-2021</t>
        </is>
      </c>
      <c r="B416" s="1" t="n">
        <v>44235</v>
      </c>
      <c r="C416" s="1" t="n">
        <v>45729</v>
      </c>
      <c r="D416" t="inlineStr">
        <is>
          <t>VÄRMLANDS LÄN</t>
        </is>
      </c>
      <c r="E416" t="inlineStr">
        <is>
          <t>ARVIKA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6478-2021</t>
        </is>
      </c>
      <c r="B417" s="1" t="n">
        <v>44235</v>
      </c>
      <c r="C417" s="1" t="n">
        <v>45729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7259-2021</t>
        </is>
      </c>
      <c r="B418" s="1" t="n">
        <v>44238</v>
      </c>
      <c r="C418" s="1" t="n">
        <v>45729</v>
      </c>
      <c r="D418" t="inlineStr">
        <is>
          <t>VÄRMLANDS LÄN</t>
        </is>
      </c>
      <c r="E418" t="inlineStr">
        <is>
          <t>ARVIKA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7224-2021</t>
        </is>
      </c>
      <c r="B419" s="1" t="n">
        <v>44238</v>
      </c>
      <c r="C419" s="1" t="n">
        <v>45729</v>
      </c>
      <c r="D419" t="inlineStr">
        <is>
          <t>VÄRMLANDS LÄN</t>
        </is>
      </c>
      <c r="E419" t="inlineStr">
        <is>
          <t>ARVIKA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7256-2021</t>
        </is>
      </c>
      <c r="B420" s="1" t="n">
        <v>44238</v>
      </c>
      <c r="C420" s="1" t="n">
        <v>45729</v>
      </c>
      <c r="D420" t="inlineStr">
        <is>
          <t>VÄRMLANDS LÄN</t>
        </is>
      </c>
      <c r="E420" t="inlineStr">
        <is>
          <t>ARVIKA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7725-2021</t>
        </is>
      </c>
      <c r="B421" s="1" t="n">
        <v>44242</v>
      </c>
      <c r="C421" s="1" t="n">
        <v>45729</v>
      </c>
      <c r="D421" t="inlineStr">
        <is>
          <t>VÄRMLANDS LÄN</t>
        </is>
      </c>
      <c r="E421" t="inlineStr">
        <is>
          <t>ARVIKA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7723-2021</t>
        </is>
      </c>
      <c r="B422" s="1" t="n">
        <v>44242</v>
      </c>
      <c r="C422" s="1" t="n">
        <v>45729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7727-2021</t>
        </is>
      </c>
      <c r="B423" s="1" t="n">
        <v>44242</v>
      </c>
      <c r="C423" s="1" t="n">
        <v>45729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9851-2021</t>
        </is>
      </c>
      <c r="B424" s="1" t="n">
        <v>44253</v>
      </c>
      <c r="C424" s="1" t="n">
        <v>45729</v>
      </c>
      <c r="D424" t="inlineStr">
        <is>
          <t>VÄRMLANDS LÄN</t>
        </is>
      </c>
      <c r="E424" t="inlineStr">
        <is>
          <t>ARVIKA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10750-2021</t>
        </is>
      </c>
      <c r="B425" s="1" t="n">
        <v>44259</v>
      </c>
      <c r="C425" s="1" t="n">
        <v>45729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11945-2021</t>
        </is>
      </c>
      <c r="B426" s="1" t="n">
        <v>44266</v>
      </c>
      <c r="C426" s="1" t="n">
        <v>45729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12533-2021</t>
        </is>
      </c>
      <c r="B427" s="1" t="n">
        <v>44269</v>
      </c>
      <c r="C427" s="1" t="n">
        <v>45729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12529-2021</t>
        </is>
      </c>
      <c r="B428" s="1" t="n">
        <v>44269</v>
      </c>
      <c r="C428" s="1" t="n">
        <v>45729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12659-2021</t>
        </is>
      </c>
      <c r="B429" s="1" t="n">
        <v>44270</v>
      </c>
      <c r="C429" s="1" t="n">
        <v>45729</v>
      </c>
      <c r="D429" t="inlineStr">
        <is>
          <t>VÄRMLANDS LÄN</t>
        </is>
      </c>
      <c r="E429" t="inlineStr">
        <is>
          <t>ARVIKA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13007-2021</t>
        </is>
      </c>
      <c r="B430" s="1" t="n">
        <v>44271</v>
      </c>
      <c r="C430" s="1" t="n">
        <v>45729</v>
      </c>
      <c r="D430" t="inlineStr">
        <is>
          <t>VÄRMLANDS LÄN</t>
        </is>
      </c>
      <c r="E430" t="inlineStr">
        <is>
          <t>ARVIKA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13025-2021</t>
        </is>
      </c>
      <c r="B431" s="1" t="n">
        <v>44271</v>
      </c>
      <c r="C431" s="1" t="n">
        <v>45729</v>
      </c>
      <c r="D431" t="inlineStr">
        <is>
          <t>VÄRMLANDS LÄN</t>
        </is>
      </c>
      <c r="E431" t="inlineStr">
        <is>
          <t>ARVIKA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13828-2021</t>
        </is>
      </c>
      <c r="B432" s="1" t="n">
        <v>44277</v>
      </c>
      <c r="C432" s="1" t="n">
        <v>45729</v>
      </c>
      <c r="D432" t="inlineStr">
        <is>
          <t>VÄRMLANDS LÄN</t>
        </is>
      </c>
      <c r="E432" t="inlineStr">
        <is>
          <t>ARVIKA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14181-2021</t>
        </is>
      </c>
      <c r="B433" s="1" t="n">
        <v>44278</v>
      </c>
      <c r="C433" s="1" t="n">
        <v>45729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14273-2021</t>
        </is>
      </c>
      <c r="B434" s="1" t="n">
        <v>44278</v>
      </c>
      <c r="C434" s="1" t="n">
        <v>45729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15058-2021</t>
        </is>
      </c>
      <c r="B435" s="1" t="n">
        <v>44281</v>
      </c>
      <c r="C435" s="1" t="n">
        <v>45729</v>
      </c>
      <c r="D435" t="inlineStr">
        <is>
          <t>VÄRMLANDS LÄN</t>
        </is>
      </c>
      <c r="E435" t="inlineStr">
        <is>
          <t>ARVIKA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15225-2021</t>
        </is>
      </c>
      <c r="B436" s="1" t="n">
        <v>44284</v>
      </c>
      <c r="C436" s="1" t="n">
        <v>45729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15536-2021</t>
        </is>
      </c>
      <c r="B437" s="1" t="n">
        <v>44285</v>
      </c>
      <c r="C437" s="1" t="n">
        <v>45729</v>
      </c>
      <c r="D437" t="inlineStr">
        <is>
          <t>VÄRMLANDS LÄN</t>
        </is>
      </c>
      <c r="E437" t="inlineStr">
        <is>
          <t>ARVIKA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15912-2021</t>
        </is>
      </c>
      <c r="B438" s="1" t="n">
        <v>44287</v>
      </c>
      <c r="C438" s="1" t="n">
        <v>45729</v>
      </c>
      <c r="D438" t="inlineStr">
        <is>
          <t>VÄRMLANDS LÄN</t>
        </is>
      </c>
      <c r="E438" t="inlineStr">
        <is>
          <t>ARVIKA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15965-2021</t>
        </is>
      </c>
      <c r="B439" s="1" t="n">
        <v>44287</v>
      </c>
      <c r="C439" s="1" t="n">
        <v>45729</v>
      </c>
      <c r="D439" t="inlineStr">
        <is>
          <t>VÄRMLANDS LÄN</t>
        </is>
      </c>
      <c r="E439" t="inlineStr">
        <is>
          <t>ARVIKA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15981-2021</t>
        </is>
      </c>
      <c r="B440" s="1" t="n">
        <v>44287</v>
      </c>
      <c r="C440" s="1" t="n">
        <v>45729</v>
      </c>
      <c r="D440" t="inlineStr">
        <is>
          <t>VÄRMLANDS LÄN</t>
        </is>
      </c>
      <c r="E440" t="inlineStr">
        <is>
          <t>ARVIKA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16248-2021</t>
        </is>
      </c>
      <c r="B441" s="1" t="n">
        <v>44291</v>
      </c>
      <c r="C441" s="1" t="n">
        <v>45729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16540-2021</t>
        </is>
      </c>
      <c r="B442" s="1" t="n">
        <v>44293</v>
      </c>
      <c r="C442" s="1" t="n">
        <v>45729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16867-2021</t>
        </is>
      </c>
      <c r="B443" s="1" t="n">
        <v>44295</v>
      </c>
      <c r="C443" s="1" t="n">
        <v>45729</v>
      </c>
      <c r="D443" t="inlineStr">
        <is>
          <t>VÄRMLANDS LÄN</t>
        </is>
      </c>
      <c r="E443" t="inlineStr">
        <is>
          <t>ARVIKA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16797-2021</t>
        </is>
      </c>
      <c r="B444" s="1" t="n">
        <v>44295</v>
      </c>
      <c r="C444" s="1" t="n">
        <v>45729</v>
      </c>
      <c r="D444" t="inlineStr">
        <is>
          <t>VÄRMLANDS LÄN</t>
        </is>
      </c>
      <c r="E444" t="inlineStr">
        <is>
          <t>ARVIKA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16941-2021</t>
        </is>
      </c>
      <c r="B445" s="1" t="n">
        <v>44295</v>
      </c>
      <c r="C445" s="1" t="n">
        <v>45729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16981-2021</t>
        </is>
      </c>
      <c r="B446" s="1" t="n">
        <v>44295</v>
      </c>
      <c r="C446" s="1" t="n">
        <v>45729</v>
      </c>
      <c r="D446" t="inlineStr">
        <is>
          <t>VÄRMLANDS LÄN</t>
        </is>
      </c>
      <c r="E446" t="inlineStr">
        <is>
          <t>ARVIKA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17158-2021</t>
        </is>
      </c>
      <c r="B447" s="1" t="n">
        <v>44298</v>
      </c>
      <c r="C447" s="1" t="n">
        <v>45729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17140-2021</t>
        </is>
      </c>
      <c r="B448" s="1" t="n">
        <v>44298</v>
      </c>
      <c r="C448" s="1" t="n">
        <v>45729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19484-2021</t>
        </is>
      </c>
      <c r="B449" s="1" t="n">
        <v>44312</v>
      </c>
      <c r="C449" s="1" t="n">
        <v>45729</v>
      </c>
      <c r="D449" t="inlineStr">
        <is>
          <t>VÄRMLANDS LÄN</t>
        </is>
      </c>
      <c r="E449" t="inlineStr">
        <is>
          <t>ARVIKA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19486-2021</t>
        </is>
      </c>
      <c r="B450" s="1" t="n">
        <v>44312</v>
      </c>
      <c r="C450" s="1" t="n">
        <v>45729</v>
      </c>
      <c r="D450" t="inlineStr">
        <is>
          <t>VÄRMLANDS LÄN</t>
        </is>
      </c>
      <c r="E450" t="inlineStr">
        <is>
          <t>ARVIKA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19826-2021</t>
        </is>
      </c>
      <c r="B451" s="1" t="n">
        <v>44313</v>
      </c>
      <c r="C451" s="1" t="n">
        <v>45729</v>
      </c>
      <c r="D451" t="inlineStr">
        <is>
          <t>VÄRMLANDS LÄN</t>
        </is>
      </c>
      <c r="E451" t="inlineStr">
        <is>
          <t>ARVIKA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20346-2021</t>
        </is>
      </c>
      <c r="B452" s="1" t="n">
        <v>44315</v>
      </c>
      <c r="C452" s="1" t="n">
        <v>45729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21382-2021</t>
        </is>
      </c>
      <c r="B453" s="1" t="n">
        <v>44320</v>
      </c>
      <c r="C453" s="1" t="n">
        <v>45729</v>
      </c>
      <c r="D453" t="inlineStr">
        <is>
          <t>VÄRMLANDS LÄN</t>
        </is>
      </c>
      <c r="E453" t="inlineStr">
        <is>
          <t>ARVIKA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21381-2021</t>
        </is>
      </c>
      <c r="B454" s="1" t="n">
        <v>44320</v>
      </c>
      <c r="C454" s="1" t="n">
        <v>45729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22563-2021</t>
        </is>
      </c>
      <c r="B455" s="1" t="n">
        <v>44322</v>
      </c>
      <c r="C455" s="1" t="n">
        <v>45729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22565-2021</t>
        </is>
      </c>
      <c r="B456" s="1" t="n">
        <v>44322</v>
      </c>
      <c r="C456" s="1" t="n">
        <v>45729</v>
      </c>
      <c r="D456" t="inlineStr">
        <is>
          <t>VÄRMLANDS LÄN</t>
        </is>
      </c>
      <c r="E456" t="inlineStr">
        <is>
          <t>ARVIKA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22757-2021</t>
        </is>
      </c>
      <c r="B457" s="1" t="n">
        <v>44327</v>
      </c>
      <c r="C457" s="1" t="n">
        <v>45729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22971-2021</t>
        </is>
      </c>
      <c r="B458" s="1" t="n">
        <v>44328</v>
      </c>
      <c r="C458" s="1" t="n">
        <v>45729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23256-2021</t>
        </is>
      </c>
      <c r="B459" s="1" t="n">
        <v>44333</v>
      </c>
      <c r="C459" s="1" t="n">
        <v>45729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23293-2021</t>
        </is>
      </c>
      <c r="B460" s="1" t="n">
        <v>44333</v>
      </c>
      <c r="C460" s="1" t="n">
        <v>45729</v>
      </c>
      <c r="D460" t="inlineStr">
        <is>
          <t>VÄRMLANDS LÄN</t>
        </is>
      </c>
      <c r="E460" t="inlineStr">
        <is>
          <t>ARVIKA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23643-2021</t>
        </is>
      </c>
      <c r="B461" s="1" t="n">
        <v>44334</v>
      </c>
      <c r="C461" s="1" t="n">
        <v>45729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24668-2021</t>
        </is>
      </c>
      <c r="B462" s="1" t="n">
        <v>44340</v>
      </c>
      <c r="C462" s="1" t="n">
        <v>45729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25454-2021</t>
        </is>
      </c>
      <c r="B463" s="1" t="n">
        <v>44342</v>
      </c>
      <c r="C463" s="1" t="n">
        <v>45729</v>
      </c>
      <c r="D463" t="inlineStr">
        <is>
          <t>VÄRMLANDS LÄN</t>
        </is>
      </c>
      <c r="E463" t="inlineStr">
        <is>
          <t>ARVIKA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25544-2021</t>
        </is>
      </c>
      <c r="B464" s="1" t="n">
        <v>44342</v>
      </c>
      <c r="C464" s="1" t="n">
        <v>45729</v>
      </c>
      <c r="D464" t="inlineStr">
        <is>
          <t>VÄRMLANDS LÄN</t>
        </is>
      </c>
      <c r="E464" t="inlineStr">
        <is>
          <t>ARVIKA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27162-2021</t>
        </is>
      </c>
      <c r="B465" s="1" t="n">
        <v>44350</v>
      </c>
      <c r="C465" s="1" t="n">
        <v>45729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26999-2021</t>
        </is>
      </c>
      <c r="B466" s="1" t="n">
        <v>44350</v>
      </c>
      <c r="C466" s="1" t="n">
        <v>45729</v>
      </c>
      <c r="D466" t="inlineStr">
        <is>
          <t>VÄRMLANDS LÄN</t>
        </is>
      </c>
      <c r="E466" t="inlineStr">
        <is>
          <t>ARVIKA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27329-2021</t>
        </is>
      </c>
      <c r="B467" s="1" t="n">
        <v>44351</v>
      </c>
      <c r="C467" s="1" t="n">
        <v>45729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28655-2021</t>
        </is>
      </c>
      <c r="B468" s="1" t="n">
        <v>44357</v>
      </c>
      <c r="C468" s="1" t="n">
        <v>45729</v>
      </c>
      <c r="D468" t="inlineStr">
        <is>
          <t>VÄRMLANDS LÄN</t>
        </is>
      </c>
      <c r="E468" t="inlineStr">
        <is>
          <t>ARVIKA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30479-2021</t>
        </is>
      </c>
      <c r="B469" s="1" t="n">
        <v>44364</v>
      </c>
      <c r="C469" s="1" t="n">
        <v>45729</v>
      </c>
      <c r="D469" t="inlineStr">
        <is>
          <t>VÄRMLANDS LÄN</t>
        </is>
      </c>
      <c r="E469" t="inlineStr">
        <is>
          <t>ARVIKA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30733-2021</t>
        </is>
      </c>
      <c r="B470" s="1" t="n">
        <v>44365</v>
      </c>
      <c r="C470" s="1" t="n">
        <v>45729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30746-2021</t>
        </is>
      </c>
      <c r="B471" s="1" t="n">
        <v>44365</v>
      </c>
      <c r="C471" s="1" t="n">
        <v>45729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31111-2021</t>
        </is>
      </c>
      <c r="B472" s="1" t="n">
        <v>44365</v>
      </c>
      <c r="C472" s="1" t="n">
        <v>45729</v>
      </c>
      <c r="D472" t="inlineStr">
        <is>
          <t>VÄRMLANDS LÄN</t>
        </is>
      </c>
      <c r="E472" t="inlineStr">
        <is>
          <t>ARVIKA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31870-2021</t>
        </is>
      </c>
      <c r="B473" s="1" t="n">
        <v>44370</v>
      </c>
      <c r="C473" s="1" t="n">
        <v>45729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31929-2021</t>
        </is>
      </c>
      <c r="B474" s="1" t="n">
        <v>44370</v>
      </c>
      <c r="C474" s="1" t="n">
        <v>45729</v>
      </c>
      <c r="D474" t="inlineStr">
        <is>
          <t>VÄRMLANDS LÄN</t>
        </is>
      </c>
      <c r="E474" t="inlineStr">
        <is>
          <t>ARVIKA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31996-2021</t>
        </is>
      </c>
      <c r="B475" s="1" t="n">
        <v>44370</v>
      </c>
      <c r="C475" s="1" t="n">
        <v>45729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32336-2021</t>
        </is>
      </c>
      <c r="B476" s="1" t="n">
        <v>44371</v>
      </c>
      <c r="C476" s="1" t="n">
        <v>45729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35288-2021</t>
        </is>
      </c>
      <c r="B477" s="1" t="n">
        <v>44383</v>
      </c>
      <c r="C477" s="1" t="n">
        <v>45729</v>
      </c>
      <c r="D477" t="inlineStr">
        <is>
          <t>VÄRMLANDS LÄN</t>
        </is>
      </c>
      <c r="E477" t="inlineStr">
        <is>
          <t>ARVIKA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35294-2021</t>
        </is>
      </c>
      <c r="B478" s="1" t="n">
        <v>44383</v>
      </c>
      <c r="C478" s="1" t="n">
        <v>45729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35292-2021</t>
        </is>
      </c>
      <c r="B479" s="1" t="n">
        <v>44383</v>
      </c>
      <c r="C479" s="1" t="n">
        <v>45729</v>
      </c>
      <c r="D479" t="inlineStr">
        <is>
          <t>VÄRMLANDS LÄN</t>
        </is>
      </c>
      <c r="E479" t="inlineStr">
        <is>
          <t>ARVIKA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35517-2021</t>
        </is>
      </c>
      <c r="B480" s="1" t="n">
        <v>44385</v>
      </c>
      <c r="C480" s="1" t="n">
        <v>45729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36520-2021</t>
        </is>
      </c>
      <c r="B481" s="1" t="n">
        <v>44391</v>
      </c>
      <c r="C481" s="1" t="n">
        <v>45729</v>
      </c>
      <c r="D481" t="inlineStr">
        <is>
          <t>VÄRMLANDS LÄN</t>
        </is>
      </c>
      <c r="E481" t="inlineStr">
        <is>
          <t>ARVIKA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36643-2021</t>
        </is>
      </c>
      <c r="B482" s="1" t="n">
        <v>44392</v>
      </c>
      <c r="C482" s="1" t="n">
        <v>45729</v>
      </c>
      <c r="D482" t="inlineStr">
        <is>
          <t>VÄRMLANDS LÄN</t>
        </is>
      </c>
      <c r="E482" t="inlineStr">
        <is>
          <t>ARVIKA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37540-2021</t>
        </is>
      </c>
      <c r="B483" s="1" t="n">
        <v>44399</v>
      </c>
      <c r="C483" s="1" t="n">
        <v>45729</v>
      </c>
      <c r="D483" t="inlineStr">
        <is>
          <t>VÄRMLANDS LÄN</t>
        </is>
      </c>
      <c r="E483" t="inlineStr">
        <is>
          <t>ARVIKA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38894-2021</t>
        </is>
      </c>
      <c r="B484" s="1" t="n">
        <v>44411</v>
      </c>
      <c r="C484" s="1" t="n">
        <v>45729</v>
      </c>
      <c r="D484" t="inlineStr">
        <is>
          <t>VÄRMLANDS LÄN</t>
        </is>
      </c>
      <c r="E484" t="inlineStr">
        <is>
          <t>ARVIKA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39195-2021</t>
        </is>
      </c>
      <c r="B485" s="1" t="n">
        <v>44413</v>
      </c>
      <c r="C485" s="1" t="n">
        <v>45729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39746-2021</t>
        </is>
      </c>
      <c r="B486" s="1" t="n">
        <v>44417</v>
      </c>
      <c r="C486" s="1" t="n">
        <v>45729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40001-2021</t>
        </is>
      </c>
      <c r="B487" s="1" t="n">
        <v>44417</v>
      </c>
      <c r="C487" s="1" t="n">
        <v>45729</v>
      </c>
      <c r="D487" t="inlineStr">
        <is>
          <t>VÄRMLANDS LÄN</t>
        </is>
      </c>
      <c r="E487" t="inlineStr">
        <is>
          <t>ARVIKA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40003-2021</t>
        </is>
      </c>
      <c r="B488" s="1" t="n">
        <v>44417</v>
      </c>
      <c r="C488" s="1" t="n">
        <v>45729</v>
      </c>
      <c r="D488" t="inlineStr">
        <is>
          <t>VÄRMLANDS LÄN</t>
        </is>
      </c>
      <c r="E488" t="inlineStr">
        <is>
          <t>ARVIKA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40351-2021</t>
        </is>
      </c>
      <c r="B489" s="1" t="n">
        <v>44419</v>
      </c>
      <c r="C489" s="1" t="n">
        <v>45729</v>
      </c>
      <c r="D489" t="inlineStr">
        <is>
          <t>VÄRMLANDS LÄN</t>
        </is>
      </c>
      <c r="E489" t="inlineStr">
        <is>
          <t>ARVIKA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40455-2021</t>
        </is>
      </c>
      <c r="B490" s="1" t="n">
        <v>44419</v>
      </c>
      <c r="C490" s="1" t="n">
        <v>45729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40688-2021</t>
        </is>
      </c>
      <c r="B491" s="1" t="n">
        <v>44420</v>
      </c>
      <c r="C491" s="1" t="n">
        <v>45729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40743-2021</t>
        </is>
      </c>
      <c r="B492" s="1" t="n">
        <v>44420</v>
      </c>
      <c r="C492" s="1" t="n">
        <v>45729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41320-2021</t>
        </is>
      </c>
      <c r="B493" s="1" t="n">
        <v>44424</v>
      </c>
      <c r="C493" s="1" t="n">
        <v>45729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41325-2021</t>
        </is>
      </c>
      <c r="B494" s="1" t="n">
        <v>44424</v>
      </c>
      <c r="C494" s="1" t="n">
        <v>45729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41311-2021</t>
        </is>
      </c>
      <c r="B495" s="1" t="n">
        <v>44424</v>
      </c>
      <c r="C495" s="1" t="n">
        <v>45729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41317-2021</t>
        </is>
      </c>
      <c r="B496" s="1" t="n">
        <v>44424</v>
      </c>
      <c r="C496" s="1" t="n">
        <v>45729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41329-2021</t>
        </is>
      </c>
      <c r="B497" s="1" t="n">
        <v>44424</v>
      </c>
      <c r="C497" s="1" t="n">
        <v>45729</v>
      </c>
      <c r="D497" t="inlineStr">
        <is>
          <t>VÄRMLANDS LÄN</t>
        </is>
      </c>
      <c r="E497" t="inlineStr">
        <is>
          <t>ARVIKA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41450-2021</t>
        </is>
      </c>
      <c r="B498" s="1" t="n">
        <v>44424</v>
      </c>
      <c r="C498" s="1" t="n">
        <v>45729</v>
      </c>
      <c r="D498" t="inlineStr">
        <is>
          <t>VÄRMLANDS LÄN</t>
        </is>
      </c>
      <c r="E498" t="inlineStr">
        <is>
          <t>ARVIKA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41551-2021</t>
        </is>
      </c>
      <c r="B499" s="1" t="n">
        <v>44424</v>
      </c>
      <c r="C499" s="1" t="n">
        <v>45729</v>
      </c>
      <c r="D499" t="inlineStr">
        <is>
          <t>VÄRMLANDS LÄN</t>
        </is>
      </c>
      <c r="E499" t="inlineStr">
        <is>
          <t>ARVIKA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41661-2021</t>
        </is>
      </c>
      <c r="B500" s="1" t="n">
        <v>44425</v>
      </c>
      <c r="C500" s="1" t="n">
        <v>45729</v>
      </c>
      <c r="D500" t="inlineStr">
        <is>
          <t>VÄRMLANDS LÄN</t>
        </is>
      </c>
      <c r="E500" t="inlineStr">
        <is>
          <t>ARVIKA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41686-2021</t>
        </is>
      </c>
      <c r="B501" s="1" t="n">
        <v>44425</v>
      </c>
      <c r="C501" s="1" t="n">
        <v>45729</v>
      </c>
      <c r="D501" t="inlineStr">
        <is>
          <t>VÄRMLANDS LÄN</t>
        </is>
      </c>
      <c r="E501" t="inlineStr">
        <is>
          <t>ARVIKA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HYPERLINK("https://klasma.github.io/Logging_1784/knärot/A 41686-2021 karta knärot.png", "A 41686-2021")</f>
        <v/>
      </c>
      <c r="V501">
        <f>HYPERLINK("https://klasma.github.io/Logging_1784/klagomål/A 41686-2021 FSC-klagomål.docx", "A 41686-2021")</f>
        <v/>
      </c>
      <c r="W501">
        <f>HYPERLINK("https://klasma.github.io/Logging_1784/klagomålsmail/A 41686-2021 FSC-klagomål mail.docx", "A 41686-2021")</f>
        <v/>
      </c>
      <c r="X501">
        <f>HYPERLINK("https://klasma.github.io/Logging_1784/tillsyn/A 41686-2021 tillsynsbegäran.docx", "A 41686-2021")</f>
        <v/>
      </c>
      <c r="Y501">
        <f>HYPERLINK("https://klasma.github.io/Logging_1784/tillsynsmail/A 41686-2021 tillsynsbegäran mail.docx", "A 41686-2021")</f>
        <v/>
      </c>
    </row>
    <row r="502" ht="15" customHeight="1">
      <c r="A502" t="inlineStr">
        <is>
          <t>A 41860-2021</t>
        </is>
      </c>
      <c r="B502" s="1" t="n">
        <v>44426</v>
      </c>
      <c r="C502" s="1" t="n">
        <v>45729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41870-2021</t>
        </is>
      </c>
      <c r="B503" s="1" t="n">
        <v>44426</v>
      </c>
      <c r="C503" s="1" t="n">
        <v>45729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42070-2021</t>
        </is>
      </c>
      <c r="B504" s="1" t="n">
        <v>44426</v>
      </c>
      <c r="C504" s="1" t="n">
        <v>45729</v>
      </c>
      <c r="D504" t="inlineStr">
        <is>
          <t>VÄRMLANDS LÄN</t>
        </is>
      </c>
      <c r="E504" t="inlineStr">
        <is>
          <t>ARVIKA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41866-2021</t>
        </is>
      </c>
      <c r="B505" s="1" t="n">
        <v>44426</v>
      </c>
      <c r="C505" s="1" t="n">
        <v>45729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42044-2021</t>
        </is>
      </c>
      <c r="B506" s="1" t="n">
        <v>44426</v>
      </c>
      <c r="C506" s="1" t="n">
        <v>45729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42064-2021</t>
        </is>
      </c>
      <c r="B507" s="1" t="n">
        <v>44426</v>
      </c>
      <c r="C507" s="1" t="n">
        <v>45729</v>
      </c>
      <c r="D507" t="inlineStr">
        <is>
          <t>VÄRMLANDS LÄN</t>
        </is>
      </c>
      <c r="E507" t="inlineStr">
        <is>
          <t>ARVIKA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42163-2021</t>
        </is>
      </c>
      <c r="B508" s="1" t="n">
        <v>44426</v>
      </c>
      <c r="C508" s="1" t="n">
        <v>45729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42171-2021</t>
        </is>
      </c>
      <c r="B509" s="1" t="n">
        <v>44426</v>
      </c>
      <c r="C509" s="1" t="n">
        <v>45729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42314-2021</t>
        </is>
      </c>
      <c r="B510" s="1" t="n">
        <v>44427</v>
      </c>
      <c r="C510" s="1" t="n">
        <v>45729</v>
      </c>
      <c r="D510" t="inlineStr">
        <is>
          <t>VÄRMLANDS LÄN</t>
        </is>
      </c>
      <c r="E510" t="inlineStr">
        <is>
          <t>ARVIKA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42734-2021</t>
        </is>
      </c>
      <c r="B511" s="1" t="n">
        <v>44428</v>
      </c>
      <c r="C511" s="1" t="n">
        <v>45729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44067-2021</t>
        </is>
      </c>
      <c r="B512" s="1" t="n">
        <v>44434</v>
      </c>
      <c r="C512" s="1" t="n">
        <v>45729</v>
      </c>
      <c r="D512" t="inlineStr">
        <is>
          <t>VÄRMLANDS LÄN</t>
        </is>
      </c>
      <c r="E512" t="inlineStr">
        <is>
          <t>ARVIKA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44331-2021</t>
        </is>
      </c>
      <c r="B513" s="1" t="n">
        <v>44435</v>
      </c>
      <c r="C513" s="1" t="n">
        <v>45729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44425-2021</t>
        </is>
      </c>
      <c r="B514" s="1" t="n">
        <v>44435</v>
      </c>
      <c r="C514" s="1" t="n">
        <v>45729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44432-2021</t>
        </is>
      </c>
      <c r="B515" s="1" t="n">
        <v>44435</v>
      </c>
      <c r="C515" s="1" t="n">
        <v>45729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44420-2021</t>
        </is>
      </c>
      <c r="B516" s="1" t="n">
        <v>44435</v>
      </c>
      <c r="C516" s="1" t="n">
        <v>45729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44443-2021</t>
        </is>
      </c>
      <c r="B517" s="1" t="n">
        <v>44435</v>
      </c>
      <c r="C517" s="1" t="n">
        <v>45729</v>
      </c>
      <c r="D517" t="inlineStr">
        <is>
          <t>VÄRMLANDS LÄN</t>
        </is>
      </c>
      <c r="E517" t="inlineStr">
        <is>
          <t>ARVIKA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44419-2021</t>
        </is>
      </c>
      <c r="B518" s="1" t="n">
        <v>44435</v>
      </c>
      <c r="C518" s="1" t="n">
        <v>45729</v>
      </c>
      <c r="D518" t="inlineStr">
        <is>
          <t>VÄRMLANDS LÄN</t>
        </is>
      </c>
      <c r="E518" t="inlineStr">
        <is>
          <t>ARVIKA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45716-2021</t>
        </is>
      </c>
      <c r="B519" s="1" t="n">
        <v>44435</v>
      </c>
      <c r="C519" s="1" t="n">
        <v>45729</v>
      </c>
      <c r="D519" t="inlineStr">
        <is>
          <t>VÄRMLANDS LÄN</t>
        </is>
      </c>
      <c r="E519" t="inlineStr">
        <is>
          <t>ARVIKA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45740-2021</t>
        </is>
      </c>
      <c r="B520" s="1" t="n">
        <v>44435</v>
      </c>
      <c r="C520" s="1" t="n">
        <v>45729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45756-2021</t>
        </is>
      </c>
      <c r="B521" s="1" t="n">
        <v>44435</v>
      </c>
      <c r="C521" s="1" t="n">
        <v>45729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44824-2021</t>
        </is>
      </c>
      <c r="B522" s="1" t="n">
        <v>44438</v>
      </c>
      <c r="C522" s="1" t="n">
        <v>45729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44975-2021</t>
        </is>
      </c>
      <c r="B523" s="1" t="n">
        <v>44438</v>
      </c>
      <c r="C523" s="1" t="n">
        <v>45729</v>
      </c>
      <c r="D523" t="inlineStr">
        <is>
          <t>VÄRMLANDS LÄN</t>
        </is>
      </c>
      <c r="E523" t="inlineStr">
        <is>
          <t>ARVIKA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44974-2021</t>
        </is>
      </c>
      <c r="B524" s="1" t="n">
        <v>44438</v>
      </c>
      <c r="C524" s="1" t="n">
        <v>45729</v>
      </c>
      <c r="D524" t="inlineStr">
        <is>
          <t>VÄRMLANDS LÄN</t>
        </is>
      </c>
      <c r="E524" t="inlineStr">
        <is>
          <t>ARVIKA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45294-2021</t>
        </is>
      </c>
      <c r="B525" s="1" t="n">
        <v>44439</v>
      </c>
      <c r="C525" s="1" t="n">
        <v>45729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46297-2021</t>
        </is>
      </c>
      <c r="B526" s="1" t="n">
        <v>44442</v>
      </c>
      <c r="C526" s="1" t="n">
        <v>45729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18.1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46840-2021</t>
        </is>
      </c>
      <c r="B527" s="1" t="n">
        <v>44446</v>
      </c>
      <c r="C527" s="1" t="n">
        <v>45729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47119-2021</t>
        </is>
      </c>
      <c r="B528" s="1" t="n">
        <v>44446</v>
      </c>
      <c r="C528" s="1" t="n">
        <v>45729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48727-2021</t>
        </is>
      </c>
      <c r="B529" s="1" t="n">
        <v>44452</v>
      </c>
      <c r="C529" s="1" t="n">
        <v>45729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48995-2021</t>
        </is>
      </c>
      <c r="B530" s="1" t="n">
        <v>44453</v>
      </c>
      <c r="C530" s="1" t="n">
        <v>45729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49744-2021</t>
        </is>
      </c>
      <c r="B531" s="1" t="n">
        <v>44455</v>
      </c>
      <c r="C531" s="1" t="n">
        <v>45729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49759-2021</t>
        </is>
      </c>
      <c r="B532" s="1" t="n">
        <v>44455</v>
      </c>
      <c r="C532" s="1" t="n">
        <v>45729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49673-2021</t>
        </is>
      </c>
      <c r="B533" s="1" t="n">
        <v>44455</v>
      </c>
      <c r="C533" s="1" t="n">
        <v>45729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49713-2021</t>
        </is>
      </c>
      <c r="B534" s="1" t="n">
        <v>44455</v>
      </c>
      <c r="C534" s="1" t="n">
        <v>45729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49785-2021</t>
        </is>
      </c>
      <c r="B535" s="1" t="n">
        <v>44455</v>
      </c>
      <c r="C535" s="1" t="n">
        <v>45729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50229-2021</t>
        </is>
      </c>
      <c r="B536" s="1" t="n">
        <v>44457</v>
      </c>
      <c r="C536" s="1" t="n">
        <v>45729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50520-2021</t>
        </is>
      </c>
      <c r="B537" s="1" t="n">
        <v>44458</v>
      </c>
      <c r="C537" s="1" t="n">
        <v>45729</v>
      </c>
      <c r="D537" t="inlineStr">
        <is>
          <t>VÄRMLANDS LÄN</t>
        </is>
      </c>
      <c r="E537" t="inlineStr">
        <is>
          <t>ARVIKA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50387-2021</t>
        </is>
      </c>
      <c r="B538" s="1" t="n">
        <v>44459</v>
      </c>
      <c r="C538" s="1" t="n">
        <v>45729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50954-2021</t>
        </is>
      </c>
      <c r="B539" s="1" t="n">
        <v>44460</v>
      </c>
      <c r="C539" s="1" t="n">
        <v>45729</v>
      </c>
      <c r="D539" t="inlineStr">
        <is>
          <t>VÄRMLANDS LÄN</t>
        </is>
      </c>
      <c r="E539" t="inlineStr">
        <is>
          <t>ARVIKA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51314-2021</t>
        </is>
      </c>
      <c r="B540" s="1" t="n">
        <v>44461</v>
      </c>
      <c r="C540" s="1" t="n">
        <v>45729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51608-2021</t>
        </is>
      </c>
      <c r="B541" s="1" t="n">
        <v>44461</v>
      </c>
      <c r="C541" s="1" t="n">
        <v>45729</v>
      </c>
      <c r="D541" t="inlineStr">
        <is>
          <t>VÄRMLANDS LÄN</t>
        </is>
      </c>
      <c r="E541" t="inlineStr">
        <is>
          <t>ARVIKA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51514-2021</t>
        </is>
      </c>
      <c r="B542" s="1" t="n">
        <v>44462</v>
      </c>
      <c r="C542" s="1" t="n">
        <v>45729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51553-2021</t>
        </is>
      </c>
      <c r="B543" s="1" t="n">
        <v>44462</v>
      </c>
      <c r="C543" s="1" t="n">
        <v>45729</v>
      </c>
      <c r="D543" t="inlineStr">
        <is>
          <t>VÄRMLANDS LÄN</t>
        </is>
      </c>
      <c r="E543" t="inlineStr">
        <is>
          <t>ARVIKA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52357-2021</t>
        </is>
      </c>
      <c r="B544" s="1" t="n">
        <v>44464</v>
      </c>
      <c r="C544" s="1" t="n">
        <v>45729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52624-2021</t>
        </is>
      </c>
      <c r="B545" s="1" t="n">
        <v>44465</v>
      </c>
      <c r="C545" s="1" t="n">
        <v>45729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52800-2021</t>
        </is>
      </c>
      <c r="B546" s="1" t="n">
        <v>44467</v>
      </c>
      <c r="C546" s="1" t="n">
        <v>45729</v>
      </c>
      <c r="D546" t="inlineStr">
        <is>
          <t>VÄRMLANDS LÄN</t>
        </is>
      </c>
      <c r="E546" t="inlineStr">
        <is>
          <t>ARVIKA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53390-2021</t>
        </is>
      </c>
      <c r="B547" s="1" t="n">
        <v>44468</v>
      </c>
      <c r="C547" s="1" t="n">
        <v>45729</v>
      </c>
      <c r="D547" t="inlineStr">
        <is>
          <t>VÄRMLANDS LÄN</t>
        </is>
      </c>
      <c r="E547" t="inlineStr">
        <is>
          <t>ARVIKA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54261-2021</t>
        </is>
      </c>
      <c r="B548" s="1" t="n">
        <v>44470</v>
      </c>
      <c r="C548" s="1" t="n">
        <v>45729</v>
      </c>
      <c r="D548" t="inlineStr">
        <is>
          <t>VÄRMLANDS LÄN</t>
        </is>
      </c>
      <c r="E548" t="inlineStr">
        <is>
          <t>ARVIKA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54211-2021</t>
        </is>
      </c>
      <c r="B549" s="1" t="n">
        <v>44470</v>
      </c>
      <c r="C549" s="1" t="n">
        <v>45729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54677-2021</t>
        </is>
      </c>
      <c r="B550" s="1" t="n">
        <v>44473</v>
      </c>
      <c r="C550" s="1" t="n">
        <v>45729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55515-2021</t>
        </is>
      </c>
      <c r="B551" s="1" t="n">
        <v>44475</v>
      </c>
      <c r="C551" s="1" t="n">
        <v>45729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55518-2021</t>
        </is>
      </c>
      <c r="B552" s="1" t="n">
        <v>44475</v>
      </c>
      <c r="C552" s="1" t="n">
        <v>45729</v>
      </c>
      <c r="D552" t="inlineStr">
        <is>
          <t>VÄRMLANDS LÄN</t>
        </is>
      </c>
      <c r="E552" t="inlineStr">
        <is>
          <t>ARVIKA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55791-2021</t>
        </is>
      </c>
      <c r="B553" s="1" t="n">
        <v>44476</v>
      </c>
      <c r="C553" s="1" t="n">
        <v>45729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55902-2021</t>
        </is>
      </c>
      <c r="B554" s="1" t="n">
        <v>44476</v>
      </c>
      <c r="C554" s="1" t="n">
        <v>45729</v>
      </c>
      <c r="D554" t="inlineStr">
        <is>
          <t>VÄRMLANDS LÄN</t>
        </is>
      </c>
      <c r="E554" t="inlineStr">
        <is>
          <t>ARVIKA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58152-2021</t>
        </is>
      </c>
      <c r="B555" s="1" t="n">
        <v>44487</v>
      </c>
      <c r="C555" s="1" t="n">
        <v>45729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58288-2021</t>
        </is>
      </c>
      <c r="B556" s="1" t="n">
        <v>44488</v>
      </c>
      <c r="C556" s="1" t="n">
        <v>45729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59195-2021</t>
        </is>
      </c>
      <c r="B557" s="1" t="n">
        <v>44490</v>
      </c>
      <c r="C557" s="1" t="n">
        <v>45729</v>
      </c>
      <c r="D557" t="inlineStr">
        <is>
          <t>VÄRMLANDS LÄN</t>
        </is>
      </c>
      <c r="E557" t="inlineStr">
        <is>
          <t>ARVIKA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59886-2021</t>
        </is>
      </c>
      <c r="B558" s="1" t="n">
        <v>44493</v>
      </c>
      <c r="C558" s="1" t="n">
        <v>45729</v>
      </c>
      <c r="D558" t="inlineStr">
        <is>
          <t>VÄRMLANDS LÄN</t>
        </is>
      </c>
      <c r="E558" t="inlineStr">
        <is>
          <t>ARVIKA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60183-2021</t>
        </is>
      </c>
      <c r="B559" s="1" t="n">
        <v>44495</v>
      </c>
      <c r="C559" s="1" t="n">
        <v>45729</v>
      </c>
      <c r="D559" t="inlineStr">
        <is>
          <t>VÄRMLANDS LÄN</t>
        </is>
      </c>
      <c r="E559" t="inlineStr">
        <is>
          <t>ARVIKA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60508-2021</t>
        </is>
      </c>
      <c r="B560" s="1" t="n">
        <v>44496</v>
      </c>
      <c r="C560" s="1" t="n">
        <v>45729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60502-2021</t>
        </is>
      </c>
      <c r="B561" s="1" t="n">
        <v>44496</v>
      </c>
      <c r="C561" s="1" t="n">
        <v>45729</v>
      </c>
      <c r="D561" t="inlineStr">
        <is>
          <t>VÄRMLANDS LÄN</t>
        </is>
      </c>
      <c r="E561" t="inlineStr">
        <is>
          <t>ARVIKA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60842-2021</t>
        </is>
      </c>
      <c r="B562" s="1" t="n">
        <v>44496</v>
      </c>
      <c r="C562" s="1" t="n">
        <v>45729</v>
      </c>
      <c r="D562" t="inlineStr">
        <is>
          <t>VÄRMLANDS LÄN</t>
        </is>
      </c>
      <c r="E562" t="inlineStr">
        <is>
          <t>ARVIKA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63627-2021</t>
        </is>
      </c>
      <c r="B563" s="1" t="n">
        <v>44496</v>
      </c>
      <c r="C563" s="1" t="n">
        <v>45729</v>
      </c>
      <c r="D563" t="inlineStr">
        <is>
          <t>VÄRMLANDS LÄN</t>
        </is>
      </c>
      <c r="E563" t="inlineStr">
        <is>
          <t>ARVIKA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60942-2021</t>
        </is>
      </c>
      <c r="B564" s="1" t="n">
        <v>44497</v>
      </c>
      <c r="C564" s="1" t="n">
        <v>45729</v>
      </c>
      <c r="D564" t="inlineStr">
        <is>
          <t>VÄRMLANDS LÄN</t>
        </is>
      </c>
      <c r="E564" t="inlineStr">
        <is>
          <t>ARVIKA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61520-2021</t>
        </is>
      </c>
      <c r="B565" s="1" t="n">
        <v>44501</v>
      </c>
      <c r="C565" s="1" t="n">
        <v>45729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61663-2021</t>
        </is>
      </c>
      <c r="B566" s="1" t="n">
        <v>44501</v>
      </c>
      <c r="C566" s="1" t="n">
        <v>45729</v>
      </c>
      <c r="D566" t="inlineStr">
        <is>
          <t>VÄRMLANDS LÄN</t>
        </is>
      </c>
      <c r="E566" t="inlineStr">
        <is>
          <t>ARVIKA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61835-2021</t>
        </is>
      </c>
      <c r="B567" s="1" t="n">
        <v>44501</v>
      </c>
      <c r="C567" s="1" t="n">
        <v>45729</v>
      </c>
      <c r="D567" t="inlineStr">
        <is>
          <t>VÄRMLANDS LÄN</t>
        </is>
      </c>
      <c r="E567" t="inlineStr">
        <is>
          <t>ARVIKA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61834-2021</t>
        </is>
      </c>
      <c r="B568" s="1" t="n">
        <v>44501</v>
      </c>
      <c r="C568" s="1" t="n">
        <v>45729</v>
      </c>
      <c r="D568" t="inlineStr">
        <is>
          <t>VÄRMLANDS LÄN</t>
        </is>
      </c>
      <c r="E568" t="inlineStr">
        <is>
          <t>ARVIKA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62603-2021</t>
        </is>
      </c>
      <c r="B569" s="1" t="n">
        <v>44503</v>
      </c>
      <c r="C569" s="1" t="n">
        <v>45729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63828-2021</t>
        </is>
      </c>
      <c r="B570" s="1" t="n">
        <v>44508</v>
      </c>
      <c r="C570" s="1" t="n">
        <v>45729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63847-2021</t>
        </is>
      </c>
      <c r="B571" s="1" t="n">
        <v>44508</v>
      </c>
      <c r="C571" s="1" t="n">
        <v>45729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64331-2021</t>
        </is>
      </c>
      <c r="B572" s="1" t="n">
        <v>44510</v>
      </c>
      <c r="C572" s="1" t="n">
        <v>45729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64333-2021</t>
        </is>
      </c>
      <c r="B573" s="1" t="n">
        <v>44510</v>
      </c>
      <c r="C573" s="1" t="n">
        <v>45729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64585-2021</t>
        </is>
      </c>
      <c r="B574" s="1" t="n">
        <v>44511</v>
      </c>
      <c r="C574" s="1" t="n">
        <v>45729</v>
      </c>
      <c r="D574" t="inlineStr">
        <is>
          <t>VÄRMLANDS LÄN</t>
        </is>
      </c>
      <c r="E574" t="inlineStr">
        <is>
          <t>ARVIKA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64576-2021</t>
        </is>
      </c>
      <c r="B575" s="1" t="n">
        <v>44511</v>
      </c>
      <c r="C575" s="1" t="n">
        <v>45729</v>
      </c>
      <c r="D575" t="inlineStr">
        <is>
          <t>VÄRMLANDS LÄN</t>
        </is>
      </c>
      <c r="E575" t="inlineStr">
        <is>
          <t>ARVIKA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64589-2021</t>
        </is>
      </c>
      <c r="B576" s="1" t="n">
        <v>44511</v>
      </c>
      <c r="C576" s="1" t="n">
        <v>45729</v>
      </c>
      <c r="D576" t="inlineStr">
        <is>
          <t>VÄRMLANDS LÄN</t>
        </is>
      </c>
      <c r="E576" t="inlineStr">
        <is>
          <t>ARVIKA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64578-2021</t>
        </is>
      </c>
      <c r="B577" s="1" t="n">
        <v>44511</v>
      </c>
      <c r="C577" s="1" t="n">
        <v>45729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64587-2021</t>
        </is>
      </c>
      <c r="B578" s="1" t="n">
        <v>44511</v>
      </c>
      <c r="C578" s="1" t="n">
        <v>45729</v>
      </c>
      <c r="D578" t="inlineStr">
        <is>
          <t>VÄRMLANDS LÄN</t>
        </is>
      </c>
      <c r="E578" t="inlineStr">
        <is>
          <t>ARVIKA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64664-2021</t>
        </is>
      </c>
      <c r="B579" s="1" t="n">
        <v>44512</v>
      </c>
      <c r="C579" s="1" t="n">
        <v>45729</v>
      </c>
      <c r="D579" t="inlineStr">
        <is>
          <t>VÄRMLANDS LÄN</t>
        </is>
      </c>
      <c r="E579" t="inlineStr">
        <is>
          <t>ARVIKA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65102-2021</t>
        </is>
      </c>
      <c r="B580" s="1" t="n">
        <v>44514</v>
      </c>
      <c r="C580" s="1" t="n">
        <v>45729</v>
      </c>
      <c r="D580" t="inlineStr">
        <is>
          <t>VÄRMLANDS LÄN</t>
        </is>
      </c>
      <c r="E580" t="inlineStr">
        <is>
          <t>ARVIKA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65208-2021</t>
        </is>
      </c>
      <c r="B581" s="1" t="n">
        <v>44515</v>
      </c>
      <c r="C581" s="1" t="n">
        <v>45729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65284-2021</t>
        </is>
      </c>
      <c r="B582" s="1" t="n">
        <v>44515</v>
      </c>
      <c r="C582" s="1" t="n">
        <v>45729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65358-2021</t>
        </is>
      </c>
      <c r="B583" s="1" t="n">
        <v>44515</v>
      </c>
      <c r="C583" s="1" t="n">
        <v>45729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65357-2021</t>
        </is>
      </c>
      <c r="B584" s="1" t="n">
        <v>44515</v>
      </c>
      <c r="C584" s="1" t="n">
        <v>45729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65950-2021</t>
        </is>
      </c>
      <c r="B585" s="1" t="n">
        <v>44517</v>
      </c>
      <c r="C585" s="1" t="n">
        <v>45729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66226-2021</t>
        </is>
      </c>
      <c r="B586" s="1" t="n">
        <v>44518</v>
      </c>
      <c r="C586" s="1" t="n">
        <v>45729</v>
      </c>
      <c r="D586" t="inlineStr">
        <is>
          <t>VÄRMLANDS LÄN</t>
        </is>
      </c>
      <c r="E586" t="inlineStr">
        <is>
          <t>ARVIKA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66553-2021</t>
        </is>
      </c>
      <c r="B587" s="1" t="n">
        <v>44519</v>
      </c>
      <c r="C587" s="1" t="n">
        <v>45729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66667-2021</t>
        </is>
      </c>
      <c r="B588" s="1" t="n">
        <v>44519</v>
      </c>
      <c r="C588" s="1" t="n">
        <v>45729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67196-2021</t>
        </is>
      </c>
      <c r="B589" s="1" t="n">
        <v>44523</v>
      </c>
      <c r="C589" s="1" t="n">
        <v>45729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67654-2021</t>
        </is>
      </c>
      <c r="B590" s="1" t="n">
        <v>44524</v>
      </c>
      <c r="C590" s="1" t="n">
        <v>45729</v>
      </c>
      <c r="D590" t="inlineStr">
        <is>
          <t>VÄRMLANDS LÄN</t>
        </is>
      </c>
      <c r="E590" t="inlineStr">
        <is>
          <t>ARVIKA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67811-2021</t>
        </is>
      </c>
      <c r="B591" s="1" t="n">
        <v>44525</v>
      </c>
      <c r="C591" s="1" t="n">
        <v>45729</v>
      </c>
      <c r="D591" t="inlineStr">
        <is>
          <t>VÄRMLANDS LÄN</t>
        </is>
      </c>
      <c r="E591" t="inlineStr">
        <is>
          <t>ARVIKA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68572-2021</t>
        </is>
      </c>
      <c r="B592" s="1" t="n">
        <v>44529</v>
      </c>
      <c r="C592" s="1" t="n">
        <v>45729</v>
      </c>
      <c r="D592" t="inlineStr">
        <is>
          <t>VÄRMLANDS LÄN</t>
        </is>
      </c>
      <c r="E592" t="inlineStr">
        <is>
          <t>ARVIKA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68919-2021</t>
        </is>
      </c>
      <c r="B593" s="1" t="n">
        <v>44530</v>
      </c>
      <c r="C593" s="1" t="n">
        <v>45729</v>
      </c>
      <c r="D593" t="inlineStr">
        <is>
          <t>VÄRMLANDS LÄN</t>
        </is>
      </c>
      <c r="E593" t="inlineStr">
        <is>
          <t>ARVIKA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69340-2021</t>
        </is>
      </c>
      <c r="B594" s="1" t="n">
        <v>44531</v>
      </c>
      <c r="C594" s="1" t="n">
        <v>45729</v>
      </c>
      <c r="D594" t="inlineStr">
        <is>
          <t>VÄRMLANDS LÄN</t>
        </is>
      </c>
      <c r="E594" t="inlineStr">
        <is>
          <t>ARVIKA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69354-2021</t>
        </is>
      </c>
      <c r="B595" s="1" t="n">
        <v>44531</v>
      </c>
      <c r="C595" s="1" t="n">
        <v>45729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69399-2021</t>
        </is>
      </c>
      <c r="B596" s="1" t="n">
        <v>44531</v>
      </c>
      <c r="C596" s="1" t="n">
        <v>45729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69529-2021</t>
        </is>
      </c>
      <c r="B597" s="1" t="n">
        <v>44531</v>
      </c>
      <c r="C597" s="1" t="n">
        <v>45729</v>
      </c>
      <c r="D597" t="inlineStr">
        <is>
          <t>VÄRMLANDS LÄN</t>
        </is>
      </c>
      <c r="E597" t="inlineStr">
        <is>
          <t>ARVIKA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69719-2021</t>
        </is>
      </c>
      <c r="B598" s="1" t="n">
        <v>44532</v>
      </c>
      <c r="C598" s="1" t="n">
        <v>45729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70381-2021</t>
        </is>
      </c>
      <c r="B599" s="1" t="n">
        <v>44536</v>
      </c>
      <c r="C599" s="1" t="n">
        <v>45729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70453-2021</t>
        </is>
      </c>
      <c r="B600" s="1" t="n">
        <v>44536</v>
      </c>
      <c r="C600" s="1" t="n">
        <v>45729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70562-2021</t>
        </is>
      </c>
      <c r="B601" s="1" t="n">
        <v>44537</v>
      </c>
      <c r="C601" s="1" t="n">
        <v>45729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71193-2021</t>
        </is>
      </c>
      <c r="B602" s="1" t="n">
        <v>44539</v>
      </c>
      <c r="C602" s="1" t="n">
        <v>45729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71130-2021</t>
        </is>
      </c>
      <c r="B603" s="1" t="n">
        <v>44539</v>
      </c>
      <c r="C603" s="1" t="n">
        <v>45729</v>
      </c>
      <c r="D603" t="inlineStr">
        <is>
          <t>VÄRMLANDS LÄN</t>
        </is>
      </c>
      <c r="E603" t="inlineStr">
        <is>
          <t>ARVIKA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71179-2021</t>
        </is>
      </c>
      <c r="B604" s="1" t="n">
        <v>44539</v>
      </c>
      <c r="C604" s="1" t="n">
        <v>45729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71399-2021</t>
        </is>
      </c>
      <c r="B605" s="1" t="n">
        <v>44540</v>
      </c>
      <c r="C605" s="1" t="n">
        <v>45729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71778-2021</t>
        </is>
      </c>
      <c r="B606" s="1" t="n">
        <v>44543</v>
      </c>
      <c r="C606" s="1" t="n">
        <v>45729</v>
      </c>
      <c r="D606" t="inlineStr">
        <is>
          <t>VÄRMLANDS LÄN</t>
        </is>
      </c>
      <c r="E606" t="inlineStr">
        <is>
          <t>ARVIKA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71886-2021</t>
        </is>
      </c>
      <c r="B607" s="1" t="n">
        <v>44543</v>
      </c>
      <c r="C607" s="1" t="n">
        <v>45729</v>
      </c>
      <c r="D607" t="inlineStr">
        <is>
          <t>VÄRMLANDS LÄN</t>
        </is>
      </c>
      <c r="E607" t="inlineStr">
        <is>
          <t>ARVIKA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72517-2021</t>
        </is>
      </c>
      <c r="B608" s="1" t="n">
        <v>44546</v>
      </c>
      <c r="C608" s="1" t="n">
        <v>45729</v>
      </c>
      <c r="D608" t="inlineStr">
        <is>
          <t>VÄRMLANDS LÄN</t>
        </is>
      </c>
      <c r="E608" t="inlineStr">
        <is>
          <t>ARVIKA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72662-2021</t>
        </is>
      </c>
      <c r="B609" s="1" t="n">
        <v>44546</v>
      </c>
      <c r="C609" s="1" t="n">
        <v>45729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72976-2021</t>
        </is>
      </c>
      <c r="B610" s="1" t="n">
        <v>44548</v>
      </c>
      <c r="C610" s="1" t="n">
        <v>45729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73030-2021</t>
        </is>
      </c>
      <c r="B611" s="1" t="n">
        <v>44550</v>
      </c>
      <c r="C611" s="1" t="n">
        <v>45729</v>
      </c>
      <c r="D611" t="inlineStr">
        <is>
          <t>VÄRMLANDS LÄN</t>
        </is>
      </c>
      <c r="E611" t="inlineStr">
        <is>
          <t>ARVIKA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73208-2021</t>
        </is>
      </c>
      <c r="B612" s="1" t="n">
        <v>44550</v>
      </c>
      <c r="C612" s="1" t="n">
        <v>45729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73805-2021</t>
        </is>
      </c>
      <c r="B613" s="1" t="n">
        <v>44552</v>
      </c>
      <c r="C613" s="1" t="n">
        <v>45729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73936-2021</t>
        </is>
      </c>
      <c r="B614" s="1" t="n">
        <v>44552</v>
      </c>
      <c r="C614" s="1" t="n">
        <v>45729</v>
      </c>
      <c r="D614" t="inlineStr">
        <is>
          <t>VÄRMLANDS LÄN</t>
        </is>
      </c>
      <c r="E614" t="inlineStr">
        <is>
          <t>ARVIKA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74004-2021</t>
        </is>
      </c>
      <c r="B615" s="1" t="n">
        <v>44557</v>
      </c>
      <c r="C615" s="1" t="n">
        <v>45729</v>
      </c>
      <c r="D615" t="inlineStr">
        <is>
          <t>VÄRMLANDS LÄN</t>
        </is>
      </c>
      <c r="E615" t="inlineStr">
        <is>
          <t>ARVIKA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74129-2021</t>
        </is>
      </c>
      <c r="B616" s="1" t="n">
        <v>44557</v>
      </c>
      <c r="C616" s="1" t="n">
        <v>45729</v>
      </c>
      <c r="D616" t="inlineStr">
        <is>
          <t>VÄRMLANDS LÄN</t>
        </is>
      </c>
      <c r="E616" t="inlineStr">
        <is>
          <t>ARVIKA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74216-2021</t>
        </is>
      </c>
      <c r="B617" s="1" t="n">
        <v>44558</v>
      </c>
      <c r="C617" s="1" t="n">
        <v>45729</v>
      </c>
      <c r="D617" t="inlineStr">
        <is>
          <t>VÄRMLANDS LÄN</t>
        </is>
      </c>
      <c r="E617" t="inlineStr">
        <is>
          <t>ARVIKA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74221-2021</t>
        </is>
      </c>
      <c r="B618" s="1" t="n">
        <v>44558</v>
      </c>
      <c r="C618" s="1" t="n">
        <v>45729</v>
      </c>
      <c r="D618" t="inlineStr">
        <is>
          <t>VÄRMLANDS LÄN</t>
        </is>
      </c>
      <c r="E618" t="inlineStr">
        <is>
          <t>ARVIKA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74218-2021</t>
        </is>
      </c>
      <c r="B619" s="1" t="n">
        <v>44558</v>
      </c>
      <c r="C619" s="1" t="n">
        <v>45729</v>
      </c>
      <c r="D619" t="inlineStr">
        <is>
          <t>VÄRMLANDS LÄN</t>
        </is>
      </c>
      <c r="E619" t="inlineStr">
        <is>
          <t>ARVIKA</t>
        </is>
      </c>
      <c r="G619" t="n">
        <v>10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74271-2021</t>
        </is>
      </c>
      <c r="B620" s="1" t="n">
        <v>44558</v>
      </c>
      <c r="C620" s="1" t="n">
        <v>45729</v>
      </c>
      <c r="D620" t="inlineStr">
        <is>
          <t>VÄRMLANDS LÄN</t>
        </is>
      </c>
      <c r="E620" t="inlineStr">
        <is>
          <t>ARVIKA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74331-2021</t>
        </is>
      </c>
      <c r="B621" s="1" t="n">
        <v>44559</v>
      </c>
      <c r="C621" s="1" t="n">
        <v>45729</v>
      </c>
      <c r="D621" t="inlineStr">
        <is>
          <t>VÄRMLANDS LÄN</t>
        </is>
      </c>
      <c r="E621" t="inlineStr">
        <is>
          <t>ARVIKA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74300-2021</t>
        </is>
      </c>
      <c r="B622" s="1" t="n">
        <v>44559</v>
      </c>
      <c r="C622" s="1" t="n">
        <v>45729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74330-2021</t>
        </is>
      </c>
      <c r="B623" s="1" t="n">
        <v>44559</v>
      </c>
      <c r="C623" s="1" t="n">
        <v>45729</v>
      </c>
      <c r="D623" t="inlineStr">
        <is>
          <t>VÄRMLANDS LÄN</t>
        </is>
      </c>
      <c r="E623" t="inlineStr">
        <is>
          <t>ARVIKA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203-2022</t>
        </is>
      </c>
      <c r="B624" s="1" t="n">
        <v>44563</v>
      </c>
      <c r="C624" s="1" t="n">
        <v>45729</v>
      </c>
      <c r="D624" t="inlineStr">
        <is>
          <t>VÄRMLANDS LÄN</t>
        </is>
      </c>
      <c r="E624" t="inlineStr">
        <is>
          <t>ARVIKA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735-2022</t>
        </is>
      </c>
      <c r="B625" s="1" t="n">
        <v>44568</v>
      </c>
      <c r="C625" s="1" t="n">
        <v>45729</v>
      </c>
      <c r="D625" t="inlineStr">
        <is>
          <t>VÄRMLANDS LÄN</t>
        </is>
      </c>
      <c r="E625" t="inlineStr">
        <is>
          <t>ARVIKA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719-2022</t>
        </is>
      </c>
      <c r="B626" s="1" t="n">
        <v>44568</v>
      </c>
      <c r="C626" s="1" t="n">
        <v>45729</v>
      </c>
      <c r="D626" t="inlineStr">
        <is>
          <t>VÄRMLANDS LÄN</t>
        </is>
      </c>
      <c r="E626" t="inlineStr">
        <is>
          <t>ARVIKA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1212-2022</t>
        </is>
      </c>
      <c r="B627" s="1" t="n">
        <v>44572</v>
      </c>
      <c r="C627" s="1" t="n">
        <v>45729</v>
      </c>
      <c r="D627" t="inlineStr">
        <is>
          <t>VÄRMLANDS LÄN</t>
        </is>
      </c>
      <c r="E627" t="inlineStr">
        <is>
          <t>ARVIKA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1329-2022</t>
        </is>
      </c>
      <c r="B628" s="1" t="n">
        <v>44572</v>
      </c>
      <c r="C628" s="1" t="n">
        <v>45729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1453-2022</t>
        </is>
      </c>
      <c r="B629" s="1" t="n">
        <v>44573</v>
      </c>
      <c r="C629" s="1" t="n">
        <v>45729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1504-2022</t>
        </is>
      </c>
      <c r="B630" s="1" t="n">
        <v>44573</v>
      </c>
      <c r="C630" s="1" t="n">
        <v>45729</v>
      </c>
      <c r="D630" t="inlineStr">
        <is>
          <t>VÄRMLANDS LÄN</t>
        </is>
      </c>
      <c r="E630" t="inlineStr">
        <is>
          <t>ARVIKA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1674-2022</t>
        </is>
      </c>
      <c r="B631" s="1" t="n">
        <v>44574</v>
      </c>
      <c r="C631" s="1" t="n">
        <v>45729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1723-2022</t>
        </is>
      </c>
      <c r="B632" s="1" t="n">
        <v>44574</v>
      </c>
      <c r="C632" s="1" t="n">
        <v>45729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1737-2022</t>
        </is>
      </c>
      <c r="B633" s="1" t="n">
        <v>44574</v>
      </c>
      <c r="C633" s="1" t="n">
        <v>45729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2214-2022</t>
        </is>
      </c>
      <c r="B634" s="1" t="n">
        <v>44578</v>
      </c>
      <c r="C634" s="1" t="n">
        <v>45729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2653-2022</t>
        </is>
      </c>
      <c r="B635" s="1" t="n">
        <v>44580</v>
      </c>
      <c r="C635" s="1" t="n">
        <v>45729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3355-2022</t>
        </is>
      </c>
      <c r="B636" s="1" t="n">
        <v>44585</v>
      </c>
      <c r="C636" s="1" t="n">
        <v>45729</v>
      </c>
      <c r="D636" t="inlineStr">
        <is>
          <t>VÄRMLANDS LÄN</t>
        </is>
      </c>
      <c r="E636" t="inlineStr">
        <is>
          <t>ARVIKA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3319-2022</t>
        </is>
      </c>
      <c r="B637" s="1" t="n">
        <v>44585</v>
      </c>
      <c r="C637" s="1" t="n">
        <v>45729</v>
      </c>
      <c r="D637" t="inlineStr">
        <is>
          <t>VÄRMLANDS LÄN</t>
        </is>
      </c>
      <c r="E637" t="inlineStr">
        <is>
          <t>ARVIKA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3443-2022</t>
        </is>
      </c>
      <c r="B638" s="1" t="n">
        <v>44585</v>
      </c>
      <c r="C638" s="1" t="n">
        <v>45729</v>
      </c>
      <c r="D638" t="inlineStr">
        <is>
          <t>VÄRMLANDS LÄN</t>
        </is>
      </c>
      <c r="E638" t="inlineStr">
        <is>
          <t>ARVIKA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3643-2022</t>
        </is>
      </c>
      <c r="B639" s="1" t="n">
        <v>44586</v>
      </c>
      <c r="C639" s="1" t="n">
        <v>45729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4075-2022</t>
        </is>
      </c>
      <c r="B640" s="1" t="n">
        <v>44588</v>
      </c>
      <c r="C640" s="1" t="n">
        <v>45729</v>
      </c>
      <c r="D640" t="inlineStr">
        <is>
          <t>VÄRMLANDS LÄN</t>
        </is>
      </c>
      <c r="E640" t="inlineStr">
        <is>
          <t>ARVIKA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4090-2022</t>
        </is>
      </c>
      <c r="B641" s="1" t="n">
        <v>44588</v>
      </c>
      <c r="C641" s="1" t="n">
        <v>45729</v>
      </c>
      <c r="D641" t="inlineStr">
        <is>
          <t>VÄRMLANDS LÄN</t>
        </is>
      </c>
      <c r="E641" t="inlineStr">
        <is>
          <t>ARVIKA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4049-2022</t>
        </is>
      </c>
      <c r="B642" s="1" t="n">
        <v>44588</v>
      </c>
      <c r="C642" s="1" t="n">
        <v>45729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4299-2022</t>
        </is>
      </c>
      <c r="B643" s="1" t="n">
        <v>44588</v>
      </c>
      <c r="C643" s="1" t="n">
        <v>45729</v>
      </c>
      <c r="D643" t="inlineStr">
        <is>
          <t>VÄRMLANDS LÄN</t>
        </is>
      </c>
      <c r="E643" t="inlineStr">
        <is>
          <t>ARVIKA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4439-2022</t>
        </is>
      </c>
      <c r="B644" s="1" t="n">
        <v>44589</v>
      </c>
      <c r="C644" s="1" t="n">
        <v>45729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4506-2022</t>
        </is>
      </c>
      <c r="B645" s="1" t="n">
        <v>44589</v>
      </c>
      <c r="C645" s="1" t="n">
        <v>45729</v>
      </c>
      <c r="D645" t="inlineStr">
        <is>
          <t>VÄRMLANDS LÄN</t>
        </is>
      </c>
      <c r="E645" t="inlineStr">
        <is>
          <t>ARVIKA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4556-2022</t>
        </is>
      </c>
      <c r="B646" s="1" t="n">
        <v>44591</v>
      </c>
      <c r="C646" s="1" t="n">
        <v>45729</v>
      </c>
      <c r="D646" t="inlineStr">
        <is>
          <t>VÄRMLANDS LÄN</t>
        </is>
      </c>
      <c r="E646" t="inlineStr">
        <is>
          <t>ARVIKA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4751-2022</t>
        </is>
      </c>
      <c r="B647" s="1" t="n">
        <v>44592</v>
      </c>
      <c r="C647" s="1" t="n">
        <v>45729</v>
      </c>
      <c r="D647" t="inlineStr">
        <is>
          <t>VÄRMLANDS LÄN</t>
        </is>
      </c>
      <c r="E647" t="inlineStr">
        <is>
          <t>ARVIKA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4740-2022</t>
        </is>
      </c>
      <c r="B648" s="1" t="n">
        <v>44592</v>
      </c>
      <c r="C648" s="1" t="n">
        <v>45729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4803-2022</t>
        </is>
      </c>
      <c r="B649" s="1" t="n">
        <v>44592</v>
      </c>
      <c r="C649" s="1" t="n">
        <v>45729</v>
      </c>
      <c r="D649" t="inlineStr">
        <is>
          <t>VÄRMLANDS LÄN</t>
        </is>
      </c>
      <c r="E649" t="inlineStr">
        <is>
          <t>ARVIKA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5440-2022</t>
        </is>
      </c>
      <c r="B650" s="1" t="n">
        <v>44594</v>
      </c>
      <c r="C650" s="1" t="n">
        <v>45729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5417-2022</t>
        </is>
      </c>
      <c r="B651" s="1" t="n">
        <v>44594</v>
      </c>
      <c r="C651" s="1" t="n">
        <v>45729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5483-2022</t>
        </is>
      </c>
      <c r="B652" s="1" t="n">
        <v>44595</v>
      </c>
      <c r="C652" s="1" t="n">
        <v>45729</v>
      </c>
      <c r="D652" t="inlineStr">
        <is>
          <t>VÄRMLANDS LÄN</t>
        </is>
      </c>
      <c r="E652" t="inlineStr">
        <is>
          <t>ARVIKA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5756-2022</t>
        </is>
      </c>
      <c r="B653" s="1" t="n">
        <v>44596</v>
      </c>
      <c r="C653" s="1" t="n">
        <v>45729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5782-2022</t>
        </is>
      </c>
      <c r="B654" s="1" t="n">
        <v>44596</v>
      </c>
      <c r="C654" s="1" t="n">
        <v>45729</v>
      </c>
      <c r="D654" t="inlineStr">
        <is>
          <t>VÄRMLANDS LÄN</t>
        </is>
      </c>
      <c r="E654" t="inlineStr">
        <is>
          <t>ARVIKA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7007-2022</t>
        </is>
      </c>
      <c r="B655" s="1" t="n">
        <v>44603</v>
      </c>
      <c r="C655" s="1" t="n">
        <v>45729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7144-2022</t>
        </is>
      </c>
      <c r="B656" s="1" t="n">
        <v>44603</v>
      </c>
      <c r="C656" s="1" t="n">
        <v>45729</v>
      </c>
      <c r="D656" t="inlineStr">
        <is>
          <t>VÄRMLANDS LÄN</t>
        </is>
      </c>
      <c r="E656" t="inlineStr">
        <is>
          <t>ARVIKA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7313-2022</t>
        </is>
      </c>
      <c r="B657" s="1" t="n">
        <v>44606</v>
      </c>
      <c r="C657" s="1" t="n">
        <v>45729</v>
      </c>
      <c r="D657" t="inlineStr">
        <is>
          <t>VÄRMLANDS LÄN</t>
        </is>
      </c>
      <c r="E657" t="inlineStr">
        <is>
          <t>ARVIKA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7379-2022</t>
        </is>
      </c>
      <c r="B658" s="1" t="n">
        <v>44606</v>
      </c>
      <c r="C658" s="1" t="n">
        <v>45729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8207-2022</t>
        </is>
      </c>
      <c r="B659" s="1" t="n">
        <v>44609</v>
      </c>
      <c r="C659" s="1" t="n">
        <v>45729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8614-2022</t>
        </is>
      </c>
      <c r="B660" s="1" t="n">
        <v>44613</v>
      </c>
      <c r="C660" s="1" t="n">
        <v>45729</v>
      </c>
      <c r="D660" t="inlineStr">
        <is>
          <t>VÄRMLANDS LÄN</t>
        </is>
      </c>
      <c r="E660" t="inlineStr">
        <is>
          <t>ARVIKA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8578-2022</t>
        </is>
      </c>
      <c r="B661" s="1" t="n">
        <v>44613</v>
      </c>
      <c r="C661" s="1" t="n">
        <v>45729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8634-2022</t>
        </is>
      </c>
      <c r="B662" s="1" t="n">
        <v>44613</v>
      </c>
      <c r="C662" s="1" t="n">
        <v>45729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9080-2022</t>
        </is>
      </c>
      <c r="B663" s="1" t="n">
        <v>44615</v>
      </c>
      <c r="C663" s="1" t="n">
        <v>45729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9122-2022</t>
        </is>
      </c>
      <c r="B664" s="1" t="n">
        <v>44615</v>
      </c>
      <c r="C664" s="1" t="n">
        <v>45729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9236-2022</t>
        </is>
      </c>
      <c r="B665" s="1" t="n">
        <v>44616</v>
      </c>
      <c r="C665" s="1" t="n">
        <v>45729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9266-2022</t>
        </is>
      </c>
      <c r="B666" s="1" t="n">
        <v>44616</v>
      </c>
      <c r="C666" s="1" t="n">
        <v>45729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9321-2022</t>
        </is>
      </c>
      <c r="B667" s="1" t="n">
        <v>44616</v>
      </c>
      <c r="C667" s="1" t="n">
        <v>45729</v>
      </c>
      <c r="D667" t="inlineStr">
        <is>
          <t>VÄRMLANDS LÄN</t>
        </is>
      </c>
      <c r="E667" t="inlineStr">
        <is>
          <t>ARVIKA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9358-2022</t>
        </is>
      </c>
      <c r="B668" s="1" t="n">
        <v>44616</v>
      </c>
      <c r="C668" s="1" t="n">
        <v>45729</v>
      </c>
      <c r="D668" t="inlineStr">
        <is>
          <t>VÄRMLANDS LÄN</t>
        </is>
      </c>
      <c r="E668" t="inlineStr">
        <is>
          <t>ARVIKA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9319-2022</t>
        </is>
      </c>
      <c r="B669" s="1" t="n">
        <v>44616</v>
      </c>
      <c r="C669" s="1" t="n">
        <v>45729</v>
      </c>
      <c r="D669" t="inlineStr">
        <is>
          <t>VÄRMLANDS LÄN</t>
        </is>
      </c>
      <c r="E669" t="inlineStr">
        <is>
          <t>ARVIKA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9374-2022</t>
        </is>
      </c>
      <c r="B670" s="1" t="n">
        <v>44616</v>
      </c>
      <c r="C670" s="1" t="n">
        <v>45729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9615-2022</t>
        </is>
      </c>
      <c r="B671" s="1" t="n">
        <v>44617</v>
      </c>
      <c r="C671" s="1" t="n">
        <v>45729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9657-2022</t>
        </is>
      </c>
      <c r="B672" s="1" t="n">
        <v>44617</v>
      </c>
      <c r="C672" s="1" t="n">
        <v>45729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9672-2022</t>
        </is>
      </c>
      <c r="B673" s="1" t="n">
        <v>44617</v>
      </c>
      <c r="C673" s="1" t="n">
        <v>45729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9855-2022</t>
        </is>
      </c>
      <c r="B674" s="1" t="n">
        <v>44620</v>
      </c>
      <c r="C674" s="1" t="n">
        <v>45729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9857-2022</t>
        </is>
      </c>
      <c r="B675" s="1" t="n">
        <v>44620</v>
      </c>
      <c r="C675" s="1" t="n">
        <v>45729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9805-2022</t>
        </is>
      </c>
      <c r="B676" s="1" t="n">
        <v>44620</v>
      </c>
      <c r="C676" s="1" t="n">
        <v>45729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9865-2022</t>
        </is>
      </c>
      <c r="B677" s="1" t="n">
        <v>44620</v>
      </c>
      <c r="C677" s="1" t="n">
        <v>45729</v>
      </c>
      <c r="D677" t="inlineStr">
        <is>
          <t>VÄRMLANDS LÄN</t>
        </is>
      </c>
      <c r="E677" t="inlineStr">
        <is>
          <t>ARVIKA</t>
        </is>
      </c>
      <c r="G677" t="n">
        <v>11.2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10742-2022</t>
        </is>
      </c>
      <c r="B678" s="1" t="n">
        <v>44627</v>
      </c>
      <c r="C678" s="1" t="n">
        <v>45729</v>
      </c>
      <c r="D678" t="inlineStr">
        <is>
          <t>VÄRMLANDS LÄN</t>
        </is>
      </c>
      <c r="E678" t="inlineStr">
        <is>
          <t>ARVIKA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10842-2022</t>
        </is>
      </c>
      <c r="B679" s="1" t="n">
        <v>44627</v>
      </c>
      <c r="C679" s="1" t="n">
        <v>45729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10846-2022</t>
        </is>
      </c>
      <c r="B680" s="1" t="n">
        <v>44627</v>
      </c>
      <c r="C680" s="1" t="n">
        <v>45729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10850-2022</t>
        </is>
      </c>
      <c r="B681" s="1" t="n">
        <v>44627</v>
      </c>
      <c r="C681" s="1" t="n">
        <v>45729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11178-2022</t>
        </is>
      </c>
      <c r="B682" s="1" t="n">
        <v>44629</v>
      </c>
      <c r="C682" s="1" t="n">
        <v>45729</v>
      </c>
      <c r="D682" t="inlineStr">
        <is>
          <t>VÄRMLANDS LÄN</t>
        </is>
      </c>
      <c r="E682" t="inlineStr">
        <is>
          <t>ARVIKA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11523-2022</t>
        </is>
      </c>
      <c r="B683" s="1" t="n">
        <v>44631</v>
      </c>
      <c r="C683" s="1" t="n">
        <v>45729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12700-2022</t>
        </is>
      </c>
      <c r="B684" s="1" t="n">
        <v>44641</v>
      </c>
      <c r="C684" s="1" t="n">
        <v>45729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20.3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12841-2022</t>
        </is>
      </c>
      <c r="B685" s="1" t="n">
        <v>44642</v>
      </c>
      <c r="C685" s="1" t="n">
        <v>45729</v>
      </c>
      <c r="D685" t="inlineStr">
        <is>
          <t>VÄRMLANDS LÄN</t>
        </is>
      </c>
      <c r="E685" t="inlineStr">
        <is>
          <t>ARVIKA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12849-2022</t>
        </is>
      </c>
      <c r="B686" s="1" t="n">
        <v>44642</v>
      </c>
      <c r="C686" s="1" t="n">
        <v>45729</v>
      </c>
      <c r="D686" t="inlineStr">
        <is>
          <t>VÄRMLANDS LÄN</t>
        </is>
      </c>
      <c r="E686" t="inlineStr">
        <is>
          <t>ARVIKA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13399-2022</t>
        </is>
      </c>
      <c r="B687" s="1" t="n">
        <v>44645</v>
      </c>
      <c r="C687" s="1" t="n">
        <v>45729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13579-2022</t>
        </is>
      </c>
      <c r="B688" s="1" t="n">
        <v>44648</v>
      </c>
      <c r="C688" s="1" t="n">
        <v>45729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13514-2022</t>
        </is>
      </c>
      <c r="B689" s="1" t="n">
        <v>44648</v>
      </c>
      <c r="C689" s="1" t="n">
        <v>45729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14615-2022</t>
        </is>
      </c>
      <c r="B690" s="1" t="n">
        <v>44655</v>
      </c>
      <c r="C690" s="1" t="n">
        <v>45729</v>
      </c>
      <c r="D690" t="inlineStr">
        <is>
          <t>VÄRMLANDS LÄN</t>
        </is>
      </c>
      <c r="E690" t="inlineStr">
        <is>
          <t>ARVIKA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14649-2022</t>
        </is>
      </c>
      <c r="B691" s="1" t="n">
        <v>44655</v>
      </c>
      <c r="C691" s="1" t="n">
        <v>45729</v>
      </c>
      <c r="D691" t="inlineStr">
        <is>
          <t>VÄRMLANDS LÄN</t>
        </is>
      </c>
      <c r="E691" t="inlineStr">
        <is>
          <t>ARVIKA</t>
        </is>
      </c>
      <c r="F691" t="inlineStr">
        <is>
          <t>Kommuner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14829-2022</t>
        </is>
      </c>
      <c r="B692" s="1" t="n">
        <v>44656</v>
      </c>
      <c r="C692" s="1" t="n">
        <v>45729</v>
      </c>
      <c r="D692" t="inlineStr">
        <is>
          <t>VÄRMLANDS LÄN</t>
        </is>
      </c>
      <c r="E692" t="inlineStr">
        <is>
          <t>ARVIKA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15314-2022</t>
        </is>
      </c>
      <c r="B693" s="1" t="n">
        <v>44659</v>
      </c>
      <c r="C693" s="1" t="n">
        <v>45729</v>
      </c>
      <c r="D693" t="inlineStr">
        <is>
          <t>VÄRMLANDS LÄN</t>
        </is>
      </c>
      <c r="E693" t="inlineStr">
        <is>
          <t>ARVIKA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15306-2022</t>
        </is>
      </c>
      <c r="B694" s="1" t="n">
        <v>44659</v>
      </c>
      <c r="C694" s="1" t="n">
        <v>45729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15720-2022</t>
        </is>
      </c>
      <c r="B695" s="1" t="n">
        <v>44663</v>
      </c>
      <c r="C695" s="1" t="n">
        <v>45729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15722-2022</t>
        </is>
      </c>
      <c r="B696" s="1" t="n">
        <v>44663</v>
      </c>
      <c r="C696" s="1" t="n">
        <v>45729</v>
      </c>
      <c r="D696" t="inlineStr">
        <is>
          <t>VÄRMLANDS LÄN</t>
        </is>
      </c>
      <c r="E696" t="inlineStr">
        <is>
          <t>ARVIKA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16104-2022</t>
        </is>
      </c>
      <c r="B697" s="1" t="n">
        <v>44665</v>
      </c>
      <c r="C697" s="1" t="n">
        <v>45729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16097-2022</t>
        </is>
      </c>
      <c r="B698" s="1" t="n">
        <v>44665</v>
      </c>
      <c r="C698" s="1" t="n">
        <v>45729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16256-2022</t>
        </is>
      </c>
      <c r="B699" s="1" t="n">
        <v>44669</v>
      </c>
      <c r="C699" s="1" t="n">
        <v>45729</v>
      </c>
      <c r="D699" t="inlineStr">
        <is>
          <t>VÄRMLANDS LÄN</t>
        </is>
      </c>
      <c r="E699" t="inlineStr">
        <is>
          <t>ARVIKA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16251-2022</t>
        </is>
      </c>
      <c r="B700" s="1" t="n">
        <v>44669</v>
      </c>
      <c r="C700" s="1" t="n">
        <v>45729</v>
      </c>
      <c r="D700" t="inlineStr">
        <is>
          <t>VÄRMLANDS LÄN</t>
        </is>
      </c>
      <c r="E700" t="inlineStr">
        <is>
          <t>ARVIKA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16240-2022</t>
        </is>
      </c>
      <c r="B701" s="1" t="n">
        <v>44669</v>
      </c>
      <c r="C701" s="1" t="n">
        <v>45729</v>
      </c>
      <c r="D701" t="inlineStr">
        <is>
          <t>VÄRMLANDS LÄN</t>
        </is>
      </c>
      <c r="E701" t="inlineStr">
        <is>
          <t>ARVIKA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HYPERLINK("https://klasma.github.io/Logging_1784/knärot/A 16240-2022 karta knärot.png", "A 16240-2022")</f>
        <v/>
      </c>
      <c r="V701">
        <f>HYPERLINK("https://klasma.github.io/Logging_1784/klagomål/A 16240-2022 FSC-klagomål.docx", "A 16240-2022")</f>
        <v/>
      </c>
      <c r="W701">
        <f>HYPERLINK("https://klasma.github.io/Logging_1784/klagomålsmail/A 16240-2022 FSC-klagomål mail.docx", "A 16240-2022")</f>
        <v/>
      </c>
      <c r="X701">
        <f>HYPERLINK("https://klasma.github.io/Logging_1784/tillsyn/A 16240-2022 tillsynsbegäran.docx", "A 16240-2022")</f>
        <v/>
      </c>
      <c r="Y701">
        <f>HYPERLINK("https://klasma.github.io/Logging_1784/tillsynsmail/A 16240-2022 tillsynsbegäran mail.docx", "A 16240-2022")</f>
        <v/>
      </c>
    </row>
    <row r="702" ht="15" customHeight="1">
      <c r="A702" t="inlineStr">
        <is>
          <t>A 16259-2022</t>
        </is>
      </c>
      <c r="B702" s="1" t="n">
        <v>44669</v>
      </c>
      <c r="C702" s="1" t="n">
        <v>45729</v>
      </c>
      <c r="D702" t="inlineStr">
        <is>
          <t>VÄRMLANDS LÄN</t>
        </is>
      </c>
      <c r="E702" t="inlineStr">
        <is>
          <t>ARVIKA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16467-2022</t>
        </is>
      </c>
      <c r="B703" s="1" t="n">
        <v>44671</v>
      </c>
      <c r="C703" s="1" t="n">
        <v>45729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16466-2022</t>
        </is>
      </c>
      <c r="B704" s="1" t="n">
        <v>44671</v>
      </c>
      <c r="C704" s="1" t="n">
        <v>45729</v>
      </c>
      <c r="D704" t="inlineStr">
        <is>
          <t>VÄRMLANDS LÄN</t>
        </is>
      </c>
      <c r="E704" t="inlineStr">
        <is>
          <t>ARVIKA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17079-2022</t>
        </is>
      </c>
      <c r="B705" s="1" t="n">
        <v>44677</v>
      </c>
      <c r="C705" s="1" t="n">
        <v>45729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17141-2022</t>
        </is>
      </c>
      <c r="B706" s="1" t="n">
        <v>44677</v>
      </c>
      <c r="C706" s="1" t="n">
        <v>45729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17456-2022</t>
        </is>
      </c>
      <c r="B707" s="1" t="n">
        <v>44679</v>
      </c>
      <c r="C707" s="1" t="n">
        <v>45729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17623-2022</t>
        </is>
      </c>
      <c r="B708" s="1" t="n">
        <v>44680</v>
      </c>
      <c r="C708" s="1" t="n">
        <v>45729</v>
      </c>
      <c r="D708" t="inlineStr">
        <is>
          <t>VÄRMLANDS LÄN</t>
        </is>
      </c>
      <c r="E708" t="inlineStr">
        <is>
          <t>ARVIKA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17663-2022</t>
        </is>
      </c>
      <c r="B709" s="1" t="n">
        <v>44680</v>
      </c>
      <c r="C709" s="1" t="n">
        <v>45729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17801-2022</t>
        </is>
      </c>
      <c r="B710" s="1" t="n">
        <v>44683</v>
      </c>
      <c r="C710" s="1" t="n">
        <v>45729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18875-2022</t>
        </is>
      </c>
      <c r="B711" s="1" t="n">
        <v>44690</v>
      </c>
      <c r="C711" s="1" t="n">
        <v>45729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19137-2022</t>
        </is>
      </c>
      <c r="B712" s="1" t="n">
        <v>44691</v>
      </c>
      <c r="C712" s="1" t="n">
        <v>45729</v>
      </c>
      <c r="D712" t="inlineStr">
        <is>
          <t>VÄRMLANDS LÄN</t>
        </is>
      </c>
      <c r="E712" t="inlineStr">
        <is>
          <t>ARVIKA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19764-2022</t>
        </is>
      </c>
      <c r="B713" s="1" t="n">
        <v>44694</v>
      </c>
      <c r="C713" s="1" t="n">
        <v>45729</v>
      </c>
      <c r="D713" t="inlineStr">
        <is>
          <t>VÄRMLANDS LÄN</t>
        </is>
      </c>
      <c r="E713" t="inlineStr">
        <is>
          <t>ARVIKA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19778-2022</t>
        </is>
      </c>
      <c r="B714" s="1" t="n">
        <v>44694</v>
      </c>
      <c r="C714" s="1" t="n">
        <v>45729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20106-2022</t>
        </is>
      </c>
      <c r="B715" s="1" t="n">
        <v>44697</v>
      </c>
      <c r="C715" s="1" t="n">
        <v>45729</v>
      </c>
      <c r="D715" t="inlineStr">
        <is>
          <t>VÄRMLANDS LÄN</t>
        </is>
      </c>
      <c r="E715" t="inlineStr">
        <is>
          <t>ARVIKA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19889-2022</t>
        </is>
      </c>
      <c r="B716" s="1" t="n">
        <v>44697</v>
      </c>
      <c r="C716" s="1" t="n">
        <v>45729</v>
      </c>
      <c r="D716" t="inlineStr">
        <is>
          <t>VÄRMLANDS LÄN</t>
        </is>
      </c>
      <c r="E716" t="inlineStr">
        <is>
          <t>ARVIKA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20176-2022</t>
        </is>
      </c>
      <c r="B717" s="1" t="n">
        <v>44698</v>
      </c>
      <c r="C717" s="1" t="n">
        <v>45729</v>
      </c>
      <c r="D717" t="inlineStr">
        <is>
          <t>VÄRMLANDS LÄN</t>
        </is>
      </c>
      <c r="E717" t="inlineStr">
        <is>
          <t>ARVIKA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20345-2022</t>
        </is>
      </c>
      <c r="B718" s="1" t="n">
        <v>44699</v>
      </c>
      <c r="C718" s="1" t="n">
        <v>45729</v>
      </c>
      <c r="D718" t="inlineStr">
        <is>
          <t>VÄRMLANDS LÄN</t>
        </is>
      </c>
      <c r="E718" t="inlineStr">
        <is>
          <t>ARVIKA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20348-2022</t>
        </is>
      </c>
      <c r="B719" s="1" t="n">
        <v>44699</v>
      </c>
      <c r="C719" s="1" t="n">
        <v>45729</v>
      </c>
      <c r="D719" t="inlineStr">
        <is>
          <t>VÄRMLANDS LÄN</t>
        </is>
      </c>
      <c r="E719" t="inlineStr">
        <is>
          <t>ARVIKA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21128-2022</t>
        </is>
      </c>
      <c r="B720" s="1" t="n">
        <v>44704</v>
      </c>
      <c r="C720" s="1" t="n">
        <v>45729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21052-2022</t>
        </is>
      </c>
      <c r="B721" s="1" t="n">
        <v>44704</v>
      </c>
      <c r="C721" s="1" t="n">
        <v>45729</v>
      </c>
      <c r="D721" t="inlineStr">
        <is>
          <t>VÄRMLANDS LÄN</t>
        </is>
      </c>
      <c r="E721" t="inlineStr">
        <is>
          <t>ARVIKA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21069-2022</t>
        </is>
      </c>
      <c r="B722" s="1" t="n">
        <v>44704</v>
      </c>
      <c r="C722" s="1" t="n">
        <v>45729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21342-2022</t>
        </is>
      </c>
      <c r="B723" s="1" t="n">
        <v>44705</v>
      </c>
      <c r="C723" s="1" t="n">
        <v>45729</v>
      </c>
      <c r="D723" t="inlineStr">
        <is>
          <t>VÄRMLANDS LÄN</t>
        </is>
      </c>
      <c r="E723" t="inlineStr">
        <is>
          <t>ARVIKA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21348-2022</t>
        </is>
      </c>
      <c r="B724" s="1" t="n">
        <v>44705</v>
      </c>
      <c r="C724" s="1" t="n">
        <v>45729</v>
      </c>
      <c r="D724" t="inlineStr">
        <is>
          <t>VÄRMLANDS LÄN</t>
        </is>
      </c>
      <c r="E724" t="inlineStr">
        <is>
          <t>ARVIKA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21303-2022</t>
        </is>
      </c>
      <c r="B725" s="1" t="n">
        <v>44705</v>
      </c>
      <c r="C725" s="1" t="n">
        <v>45729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21383-2022</t>
        </is>
      </c>
      <c r="B726" s="1" t="n">
        <v>44705</v>
      </c>
      <c r="C726" s="1" t="n">
        <v>45729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21435-2022</t>
        </is>
      </c>
      <c r="B727" s="1" t="n">
        <v>44706</v>
      </c>
      <c r="C727" s="1" t="n">
        <v>45729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21507-2022</t>
        </is>
      </c>
      <c r="B728" s="1" t="n">
        <v>44706</v>
      </c>
      <c r="C728" s="1" t="n">
        <v>45729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21433-2022</t>
        </is>
      </c>
      <c r="B729" s="1" t="n">
        <v>44706</v>
      </c>
      <c r="C729" s="1" t="n">
        <v>45729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21432-2022</t>
        </is>
      </c>
      <c r="B730" s="1" t="n">
        <v>44706</v>
      </c>
      <c r="C730" s="1" t="n">
        <v>45729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21566-2022</t>
        </is>
      </c>
      <c r="B731" s="1" t="n">
        <v>44706</v>
      </c>
      <c r="C731" s="1" t="n">
        <v>45729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21979-2022</t>
        </is>
      </c>
      <c r="B732" s="1" t="n">
        <v>44711</v>
      </c>
      <c r="C732" s="1" t="n">
        <v>45729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21978-2022</t>
        </is>
      </c>
      <c r="B733" s="1" t="n">
        <v>44711</v>
      </c>
      <c r="C733" s="1" t="n">
        <v>45729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22290-2022</t>
        </is>
      </c>
      <c r="B734" s="1" t="n">
        <v>44712</v>
      </c>
      <c r="C734" s="1" t="n">
        <v>45729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22514-2022</t>
        </is>
      </c>
      <c r="B735" s="1" t="n">
        <v>44713</v>
      </c>
      <c r="C735" s="1" t="n">
        <v>45729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22519-2022</t>
        </is>
      </c>
      <c r="B736" s="1" t="n">
        <v>44713</v>
      </c>
      <c r="C736" s="1" t="n">
        <v>45729</v>
      </c>
      <c r="D736" t="inlineStr">
        <is>
          <t>VÄRMLANDS LÄN</t>
        </is>
      </c>
      <c r="E736" t="inlineStr">
        <is>
          <t>ARVIKA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22604-2022</t>
        </is>
      </c>
      <c r="B737" s="1" t="n">
        <v>44714</v>
      </c>
      <c r="C737" s="1" t="n">
        <v>45729</v>
      </c>
      <c r="D737" t="inlineStr">
        <is>
          <t>VÄRMLANDS LÄN</t>
        </is>
      </c>
      <c r="E737" t="inlineStr">
        <is>
          <t>ARVIKA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22600-2022</t>
        </is>
      </c>
      <c r="B738" s="1" t="n">
        <v>44714</v>
      </c>
      <c r="C738" s="1" t="n">
        <v>45729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22951-2022</t>
        </is>
      </c>
      <c r="B739" s="1" t="n">
        <v>44716</v>
      </c>
      <c r="C739" s="1" t="n">
        <v>45729</v>
      </c>
      <c r="D739" t="inlineStr">
        <is>
          <t>VÄRMLANDS LÄN</t>
        </is>
      </c>
      <c r="E739" t="inlineStr">
        <is>
          <t>ARVIKA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23072-2022</t>
        </is>
      </c>
      <c r="B740" s="1" t="n">
        <v>44718</v>
      </c>
      <c r="C740" s="1" t="n">
        <v>45729</v>
      </c>
      <c r="D740" t="inlineStr">
        <is>
          <t>VÄRMLANDS LÄN</t>
        </is>
      </c>
      <c r="E740" t="inlineStr">
        <is>
          <t>ARVIKA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23075-2022</t>
        </is>
      </c>
      <c r="B741" s="1" t="n">
        <v>44718</v>
      </c>
      <c r="C741" s="1" t="n">
        <v>45729</v>
      </c>
      <c r="D741" t="inlineStr">
        <is>
          <t>VÄRMLANDS LÄN</t>
        </is>
      </c>
      <c r="E741" t="inlineStr">
        <is>
          <t>ARVIKA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23061-2022</t>
        </is>
      </c>
      <c r="B742" s="1" t="n">
        <v>44718</v>
      </c>
      <c r="C742" s="1" t="n">
        <v>45729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23047-2022</t>
        </is>
      </c>
      <c r="B743" s="1" t="n">
        <v>44718</v>
      </c>
      <c r="C743" s="1" t="n">
        <v>45729</v>
      </c>
      <c r="D743" t="inlineStr">
        <is>
          <t>VÄRMLANDS LÄN</t>
        </is>
      </c>
      <c r="E743" t="inlineStr">
        <is>
          <t>ARVIKA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23078-2022</t>
        </is>
      </c>
      <c r="B744" s="1" t="n">
        <v>44718</v>
      </c>
      <c r="C744" s="1" t="n">
        <v>45729</v>
      </c>
      <c r="D744" t="inlineStr">
        <is>
          <t>VÄRMLANDS LÄN</t>
        </is>
      </c>
      <c r="E744" t="inlineStr">
        <is>
          <t>ARVIKA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23073-2022</t>
        </is>
      </c>
      <c r="B745" s="1" t="n">
        <v>44719</v>
      </c>
      <c r="C745" s="1" t="n">
        <v>45729</v>
      </c>
      <c r="D745" t="inlineStr">
        <is>
          <t>VÄRMLANDS LÄN</t>
        </is>
      </c>
      <c r="E745" t="inlineStr">
        <is>
          <t>ARVIKA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23277-2022</t>
        </is>
      </c>
      <c r="B746" s="1" t="n">
        <v>44720</v>
      </c>
      <c r="C746" s="1" t="n">
        <v>45729</v>
      </c>
      <c r="D746" t="inlineStr">
        <is>
          <t>VÄRMLANDS LÄN</t>
        </is>
      </c>
      <c r="E746" t="inlineStr">
        <is>
          <t>ARVIKA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23323-2022</t>
        </is>
      </c>
      <c r="B747" s="1" t="n">
        <v>44720</v>
      </c>
      <c r="C747" s="1" t="n">
        <v>45729</v>
      </c>
      <c r="D747" t="inlineStr">
        <is>
          <t>VÄRMLANDS LÄN</t>
        </is>
      </c>
      <c r="E747" t="inlineStr">
        <is>
          <t>ARVIKA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23352-2022</t>
        </is>
      </c>
      <c r="B748" s="1" t="n">
        <v>44720</v>
      </c>
      <c r="C748" s="1" t="n">
        <v>45729</v>
      </c>
      <c r="D748" t="inlineStr">
        <is>
          <t>VÄRMLANDS LÄN</t>
        </is>
      </c>
      <c r="E748" t="inlineStr">
        <is>
          <t>ARVIKA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23495-2022</t>
        </is>
      </c>
      <c r="B749" s="1" t="n">
        <v>44721</v>
      </c>
      <c r="C749" s="1" t="n">
        <v>45729</v>
      </c>
      <c r="D749" t="inlineStr">
        <is>
          <t>VÄRMLANDS LÄN</t>
        </is>
      </c>
      <c r="E749" t="inlineStr">
        <is>
          <t>ARVIKA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23813-2022</t>
        </is>
      </c>
      <c r="B750" s="1" t="n">
        <v>44722</v>
      </c>
      <c r="C750" s="1" t="n">
        <v>45729</v>
      </c>
      <c r="D750" t="inlineStr">
        <is>
          <t>VÄRMLANDS LÄN</t>
        </is>
      </c>
      <c r="E750" t="inlineStr">
        <is>
          <t>ARVIKA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24137-2022</t>
        </is>
      </c>
      <c r="B751" s="1" t="n">
        <v>44725</v>
      </c>
      <c r="C751" s="1" t="n">
        <v>45729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24130-2022</t>
        </is>
      </c>
      <c r="B752" s="1" t="n">
        <v>44725</v>
      </c>
      <c r="C752" s="1" t="n">
        <v>45729</v>
      </c>
      <c r="D752" t="inlineStr">
        <is>
          <t>VÄRMLANDS LÄN</t>
        </is>
      </c>
      <c r="E752" t="inlineStr">
        <is>
          <t>ARVIKA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24771-2022</t>
        </is>
      </c>
      <c r="B753" s="1" t="n">
        <v>44728</v>
      </c>
      <c r="C753" s="1" t="n">
        <v>45729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24894-2022</t>
        </is>
      </c>
      <c r="B754" s="1" t="n">
        <v>44728</v>
      </c>
      <c r="C754" s="1" t="n">
        <v>45729</v>
      </c>
      <c r="D754" t="inlineStr">
        <is>
          <t>VÄRMLANDS LÄN</t>
        </is>
      </c>
      <c r="E754" t="inlineStr">
        <is>
          <t>ARVIKA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27319-2022</t>
        </is>
      </c>
      <c r="B755" s="1" t="n">
        <v>44728</v>
      </c>
      <c r="C755" s="1" t="n">
        <v>45729</v>
      </c>
      <c r="D755" t="inlineStr">
        <is>
          <t>VÄRMLANDS LÄN</t>
        </is>
      </c>
      <c r="E755" t="inlineStr">
        <is>
          <t>ARVIKA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25061-2022</t>
        </is>
      </c>
      <c r="B756" s="1" t="n">
        <v>44729</v>
      </c>
      <c r="C756" s="1" t="n">
        <v>45729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25186-2022</t>
        </is>
      </c>
      <c r="B757" s="1" t="n">
        <v>44729</v>
      </c>
      <c r="C757" s="1" t="n">
        <v>45729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25333-2022</t>
        </is>
      </c>
      <c r="B758" s="1" t="n">
        <v>44731</v>
      </c>
      <c r="C758" s="1" t="n">
        <v>45729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25360-2022</t>
        </is>
      </c>
      <c r="B759" s="1" t="n">
        <v>44732</v>
      </c>
      <c r="C759" s="1" t="n">
        <v>45729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26090-2022</t>
        </is>
      </c>
      <c r="B760" s="1" t="n">
        <v>44734</v>
      </c>
      <c r="C760" s="1" t="n">
        <v>45729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26261-2022</t>
        </is>
      </c>
      <c r="B761" s="1" t="n">
        <v>44735</v>
      </c>
      <c r="C761" s="1" t="n">
        <v>45729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26710-2022</t>
        </is>
      </c>
      <c r="B762" s="1" t="n">
        <v>44739</v>
      </c>
      <c r="C762" s="1" t="n">
        <v>45729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26806-2022</t>
        </is>
      </c>
      <c r="B763" s="1" t="n">
        <v>44740</v>
      </c>
      <c r="C763" s="1" t="n">
        <v>45729</v>
      </c>
      <c r="D763" t="inlineStr">
        <is>
          <t>VÄRMLANDS LÄN</t>
        </is>
      </c>
      <c r="E763" t="inlineStr">
        <is>
          <t>ARVIKA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27058-2022</t>
        </is>
      </c>
      <c r="B764" s="1" t="n">
        <v>44741</v>
      </c>
      <c r="C764" s="1" t="n">
        <v>45729</v>
      </c>
      <c r="D764" t="inlineStr">
        <is>
          <t>VÄRMLANDS LÄN</t>
        </is>
      </c>
      <c r="E764" t="inlineStr">
        <is>
          <t>ARVIKA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27131-2022</t>
        </is>
      </c>
      <c r="B765" s="1" t="n">
        <v>44741</v>
      </c>
      <c r="C765" s="1" t="n">
        <v>45729</v>
      </c>
      <c r="D765" t="inlineStr">
        <is>
          <t>VÄRMLANDS LÄN</t>
        </is>
      </c>
      <c r="E765" t="inlineStr">
        <is>
          <t>ARVIKA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27304-2022</t>
        </is>
      </c>
      <c r="B766" s="1" t="n">
        <v>44742</v>
      </c>
      <c r="C766" s="1" t="n">
        <v>45729</v>
      </c>
      <c r="D766" t="inlineStr">
        <is>
          <t>VÄRMLANDS LÄN</t>
        </is>
      </c>
      <c r="E766" t="inlineStr">
        <is>
          <t>ARVIKA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28197-2022</t>
        </is>
      </c>
      <c r="B767" s="1" t="n">
        <v>44746</v>
      </c>
      <c r="C767" s="1" t="n">
        <v>45729</v>
      </c>
      <c r="D767" t="inlineStr">
        <is>
          <t>VÄRMLANDS LÄN</t>
        </is>
      </c>
      <c r="E767" t="inlineStr">
        <is>
          <t>ARVIKA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28087-2022</t>
        </is>
      </c>
      <c r="B768" s="1" t="n">
        <v>44746</v>
      </c>
      <c r="C768" s="1" t="n">
        <v>45729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28547-2022</t>
        </is>
      </c>
      <c r="B769" s="1" t="n">
        <v>44748</v>
      </c>
      <c r="C769" s="1" t="n">
        <v>45729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28548-2022</t>
        </is>
      </c>
      <c r="B770" s="1" t="n">
        <v>44748</v>
      </c>
      <c r="C770" s="1" t="n">
        <v>45729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29067-2022</t>
        </is>
      </c>
      <c r="B771" s="1" t="n">
        <v>44750</v>
      </c>
      <c r="C771" s="1" t="n">
        <v>45729</v>
      </c>
      <c r="D771" t="inlineStr">
        <is>
          <t>VÄRMLANDS LÄN</t>
        </is>
      </c>
      <c r="E771" t="inlineStr">
        <is>
          <t>ARVIKA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29194-2022</t>
        </is>
      </c>
      <c r="B772" s="1" t="n">
        <v>44750</v>
      </c>
      <c r="C772" s="1" t="n">
        <v>45729</v>
      </c>
      <c r="D772" t="inlineStr">
        <is>
          <t>VÄRMLANDS LÄN</t>
        </is>
      </c>
      <c r="E772" t="inlineStr">
        <is>
          <t>ARVIKA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29521-2022</t>
        </is>
      </c>
      <c r="B773" s="1" t="n">
        <v>44753</v>
      </c>
      <c r="C773" s="1" t="n">
        <v>45729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29619-2022</t>
        </is>
      </c>
      <c r="B774" s="1" t="n">
        <v>44754</v>
      </c>
      <c r="C774" s="1" t="n">
        <v>45729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29603-2022</t>
        </is>
      </c>
      <c r="B775" s="1" t="n">
        <v>44754</v>
      </c>
      <c r="C775" s="1" t="n">
        <v>45729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29578-2022</t>
        </is>
      </c>
      <c r="B776" s="1" t="n">
        <v>44754</v>
      </c>
      <c r="C776" s="1" t="n">
        <v>45729</v>
      </c>
      <c r="D776" t="inlineStr">
        <is>
          <t>VÄRMLANDS LÄN</t>
        </is>
      </c>
      <c r="E776" t="inlineStr">
        <is>
          <t>ARVIKA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30983-2022</t>
        </is>
      </c>
      <c r="B777" s="1" t="n">
        <v>44768</v>
      </c>
      <c r="C777" s="1" t="n">
        <v>45729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31173-2022</t>
        </is>
      </c>
      <c r="B778" s="1" t="n">
        <v>44770</v>
      </c>
      <c r="C778" s="1" t="n">
        <v>45729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31797-2022</t>
        </is>
      </c>
      <c r="B779" s="1" t="n">
        <v>44776</v>
      </c>
      <c r="C779" s="1" t="n">
        <v>45729</v>
      </c>
      <c r="D779" t="inlineStr">
        <is>
          <t>VÄRMLANDS LÄN</t>
        </is>
      </c>
      <c r="E779" t="inlineStr">
        <is>
          <t>ARVIKA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31829-2022</t>
        </is>
      </c>
      <c r="B780" s="1" t="n">
        <v>44776</v>
      </c>
      <c r="C780" s="1" t="n">
        <v>45729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32009-2022</t>
        </is>
      </c>
      <c r="B781" s="1" t="n">
        <v>44778</v>
      </c>
      <c r="C781" s="1" t="n">
        <v>45729</v>
      </c>
      <c r="D781" t="inlineStr">
        <is>
          <t>VÄRMLANDS LÄN</t>
        </is>
      </c>
      <c r="E781" t="inlineStr">
        <is>
          <t>ARVIKA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32187-2022</t>
        </is>
      </c>
      <c r="B782" s="1" t="n">
        <v>44780</v>
      </c>
      <c r="C782" s="1" t="n">
        <v>45729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32176-2022</t>
        </is>
      </c>
      <c r="B783" s="1" t="n">
        <v>44780</v>
      </c>
      <c r="C783" s="1" t="n">
        <v>45729</v>
      </c>
      <c r="D783" t="inlineStr">
        <is>
          <t>VÄRMLANDS LÄN</t>
        </is>
      </c>
      <c r="E783" t="inlineStr">
        <is>
          <t>ARVIKA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32287-2022</t>
        </is>
      </c>
      <c r="B784" s="1" t="n">
        <v>44781</v>
      </c>
      <c r="C784" s="1" t="n">
        <v>45729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32670-2022</t>
        </is>
      </c>
      <c r="B785" s="1" t="n">
        <v>44783</v>
      </c>
      <c r="C785" s="1" t="n">
        <v>45729</v>
      </c>
      <c r="D785" t="inlineStr">
        <is>
          <t>VÄRMLANDS LÄN</t>
        </is>
      </c>
      <c r="E785" t="inlineStr">
        <is>
          <t>ARVIKA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32723-2022</t>
        </is>
      </c>
      <c r="B786" s="1" t="n">
        <v>44783</v>
      </c>
      <c r="C786" s="1" t="n">
        <v>45729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32947-2022</t>
        </is>
      </c>
      <c r="B787" s="1" t="n">
        <v>44784</v>
      </c>
      <c r="C787" s="1" t="n">
        <v>45729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33088-2022</t>
        </is>
      </c>
      <c r="B788" s="1" t="n">
        <v>44785</v>
      </c>
      <c r="C788" s="1" t="n">
        <v>45729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33189-2022</t>
        </is>
      </c>
      <c r="B789" s="1" t="n">
        <v>44785</v>
      </c>
      <c r="C789" s="1" t="n">
        <v>45729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33187-2022</t>
        </is>
      </c>
      <c r="B790" s="1" t="n">
        <v>44785</v>
      </c>
      <c r="C790" s="1" t="n">
        <v>45729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33657-2022</t>
        </is>
      </c>
      <c r="B791" s="1" t="n">
        <v>44789</v>
      </c>
      <c r="C791" s="1" t="n">
        <v>45729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34190-2022</t>
        </is>
      </c>
      <c r="B792" s="1" t="n">
        <v>44791</v>
      </c>
      <c r="C792" s="1" t="n">
        <v>45729</v>
      </c>
      <c r="D792" t="inlineStr">
        <is>
          <t>VÄRMLANDS LÄN</t>
        </is>
      </c>
      <c r="E792" t="inlineStr">
        <is>
          <t>ARVIKA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35116-2022</t>
        </is>
      </c>
      <c r="B793" s="1" t="n">
        <v>44797</v>
      </c>
      <c r="C793" s="1" t="n">
        <v>45729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35174-2022</t>
        </is>
      </c>
      <c r="B794" s="1" t="n">
        <v>44797</v>
      </c>
      <c r="C794" s="1" t="n">
        <v>45729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35214-2022</t>
        </is>
      </c>
      <c r="B795" s="1" t="n">
        <v>44797</v>
      </c>
      <c r="C795" s="1" t="n">
        <v>45729</v>
      </c>
      <c r="D795" t="inlineStr">
        <is>
          <t>VÄRMLANDS LÄN</t>
        </is>
      </c>
      <c r="E795" t="inlineStr">
        <is>
          <t>ARVIKA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35171-2022</t>
        </is>
      </c>
      <c r="B796" s="1" t="n">
        <v>44797</v>
      </c>
      <c r="C796" s="1" t="n">
        <v>45729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35667-2022</t>
        </is>
      </c>
      <c r="B797" s="1" t="n">
        <v>44799</v>
      </c>
      <c r="C797" s="1" t="n">
        <v>45729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36026-2022</t>
        </is>
      </c>
      <c r="B798" s="1" t="n">
        <v>44802</v>
      </c>
      <c r="C798" s="1" t="n">
        <v>45729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35961-2022</t>
        </is>
      </c>
      <c r="B799" s="1" t="n">
        <v>44802</v>
      </c>
      <c r="C799" s="1" t="n">
        <v>45729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35969-2022</t>
        </is>
      </c>
      <c r="B800" s="1" t="n">
        <v>44802</v>
      </c>
      <c r="C800" s="1" t="n">
        <v>45729</v>
      </c>
      <c r="D800" t="inlineStr">
        <is>
          <t>VÄRMLANDS LÄN</t>
        </is>
      </c>
      <c r="E800" t="inlineStr">
        <is>
          <t>ARVIKA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36044-2022</t>
        </is>
      </c>
      <c r="B801" s="1" t="n">
        <v>44802</v>
      </c>
      <c r="C801" s="1" t="n">
        <v>45729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36125-2022</t>
        </is>
      </c>
      <c r="B802" s="1" t="n">
        <v>44803</v>
      </c>
      <c r="C802" s="1" t="n">
        <v>45729</v>
      </c>
      <c r="D802" t="inlineStr">
        <is>
          <t>VÄRMLANDS LÄN</t>
        </is>
      </c>
      <c r="E802" t="inlineStr">
        <is>
          <t>ARVIKA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36458-2022</t>
        </is>
      </c>
      <c r="B803" s="1" t="n">
        <v>44804</v>
      </c>
      <c r="C803" s="1" t="n">
        <v>45729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36473-2022</t>
        </is>
      </c>
      <c r="B804" s="1" t="n">
        <v>44804</v>
      </c>
      <c r="C804" s="1" t="n">
        <v>45729</v>
      </c>
      <c r="D804" t="inlineStr">
        <is>
          <t>VÄRMLANDS LÄN</t>
        </is>
      </c>
      <c r="E804" t="inlineStr">
        <is>
          <t>ARVIKA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36959-2022</t>
        </is>
      </c>
      <c r="B805" s="1" t="n">
        <v>44806</v>
      </c>
      <c r="C805" s="1" t="n">
        <v>45729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37139-2022</t>
        </is>
      </c>
      <c r="B806" s="1" t="n">
        <v>44806</v>
      </c>
      <c r="C806" s="1" t="n">
        <v>45729</v>
      </c>
      <c r="D806" t="inlineStr">
        <is>
          <t>VÄRMLANDS LÄN</t>
        </is>
      </c>
      <c r="E806" t="inlineStr">
        <is>
          <t>ARVIKA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37085-2022</t>
        </is>
      </c>
      <c r="B807" s="1" t="n">
        <v>44806</v>
      </c>
      <c r="C807" s="1" t="n">
        <v>45729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37413-2022</t>
        </is>
      </c>
      <c r="B808" s="1" t="n">
        <v>44808</v>
      </c>
      <c r="C808" s="1" t="n">
        <v>45729</v>
      </c>
      <c r="D808" t="inlineStr">
        <is>
          <t>VÄRMLANDS LÄN</t>
        </is>
      </c>
      <c r="E808" t="inlineStr">
        <is>
          <t>ARVIKA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37695-2022</t>
        </is>
      </c>
      <c r="B809" s="1" t="n">
        <v>44810</v>
      </c>
      <c r="C809" s="1" t="n">
        <v>45729</v>
      </c>
      <c r="D809" t="inlineStr">
        <is>
          <t>VÄRMLANDS LÄN</t>
        </is>
      </c>
      <c r="E809" t="inlineStr">
        <is>
          <t>ARVIKA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38327-2022</t>
        </is>
      </c>
      <c r="B810" s="1" t="n">
        <v>44812</v>
      </c>
      <c r="C810" s="1" t="n">
        <v>45729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38342-2022</t>
        </is>
      </c>
      <c r="B811" s="1" t="n">
        <v>44812</v>
      </c>
      <c r="C811" s="1" t="n">
        <v>45729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38706-2022</t>
        </is>
      </c>
      <c r="B812" s="1" t="n">
        <v>44814</v>
      </c>
      <c r="C812" s="1" t="n">
        <v>45729</v>
      </c>
      <c r="D812" t="inlineStr">
        <is>
          <t>VÄRMLANDS LÄN</t>
        </is>
      </c>
      <c r="E812" t="inlineStr">
        <is>
          <t>ARVIKA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38705-2022</t>
        </is>
      </c>
      <c r="B813" s="1" t="n">
        <v>44814</v>
      </c>
      <c r="C813" s="1" t="n">
        <v>45729</v>
      </c>
      <c r="D813" t="inlineStr">
        <is>
          <t>VÄRMLANDS LÄN</t>
        </is>
      </c>
      <c r="E813" t="inlineStr">
        <is>
          <t>ARVIKA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38709-2022</t>
        </is>
      </c>
      <c r="B814" s="1" t="n">
        <v>44814</v>
      </c>
      <c r="C814" s="1" t="n">
        <v>45729</v>
      </c>
      <c r="D814" t="inlineStr">
        <is>
          <t>VÄRMLANDS LÄN</t>
        </is>
      </c>
      <c r="E814" t="inlineStr">
        <is>
          <t>ARVIKA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38707-2022</t>
        </is>
      </c>
      <c r="B815" s="1" t="n">
        <v>44814</v>
      </c>
      <c r="C815" s="1" t="n">
        <v>45729</v>
      </c>
      <c r="D815" t="inlineStr">
        <is>
          <t>VÄRMLANDS LÄN</t>
        </is>
      </c>
      <c r="E815" t="inlineStr">
        <is>
          <t>ARVIKA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38708-2022</t>
        </is>
      </c>
      <c r="B816" s="1" t="n">
        <v>44814</v>
      </c>
      <c r="C816" s="1" t="n">
        <v>45729</v>
      </c>
      <c r="D816" t="inlineStr">
        <is>
          <t>VÄRMLANDS LÄN</t>
        </is>
      </c>
      <c r="E816" t="inlineStr">
        <is>
          <t>ARVIKA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38734-2022</t>
        </is>
      </c>
      <c r="B817" s="1" t="n">
        <v>44816</v>
      </c>
      <c r="C817" s="1" t="n">
        <v>45729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38894-2022</t>
        </is>
      </c>
      <c r="B818" s="1" t="n">
        <v>44816</v>
      </c>
      <c r="C818" s="1" t="n">
        <v>45729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38911-2022</t>
        </is>
      </c>
      <c r="B819" s="1" t="n">
        <v>44816</v>
      </c>
      <c r="C819" s="1" t="n">
        <v>45729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38987-2022</t>
        </is>
      </c>
      <c r="B820" s="1" t="n">
        <v>44816</v>
      </c>
      <c r="C820" s="1" t="n">
        <v>45729</v>
      </c>
      <c r="D820" t="inlineStr">
        <is>
          <t>VÄRMLANDS LÄN</t>
        </is>
      </c>
      <c r="E820" t="inlineStr">
        <is>
          <t>ARVIKA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39073-2022</t>
        </is>
      </c>
      <c r="B821" s="1" t="n">
        <v>44817</v>
      </c>
      <c r="C821" s="1" t="n">
        <v>45729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39161-2022</t>
        </is>
      </c>
      <c r="B822" s="1" t="n">
        <v>44817</v>
      </c>
      <c r="C822" s="1" t="n">
        <v>45729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16.7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39188-2022</t>
        </is>
      </c>
      <c r="B823" s="1" t="n">
        <v>44817</v>
      </c>
      <c r="C823" s="1" t="n">
        <v>45729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39835-2022</t>
        </is>
      </c>
      <c r="B824" s="1" t="n">
        <v>44819</v>
      </c>
      <c r="C824" s="1" t="n">
        <v>45729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40011-2022</t>
        </is>
      </c>
      <c r="B825" s="1" t="n">
        <v>44820</v>
      </c>
      <c r="C825" s="1" t="n">
        <v>45729</v>
      </c>
      <c r="D825" t="inlineStr">
        <is>
          <t>VÄRMLANDS LÄN</t>
        </is>
      </c>
      <c r="E825" t="inlineStr">
        <is>
          <t>ARVIKA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39980-2022</t>
        </is>
      </c>
      <c r="B826" s="1" t="n">
        <v>44820</v>
      </c>
      <c r="C826" s="1" t="n">
        <v>45729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40371-2022</t>
        </is>
      </c>
      <c r="B827" s="1" t="n">
        <v>44823</v>
      </c>
      <c r="C827" s="1" t="n">
        <v>45729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40520-2022</t>
        </is>
      </c>
      <c r="B828" s="1" t="n">
        <v>44823</v>
      </c>
      <c r="C828" s="1" t="n">
        <v>45729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40949-2022</t>
        </is>
      </c>
      <c r="B829" s="1" t="n">
        <v>44825</v>
      </c>
      <c r="C829" s="1" t="n">
        <v>45729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41580-2022</t>
        </is>
      </c>
      <c r="B830" s="1" t="n">
        <v>44827</v>
      </c>
      <c r="C830" s="1" t="n">
        <v>45729</v>
      </c>
      <c r="D830" t="inlineStr">
        <is>
          <t>VÄRMLANDS LÄN</t>
        </is>
      </c>
      <c r="E830" t="inlineStr">
        <is>
          <t>ARVIKA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42179-2022</t>
        </is>
      </c>
      <c r="B831" s="1" t="n">
        <v>44830</v>
      </c>
      <c r="C831" s="1" t="n">
        <v>45729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42163-2022</t>
        </is>
      </c>
      <c r="B832" s="1" t="n">
        <v>44830</v>
      </c>
      <c r="C832" s="1" t="n">
        <v>45729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42160-2022</t>
        </is>
      </c>
      <c r="B833" s="1" t="n">
        <v>44830</v>
      </c>
      <c r="C833" s="1" t="n">
        <v>45729</v>
      </c>
      <c r="D833" t="inlineStr">
        <is>
          <t>VÄRMLANDS LÄN</t>
        </is>
      </c>
      <c r="E833" t="inlineStr">
        <is>
          <t>ARVIKA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42156-2022</t>
        </is>
      </c>
      <c r="B834" s="1" t="n">
        <v>44830</v>
      </c>
      <c r="C834" s="1" t="n">
        <v>45729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42184-2022</t>
        </is>
      </c>
      <c r="B835" s="1" t="n">
        <v>44830</v>
      </c>
      <c r="C835" s="1" t="n">
        <v>45729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42207-2022</t>
        </is>
      </c>
      <c r="B836" s="1" t="n">
        <v>44830</v>
      </c>
      <c r="C836" s="1" t="n">
        <v>45729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42324-2022</t>
        </is>
      </c>
      <c r="B837" s="1" t="n">
        <v>44831</v>
      </c>
      <c r="C837" s="1" t="n">
        <v>45729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42461-2022</t>
        </is>
      </c>
      <c r="B838" s="1" t="n">
        <v>44831</v>
      </c>
      <c r="C838" s="1" t="n">
        <v>45729</v>
      </c>
      <c r="D838" t="inlineStr">
        <is>
          <t>VÄRMLANDS LÄN</t>
        </is>
      </c>
      <c r="E838" t="inlineStr">
        <is>
          <t>ARVIKA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42418-2022</t>
        </is>
      </c>
      <c r="B839" s="1" t="n">
        <v>44831</v>
      </c>
      <c r="C839" s="1" t="n">
        <v>45729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42986-2022</t>
        </is>
      </c>
      <c r="B840" s="1" t="n">
        <v>44833</v>
      </c>
      <c r="C840" s="1" t="n">
        <v>45729</v>
      </c>
      <c r="D840" t="inlineStr">
        <is>
          <t>VÄRMLANDS LÄN</t>
        </is>
      </c>
      <c r="E840" t="inlineStr">
        <is>
          <t>ARVIKA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43213-2022</t>
        </is>
      </c>
      <c r="B841" s="1" t="n">
        <v>44834</v>
      </c>
      <c r="C841" s="1" t="n">
        <v>45729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44159-2022</t>
        </is>
      </c>
      <c r="B842" s="1" t="n">
        <v>44839</v>
      </c>
      <c r="C842" s="1" t="n">
        <v>45729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44084-2022</t>
        </is>
      </c>
      <c r="B843" s="1" t="n">
        <v>44839</v>
      </c>
      <c r="C843" s="1" t="n">
        <v>45729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44066-2022</t>
        </is>
      </c>
      <c r="B844" s="1" t="n">
        <v>44839</v>
      </c>
      <c r="C844" s="1" t="n">
        <v>45729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44135-2022</t>
        </is>
      </c>
      <c r="B845" s="1" t="n">
        <v>44839</v>
      </c>
      <c r="C845" s="1" t="n">
        <v>45729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8.199999999999999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44534-2022</t>
        </is>
      </c>
      <c r="B846" s="1" t="n">
        <v>44839</v>
      </c>
      <c r="C846" s="1" t="n">
        <v>45729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44270-2022</t>
        </is>
      </c>
      <c r="B847" s="1" t="n">
        <v>44839</v>
      </c>
      <c r="C847" s="1" t="n">
        <v>45729</v>
      </c>
      <c r="D847" t="inlineStr">
        <is>
          <t>VÄRMLANDS LÄN</t>
        </is>
      </c>
      <c r="E847" t="inlineStr">
        <is>
          <t>ARVIKA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45363-2022</t>
        </is>
      </c>
      <c r="B848" s="1" t="n">
        <v>44844</v>
      </c>
      <c r="C848" s="1" t="n">
        <v>45729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45908-2022</t>
        </is>
      </c>
      <c r="B849" s="1" t="n">
        <v>44846</v>
      </c>
      <c r="C849" s="1" t="n">
        <v>45729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46091-2022</t>
        </is>
      </c>
      <c r="B850" s="1" t="n">
        <v>44847</v>
      </c>
      <c r="C850" s="1" t="n">
        <v>45729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46282-2022</t>
        </is>
      </c>
      <c r="B851" s="1" t="n">
        <v>44847</v>
      </c>
      <c r="C851" s="1" t="n">
        <v>45729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46636-2022</t>
        </is>
      </c>
      <c r="B852" s="1" t="n">
        <v>44849</v>
      </c>
      <c r="C852" s="1" t="n">
        <v>45729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46829-2022</t>
        </is>
      </c>
      <c r="B853" s="1" t="n">
        <v>44851</v>
      </c>
      <c r="C853" s="1" t="n">
        <v>45729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46925-2022</t>
        </is>
      </c>
      <c r="B854" s="1" t="n">
        <v>44851</v>
      </c>
      <c r="C854" s="1" t="n">
        <v>45729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46924-2022</t>
        </is>
      </c>
      <c r="B855" s="1" t="n">
        <v>44851</v>
      </c>
      <c r="C855" s="1" t="n">
        <v>45729</v>
      </c>
      <c r="D855" t="inlineStr">
        <is>
          <t>VÄRMLANDS LÄN</t>
        </is>
      </c>
      <c r="E855" t="inlineStr">
        <is>
          <t>ARVIKA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47239-2022</t>
        </is>
      </c>
      <c r="B856" s="1" t="n">
        <v>44852</v>
      </c>
      <c r="C856" s="1" t="n">
        <v>45729</v>
      </c>
      <c r="D856" t="inlineStr">
        <is>
          <t>VÄRMLANDS LÄN</t>
        </is>
      </c>
      <c r="E856" t="inlineStr">
        <is>
          <t>ARVIKA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47638-2022</t>
        </is>
      </c>
      <c r="B857" s="1" t="n">
        <v>44852</v>
      </c>
      <c r="C857" s="1" t="n">
        <v>45729</v>
      </c>
      <c r="D857" t="inlineStr">
        <is>
          <t>VÄRMLANDS LÄN</t>
        </is>
      </c>
      <c r="E857" t="inlineStr">
        <is>
          <t>ARVIKA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47004-2022</t>
        </is>
      </c>
      <c r="B858" s="1" t="n">
        <v>44852</v>
      </c>
      <c r="C858" s="1" t="n">
        <v>45729</v>
      </c>
      <c r="D858" t="inlineStr">
        <is>
          <t>VÄRMLANDS LÄN</t>
        </is>
      </c>
      <c r="E858" t="inlineStr">
        <is>
          <t>ARVIKA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47750-2022</t>
        </is>
      </c>
      <c r="B859" s="1" t="n">
        <v>44854</v>
      </c>
      <c r="C859" s="1" t="n">
        <v>45729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49012-2022</t>
        </is>
      </c>
      <c r="B860" s="1" t="n">
        <v>44855</v>
      </c>
      <c r="C860" s="1" t="n">
        <v>45729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48183-2022</t>
        </is>
      </c>
      <c r="B861" s="1" t="n">
        <v>44858</v>
      </c>
      <c r="C861" s="1" t="n">
        <v>45729</v>
      </c>
      <c r="D861" t="inlineStr">
        <is>
          <t>VÄRMLANDS LÄN</t>
        </is>
      </c>
      <c r="E861" t="inlineStr">
        <is>
          <t>ARVIKA</t>
        </is>
      </c>
      <c r="G861" t="n">
        <v>13.9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48488-2022</t>
        </is>
      </c>
      <c r="B862" s="1" t="n">
        <v>44858</v>
      </c>
      <c r="C862" s="1" t="n">
        <v>45729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48720-2022</t>
        </is>
      </c>
      <c r="B863" s="1" t="n">
        <v>44859</v>
      </c>
      <c r="C863" s="1" t="n">
        <v>45729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48794-2022</t>
        </is>
      </c>
      <c r="B864" s="1" t="n">
        <v>44859</v>
      </c>
      <c r="C864" s="1" t="n">
        <v>45729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48827-2022</t>
        </is>
      </c>
      <c r="B865" s="1" t="n">
        <v>44859</v>
      </c>
      <c r="C865" s="1" t="n">
        <v>45729</v>
      </c>
      <c r="D865" t="inlineStr">
        <is>
          <t>VÄRMLANDS LÄN</t>
        </is>
      </c>
      <c r="E865" t="inlineStr">
        <is>
          <t>ARVIKA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48833-2022</t>
        </is>
      </c>
      <c r="B866" s="1" t="n">
        <v>44859</v>
      </c>
      <c r="C866" s="1" t="n">
        <v>45729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48966-2022</t>
        </is>
      </c>
      <c r="B867" s="1" t="n">
        <v>44860</v>
      </c>
      <c r="C867" s="1" t="n">
        <v>45729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50098-2022</t>
        </is>
      </c>
      <c r="B868" s="1" t="n">
        <v>44865</v>
      </c>
      <c r="C868" s="1" t="n">
        <v>45729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50263-2022</t>
        </is>
      </c>
      <c r="B869" s="1" t="n">
        <v>44865</v>
      </c>
      <c r="C869" s="1" t="n">
        <v>45729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50560-2022</t>
        </is>
      </c>
      <c r="B870" s="1" t="n">
        <v>44866</v>
      </c>
      <c r="C870" s="1" t="n">
        <v>45729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50584-2022</t>
        </is>
      </c>
      <c r="B871" s="1" t="n">
        <v>44866</v>
      </c>
      <c r="C871" s="1" t="n">
        <v>45729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50764-2022</t>
        </is>
      </c>
      <c r="B872" s="1" t="n">
        <v>44867</v>
      </c>
      <c r="C872" s="1" t="n">
        <v>45729</v>
      </c>
      <c r="D872" t="inlineStr">
        <is>
          <t>VÄRMLANDS LÄN</t>
        </is>
      </c>
      <c r="E872" t="inlineStr">
        <is>
          <t>ARVIKA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51400-2022</t>
        </is>
      </c>
      <c r="B873" s="1" t="n">
        <v>44869</v>
      </c>
      <c r="C873" s="1" t="n">
        <v>45729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51511-2022</t>
        </is>
      </c>
      <c r="B874" s="1" t="n">
        <v>44869</v>
      </c>
      <c r="C874" s="1" t="n">
        <v>45729</v>
      </c>
      <c r="D874" t="inlineStr">
        <is>
          <t>VÄRMLANDS LÄN</t>
        </is>
      </c>
      <c r="E874" t="inlineStr">
        <is>
          <t>ARVIKA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51957-2022</t>
        </is>
      </c>
      <c r="B875" s="1" t="n">
        <v>44872</v>
      </c>
      <c r="C875" s="1" t="n">
        <v>45729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52449-2022</t>
        </is>
      </c>
      <c r="B876" s="1" t="n">
        <v>44874</v>
      </c>
      <c r="C876" s="1" t="n">
        <v>45729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52529-2022</t>
        </is>
      </c>
      <c r="B877" s="1" t="n">
        <v>44874</v>
      </c>
      <c r="C877" s="1" t="n">
        <v>45729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52582-2022</t>
        </is>
      </c>
      <c r="B878" s="1" t="n">
        <v>44874</v>
      </c>
      <c r="C878" s="1" t="n">
        <v>45729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53365-2022</t>
        </is>
      </c>
      <c r="B879" s="1" t="n">
        <v>44874</v>
      </c>
      <c r="C879" s="1" t="n">
        <v>45729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53392-2022</t>
        </is>
      </c>
      <c r="B880" s="1" t="n">
        <v>44874</v>
      </c>
      <c r="C880" s="1" t="n">
        <v>45729</v>
      </c>
      <c r="D880" t="inlineStr">
        <is>
          <t>VÄRMLANDS LÄN</t>
        </is>
      </c>
      <c r="E880" t="inlineStr">
        <is>
          <t>ARVIKA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53376-2022</t>
        </is>
      </c>
      <c r="B881" s="1" t="n">
        <v>44874</v>
      </c>
      <c r="C881" s="1" t="n">
        <v>45729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53398-2022</t>
        </is>
      </c>
      <c r="B882" s="1" t="n">
        <v>44874</v>
      </c>
      <c r="C882" s="1" t="n">
        <v>45729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52807-2022</t>
        </is>
      </c>
      <c r="B883" s="1" t="n">
        <v>44875</v>
      </c>
      <c r="C883" s="1" t="n">
        <v>45729</v>
      </c>
      <c r="D883" t="inlineStr">
        <is>
          <t>VÄRMLANDS LÄN</t>
        </is>
      </c>
      <c r="E883" t="inlineStr">
        <is>
          <t>ARVIKA</t>
        </is>
      </c>
      <c r="G883" t="n">
        <v>14.5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53447-2022</t>
        </is>
      </c>
      <c r="B884" s="1" t="n">
        <v>44879</v>
      </c>
      <c r="C884" s="1" t="n">
        <v>45729</v>
      </c>
      <c r="D884" t="inlineStr">
        <is>
          <t>VÄRMLANDS LÄN</t>
        </is>
      </c>
      <c r="E884" t="inlineStr">
        <is>
          <t>ARVIKA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53892-2022</t>
        </is>
      </c>
      <c r="B885" s="1" t="n">
        <v>44880</v>
      </c>
      <c r="C885" s="1" t="n">
        <v>45729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53993-2022</t>
        </is>
      </c>
      <c r="B886" s="1" t="n">
        <v>44881</v>
      </c>
      <c r="C886" s="1" t="n">
        <v>45729</v>
      </c>
      <c r="D886" t="inlineStr">
        <is>
          <t>VÄRMLANDS LÄN</t>
        </is>
      </c>
      <c r="E886" t="inlineStr">
        <is>
          <t>ARVIKA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54338-2022</t>
        </is>
      </c>
      <c r="B887" s="1" t="n">
        <v>44882</v>
      </c>
      <c r="C887" s="1" t="n">
        <v>45729</v>
      </c>
      <c r="D887" t="inlineStr">
        <is>
          <t>VÄRMLANDS LÄN</t>
        </is>
      </c>
      <c r="E887" t="inlineStr">
        <is>
          <t>ARVIKA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54658-2022</t>
        </is>
      </c>
      <c r="B888" s="1" t="n">
        <v>44883</v>
      </c>
      <c r="C888" s="1" t="n">
        <v>45729</v>
      </c>
      <c r="D888" t="inlineStr">
        <is>
          <t>VÄRMLANDS LÄN</t>
        </is>
      </c>
      <c r="E888" t="inlineStr">
        <is>
          <t>ARVIKA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54756-2022</t>
        </is>
      </c>
      <c r="B889" s="1" t="n">
        <v>44883</v>
      </c>
      <c r="C889" s="1" t="n">
        <v>45729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54760-2022</t>
        </is>
      </c>
      <c r="B890" s="1" t="n">
        <v>44883</v>
      </c>
      <c r="C890" s="1" t="n">
        <v>45729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55609-2022</t>
        </is>
      </c>
      <c r="B891" s="1" t="n">
        <v>44883</v>
      </c>
      <c r="C891" s="1" t="n">
        <v>45729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55053-2022</t>
        </is>
      </c>
      <c r="B892" s="1" t="n">
        <v>44886</v>
      </c>
      <c r="C892" s="1" t="n">
        <v>45729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54917-2022</t>
        </is>
      </c>
      <c r="B893" s="1" t="n">
        <v>44886</v>
      </c>
      <c r="C893" s="1" t="n">
        <v>45729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55085-2022</t>
        </is>
      </c>
      <c r="B894" s="1" t="n">
        <v>44886</v>
      </c>
      <c r="C894" s="1" t="n">
        <v>45729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55372-2022</t>
        </is>
      </c>
      <c r="B895" s="1" t="n">
        <v>44887</v>
      </c>
      <c r="C895" s="1" t="n">
        <v>45729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55787-2022</t>
        </is>
      </c>
      <c r="B896" s="1" t="n">
        <v>44888</v>
      </c>
      <c r="C896" s="1" t="n">
        <v>45729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55792-2022</t>
        </is>
      </c>
      <c r="B897" s="1" t="n">
        <v>44888</v>
      </c>
      <c r="C897" s="1" t="n">
        <v>45729</v>
      </c>
      <c r="D897" t="inlineStr">
        <is>
          <t>VÄRMLANDS LÄN</t>
        </is>
      </c>
      <c r="E897" t="inlineStr">
        <is>
          <t>ARVIKA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56086-2022</t>
        </is>
      </c>
      <c r="B898" s="1" t="n">
        <v>44889</v>
      </c>
      <c r="C898" s="1" t="n">
        <v>45729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57627-2022</t>
        </is>
      </c>
      <c r="B899" s="1" t="n">
        <v>44890</v>
      </c>
      <c r="C899" s="1" t="n">
        <v>45729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57677-2022</t>
        </is>
      </c>
      <c r="B900" s="1" t="n">
        <v>44890</v>
      </c>
      <c r="C900" s="1" t="n">
        <v>45729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57631-2022</t>
        </is>
      </c>
      <c r="B901" s="1" t="n">
        <v>44890</v>
      </c>
      <c r="C901" s="1" t="n">
        <v>45729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56710-2022</t>
        </is>
      </c>
      <c r="B902" s="1" t="n">
        <v>44893</v>
      </c>
      <c r="C902" s="1" t="n">
        <v>45729</v>
      </c>
      <c r="D902" t="inlineStr">
        <is>
          <t>VÄRMLANDS LÄN</t>
        </is>
      </c>
      <c r="E902" t="inlineStr">
        <is>
          <t>ARVIKA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56714-2022</t>
        </is>
      </c>
      <c r="B903" s="1" t="n">
        <v>44893</v>
      </c>
      <c r="C903" s="1" t="n">
        <v>45729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56713-2022</t>
        </is>
      </c>
      <c r="B904" s="1" t="n">
        <v>44893</v>
      </c>
      <c r="C904" s="1" t="n">
        <v>45729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56988-2022</t>
        </is>
      </c>
      <c r="B905" s="1" t="n">
        <v>44894</v>
      </c>
      <c r="C905" s="1" t="n">
        <v>45729</v>
      </c>
      <c r="D905" t="inlineStr">
        <is>
          <t>VÄRMLANDS LÄN</t>
        </is>
      </c>
      <c r="E905" t="inlineStr">
        <is>
          <t>ARVIKA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57342-2022</t>
        </is>
      </c>
      <c r="B906" s="1" t="n">
        <v>44896</v>
      </c>
      <c r="C906" s="1" t="n">
        <v>45729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57346-2022</t>
        </is>
      </c>
      <c r="B907" s="1" t="n">
        <v>44896</v>
      </c>
      <c r="C907" s="1" t="n">
        <v>45729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57384-2022</t>
        </is>
      </c>
      <c r="B908" s="1" t="n">
        <v>44896</v>
      </c>
      <c r="C908" s="1" t="n">
        <v>45729</v>
      </c>
      <c r="D908" t="inlineStr">
        <is>
          <t>VÄRMLANDS LÄN</t>
        </is>
      </c>
      <c r="E908" t="inlineStr">
        <is>
          <t>ARVIKA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58153-2022</t>
        </is>
      </c>
      <c r="B909" s="1" t="n">
        <v>44900</v>
      </c>
      <c r="C909" s="1" t="n">
        <v>45729</v>
      </c>
      <c r="D909" t="inlineStr">
        <is>
          <t>VÄRMLANDS LÄN</t>
        </is>
      </c>
      <c r="E909" t="inlineStr">
        <is>
          <t>ARVIKA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58143-2022</t>
        </is>
      </c>
      <c r="B910" s="1" t="n">
        <v>44900</v>
      </c>
      <c r="C910" s="1" t="n">
        <v>45729</v>
      </c>
      <c r="D910" t="inlineStr">
        <is>
          <t>VÄRMLANDS LÄN</t>
        </is>
      </c>
      <c r="E910" t="inlineStr">
        <is>
          <t>ARVIKA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58133-2022</t>
        </is>
      </c>
      <c r="B911" s="1" t="n">
        <v>44900</v>
      </c>
      <c r="C911" s="1" t="n">
        <v>45729</v>
      </c>
      <c r="D911" t="inlineStr">
        <is>
          <t>VÄRMLANDS LÄN</t>
        </is>
      </c>
      <c r="E911" t="inlineStr">
        <is>
          <t>ARVIKA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58399-2022</t>
        </is>
      </c>
      <c r="B912" s="1" t="n">
        <v>44901</v>
      </c>
      <c r="C912" s="1" t="n">
        <v>45729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58408-2022</t>
        </is>
      </c>
      <c r="B913" s="1" t="n">
        <v>44901</v>
      </c>
      <c r="C913" s="1" t="n">
        <v>45729</v>
      </c>
      <c r="D913" t="inlineStr">
        <is>
          <t>VÄRMLANDS LÄN</t>
        </is>
      </c>
      <c r="E913" t="inlineStr">
        <is>
          <t>ARVIKA</t>
        </is>
      </c>
      <c r="G913" t="n">
        <v>16.4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58235-2022</t>
        </is>
      </c>
      <c r="B914" s="1" t="n">
        <v>44901</v>
      </c>
      <c r="C914" s="1" t="n">
        <v>45729</v>
      </c>
      <c r="D914" t="inlineStr">
        <is>
          <t>VÄRMLANDS LÄN</t>
        </is>
      </c>
      <c r="E914" t="inlineStr">
        <is>
          <t>ARVIKA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58635-2022</t>
        </is>
      </c>
      <c r="B915" s="1" t="n">
        <v>44902</v>
      </c>
      <c r="C915" s="1" t="n">
        <v>45729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45729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59105-2022</t>
        </is>
      </c>
      <c r="B917" s="1" t="n">
        <v>44904</v>
      </c>
      <c r="C917" s="1" t="n">
        <v>45729</v>
      </c>
      <c r="D917" t="inlineStr">
        <is>
          <t>VÄRMLANDS LÄN</t>
        </is>
      </c>
      <c r="E917" t="inlineStr">
        <is>
          <t>ARVIKA</t>
        </is>
      </c>
      <c r="F917" t="inlineStr">
        <is>
          <t>Kommuner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59103-2022</t>
        </is>
      </c>
      <c r="B918" s="1" t="n">
        <v>44904</v>
      </c>
      <c r="C918" s="1" t="n">
        <v>45729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59341-2022</t>
        </is>
      </c>
      <c r="B919" s="1" t="n">
        <v>44904</v>
      </c>
      <c r="C919" s="1" t="n">
        <v>45729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60595-2022</t>
        </is>
      </c>
      <c r="B920" s="1" t="n">
        <v>44906</v>
      </c>
      <c r="C920" s="1" t="n">
        <v>45729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60626-2022</t>
        </is>
      </c>
      <c r="B921" s="1" t="n">
        <v>44906</v>
      </c>
      <c r="C921" s="1" t="n">
        <v>45729</v>
      </c>
      <c r="D921" t="inlineStr">
        <is>
          <t>VÄRMLANDS LÄN</t>
        </is>
      </c>
      <c r="E921" t="inlineStr">
        <is>
          <t>ARVIKA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60607-2022</t>
        </is>
      </c>
      <c r="B922" s="1" t="n">
        <v>44906</v>
      </c>
      <c r="C922" s="1" t="n">
        <v>45729</v>
      </c>
      <c r="D922" t="inlineStr">
        <is>
          <t>VÄRMLANDS LÄN</t>
        </is>
      </c>
      <c r="E922" t="inlineStr">
        <is>
          <t>ARVIKA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60627-2022</t>
        </is>
      </c>
      <c r="B923" s="1" t="n">
        <v>44906</v>
      </c>
      <c r="C923" s="1" t="n">
        <v>45729</v>
      </c>
      <c r="D923" t="inlineStr">
        <is>
          <t>VÄRMLANDS LÄN</t>
        </is>
      </c>
      <c r="E923" t="inlineStr">
        <is>
          <t>ARVIKA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60593-2022</t>
        </is>
      </c>
      <c r="B924" s="1" t="n">
        <v>44906</v>
      </c>
      <c r="C924" s="1" t="n">
        <v>45729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60622-2022</t>
        </is>
      </c>
      <c r="B925" s="1" t="n">
        <v>44906</v>
      </c>
      <c r="C925" s="1" t="n">
        <v>45729</v>
      </c>
      <c r="D925" t="inlineStr">
        <is>
          <t>VÄRMLANDS LÄN</t>
        </is>
      </c>
      <c r="E925" t="inlineStr">
        <is>
          <t>ARVIKA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59837-2022</t>
        </is>
      </c>
      <c r="B926" s="1" t="n">
        <v>44908</v>
      </c>
      <c r="C926" s="1" t="n">
        <v>45729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60059-2022</t>
        </is>
      </c>
      <c r="B927" s="1" t="n">
        <v>44909</v>
      </c>
      <c r="C927" s="1" t="n">
        <v>45729</v>
      </c>
      <c r="D927" t="inlineStr">
        <is>
          <t>VÄRMLANDS LÄN</t>
        </is>
      </c>
      <c r="E927" t="inlineStr">
        <is>
          <t>ARVIKA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59920-2022</t>
        </is>
      </c>
      <c r="B928" s="1" t="n">
        <v>44909</v>
      </c>
      <c r="C928" s="1" t="n">
        <v>45729</v>
      </c>
      <c r="D928" t="inlineStr">
        <is>
          <t>VÄRMLANDS LÄN</t>
        </is>
      </c>
      <c r="E928" t="inlineStr">
        <is>
          <t>ARVIKA</t>
        </is>
      </c>
      <c r="F928" t="inlineStr">
        <is>
          <t>Kyrkan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59919-2022</t>
        </is>
      </c>
      <c r="B929" s="1" t="n">
        <v>44909</v>
      </c>
      <c r="C929" s="1" t="n">
        <v>45729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60281-2022</t>
        </is>
      </c>
      <c r="B930" s="1" t="n">
        <v>44910</v>
      </c>
      <c r="C930" s="1" t="n">
        <v>45729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60279-2022</t>
        </is>
      </c>
      <c r="B931" s="1" t="n">
        <v>44910</v>
      </c>
      <c r="C931" s="1" t="n">
        <v>45729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60315-2022</t>
        </is>
      </c>
      <c r="B932" s="1" t="n">
        <v>44910</v>
      </c>
      <c r="C932" s="1" t="n">
        <v>45729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60602-2022</t>
        </is>
      </c>
      <c r="B933" s="1" t="n">
        <v>44911</v>
      </c>
      <c r="C933" s="1" t="n">
        <v>45729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23.3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45729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45729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45729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45729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45729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45729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45729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45729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45729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45729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45729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45729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45729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45729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45729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45729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45729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45729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45729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45729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45729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45729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45729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45729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45729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45729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45729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45729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45729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45729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45729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45729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45729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45729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45729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45729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45729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45729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45729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45729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45729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45729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45729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45729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45729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45729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45729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45729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45729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45729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45729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45729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45729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45729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45729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45729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45729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45729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45729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45729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45729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45729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45729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45729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45729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45729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45729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45729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45729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45729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45729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45729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45729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45729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45729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45729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45729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45729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45729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45729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45729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45729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45729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45729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45729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45729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45729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45729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45729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45729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45729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45729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45729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45729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45729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45729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45729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45729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45729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45729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45729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45729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45729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45729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45729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45729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45729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45729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45729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45729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45729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45729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45729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45729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45729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45729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45729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45729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45729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45729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45729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45729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45729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45729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45729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45729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45729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45729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45729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45729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45729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45729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45729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45729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45729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45729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45729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45729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45729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45729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45729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45729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45729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45729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45729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45729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45729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45729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45729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45729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45729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45729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45729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45729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45729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45729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45729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45729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45729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45729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45729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45729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45729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45729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45729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45729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45729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45729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45729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45729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45729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45729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45729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45729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45729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45729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45729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45729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45729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45729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45729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45729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45729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45729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45729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45729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45729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45729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45729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45729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45729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45729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45729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45729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45729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45729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45729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45729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45729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45729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45729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45729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45729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45729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45729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45729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45729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45729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45729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45729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45729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45729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45729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45729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45729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45729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45729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45729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45729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45729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45729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45729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45729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45729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45729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45729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45729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45729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45729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45729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45729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45729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45729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45729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45729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45729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45729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45729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45729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45729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45729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45729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45729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45729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45729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45729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45729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45729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45729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45729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45729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45729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45729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45729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45729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45729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45729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45729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45729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45729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45729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45729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45729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45729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45729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45729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45729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45729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45729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45729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45729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45729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45729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45729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45729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45729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45729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45729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45729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45729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45729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45729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45729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45729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45729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45729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45729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45729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45729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45729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45729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45729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45729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45729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45729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45729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45729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45729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45729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45729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45729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45729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45729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45729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45729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45729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45729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45729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45729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45729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45729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45729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45729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45729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45729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45729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45729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45729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45729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45729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45729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45729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45729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45729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45729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45729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45729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45729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45729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45729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45729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45729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45729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45729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45729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45729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45729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45729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45729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45729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45729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45729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45729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45729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45729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45729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45729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45729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45729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45729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45729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45729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45729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45729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45729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45729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45729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45729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45729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45729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45729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45729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45729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45729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45729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45729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45729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45729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45729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45729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45729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45729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45729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45729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45729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45729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45729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45729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45729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45729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45729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45729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45729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45729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45729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45729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45729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45729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45729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45729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45729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45729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45729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45729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45729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45729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45729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45729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45729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45729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45729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45729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45729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45729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45729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45729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45729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45729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45729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45729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45729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45729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45729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45729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45729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45729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45729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45729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45729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45729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45729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45729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45729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45729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45729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45729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45729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45729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45729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45729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45729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45729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45729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45729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45729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45729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45729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45729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45729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45729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45729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45729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45729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45729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45729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45729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45729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45729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45729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45729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45729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45729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45729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45729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45729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45729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45729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45729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45729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45729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45729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45729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45729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45729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45729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45729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45729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45729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45729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45729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45729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45729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45729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45729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45729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45729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45729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45729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45729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45729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45729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45729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45729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45729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45729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45729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45729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45729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45729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45729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45729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45729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45729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45729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45729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45729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45729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45729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45729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45729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45729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45729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45729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45729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45729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45729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45729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45729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45729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45729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45729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45729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45729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45729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45729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45729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45729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45729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45729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45729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45729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45729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45729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45729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45729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45729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45729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45729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45729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45729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45729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45729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45729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45729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45729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45729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45729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45729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45729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45729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45729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45729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45729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45729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45729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45729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45729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45729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45729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45729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45729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45729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45729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45729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45729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45729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45729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45729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45729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45729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45729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45729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45729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45729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45729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45729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45729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45729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45729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45729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45729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45729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45729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45729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45729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45729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45729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45729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45729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45729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45729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45729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45729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45729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45729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45729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45729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45729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45729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45729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45729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45729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45729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45729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45729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45729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45729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45729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45729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45729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45729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45729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45729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45729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45729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45729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45729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45729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45729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45729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45729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45729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45729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45729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45729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45729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45729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45729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45729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45729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45729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45729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45729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45729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45729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45729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45729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45729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45729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45729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45729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45729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45729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45729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45729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45729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45729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45729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45729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45729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45729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45729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45729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45729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45729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45729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45729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45729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45729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45729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45729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45729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45729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45729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45729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45729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45729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45729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45729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45729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45729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45729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45729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45729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45729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45729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45729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45729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45729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45729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45729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45729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45729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45729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45729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45729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45729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45729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45729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45729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45729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45729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45729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45729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45729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45729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45729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45729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45729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45729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45729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45729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45729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45729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45729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45729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45729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45729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45729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45729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45729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45729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45729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45729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45729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45729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45729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45729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45729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45729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45729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45729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45729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45729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45729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45729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45729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45729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45729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45729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45729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45729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45729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45729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45729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45729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45729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45729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45729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45729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45729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45729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45729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45729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45729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45729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45729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45729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45729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45729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45729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45729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45729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45729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45729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45729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45729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45729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45729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45729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45729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45729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45729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45729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45729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45729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45729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45729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45729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45729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45729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45729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45729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45729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45729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45729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45729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45729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45729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45729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45729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45729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45729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45729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45729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45729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45729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45729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45729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45729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45729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45729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45729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45729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45729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45729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45729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45729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45729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45729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45729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45729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45729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45729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45729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45729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45729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45729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45729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45729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45729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45729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45729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45729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45729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45729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45729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45729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45729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45729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45729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45729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45729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45729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45729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45729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45729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45729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45729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45729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45729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45729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45729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45729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45729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45729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45729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45729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45729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45729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45729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45729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45729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45729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45729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45729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45729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45729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45729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45729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45729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45729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45729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45729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45729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45729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45729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45729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45729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45729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45729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45729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45729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45729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45729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45729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45729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45729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45729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45729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45729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45729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45729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45729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45729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45729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45729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45729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45729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45729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45729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45729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45729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45729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45729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45729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45729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45729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45729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45729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45729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45729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45729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45729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45729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45729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45729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45729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45729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45729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45729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45729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45729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45729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45729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45729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45729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45729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45729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45729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45729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45729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45729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45729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45729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45729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45729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45729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45729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45729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45729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45729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45729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45729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45729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45729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45729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45729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45729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45729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45729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45729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45729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45729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45729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45729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45729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45729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45729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45729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45729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45729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45729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45729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45729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45729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45729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45729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45729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45729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45729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45729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45729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45729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45729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45729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45729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45729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45729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45729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45729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45729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45729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45729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45729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45729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45729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45729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45729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45729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45729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45729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45729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45729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45729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45729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45729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45729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45729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45729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45729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45729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45729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45729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45729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45729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45729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45729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45729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45729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45729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45729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45729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45729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45729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45729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45729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45729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45729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45729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45729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45729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45729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45729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45729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45729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45729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45729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45729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45729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45729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45729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45729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45729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45729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45729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45729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45729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45729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45729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45729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45729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45729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45729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45729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45729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45729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45729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45729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45729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45729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45729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45729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45729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45729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45729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45729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45729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45729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45729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45729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45729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45729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45729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45729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45729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45729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45729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45729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45729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45729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45729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45729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45729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45729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45729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45729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45729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45729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45729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45729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45729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45729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45729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45729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45729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45729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45729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45729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45729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45729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45729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45729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45729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45729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45729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45729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45729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45729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45729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45729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45729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45729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45729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45729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45729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45729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45729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45729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45729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45729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45729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45729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45729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45729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45729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45729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45729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45729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45729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45729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45729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45729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45729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45729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45729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45729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45729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45729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45729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45729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45729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45729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45729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45729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45729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45729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45729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45729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45729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45729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45729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45729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45729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45729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45729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45729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45729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45729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45729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45729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45729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45729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45729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45729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45729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45729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45729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45729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45729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45729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45729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45729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45729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45729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45729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45729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45729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45729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45729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45729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45729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45729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45729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45729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45729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45729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45729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45729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45729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45729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45729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45729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45729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45729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45729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45729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45729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45729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45729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45729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45729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45729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45729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45729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45729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45729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45729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45729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45729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45729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45729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45729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45729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45729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45729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45729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45729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45729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45729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45729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45729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45729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45729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45729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45729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45729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45729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45729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45729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45729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45729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45729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45729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45729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45729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45729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45729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45729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45729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45729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45729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45729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45729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45729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45729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45729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45729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45729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45729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45729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45729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45729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45729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45729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45729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45729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45729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45729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45729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45729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45729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45729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45729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45729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45729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45729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45729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45729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45729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45729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45729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45729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45729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45729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45729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45729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45729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45729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45729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45729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45729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45729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45729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45729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45729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45729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45729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45729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45729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45729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45729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45729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45729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45729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45729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45729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45729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45729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45729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45729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45729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45729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45729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45729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45729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45729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45729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45729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45729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45729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45729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45729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45729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45729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45729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45729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45729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45729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45729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45729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45729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45729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45729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45729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45729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45729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45729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45729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45729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45729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45729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45729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45729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45729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45729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45729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45729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45729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45729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45729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45729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45729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45729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45729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45729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45729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45729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45729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45729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45729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45729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45729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45729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45729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45729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45729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45729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45729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45729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45729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45729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45729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45729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45729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45729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45729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45729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45729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45729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45729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45729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45729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45729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45729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45729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45729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45729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45729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7717-2025</t>
        </is>
      </c>
      <c r="B2273" s="1" t="n">
        <v>45706</v>
      </c>
      <c r="C2273" s="1" t="n">
        <v>45729</v>
      </c>
      <c r="D2273" t="inlineStr">
        <is>
          <t>VÄRMLANDS LÄN</t>
        </is>
      </c>
      <c r="E2273" t="inlineStr">
        <is>
          <t>ARVIKA</t>
        </is>
      </c>
      <c r="F2273" t="inlineStr">
        <is>
          <t>Bergvik skog väst AB</t>
        </is>
      </c>
      <c r="G2273" t="n">
        <v>9.300000000000001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7792-2025</t>
        </is>
      </c>
      <c r="B2274" s="1" t="n">
        <v>45706</v>
      </c>
      <c r="C2274" s="1" t="n">
        <v>45729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7842-2025</t>
        </is>
      </c>
      <c r="B2275" s="1" t="n">
        <v>45706</v>
      </c>
      <c r="C2275" s="1" t="n">
        <v>45729</v>
      </c>
      <c r="D2275" t="inlineStr">
        <is>
          <t>VÄRMLANDS LÄN</t>
        </is>
      </c>
      <c r="E2275" t="inlineStr">
        <is>
          <t>ARVIKA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45729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45729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45729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7985-2025</t>
        </is>
      </c>
      <c r="B2279" s="1" t="n">
        <v>45707</v>
      </c>
      <c r="C2279" s="1" t="n">
        <v>45729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7980-2025</t>
        </is>
      </c>
      <c r="B2280" s="1" t="n">
        <v>45707</v>
      </c>
      <c r="C2280" s="1" t="n">
        <v>45729</v>
      </c>
      <c r="D2280" t="inlineStr">
        <is>
          <t>VÄRMLANDS LÄN</t>
        </is>
      </c>
      <c r="E2280" t="inlineStr">
        <is>
          <t>ARVIKA</t>
        </is>
      </c>
      <c r="G2280" t="n">
        <v>0.3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45729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8061-2025</t>
        </is>
      </c>
      <c r="B2282" s="1" t="n">
        <v>45707</v>
      </c>
      <c r="C2282" s="1" t="n">
        <v>45729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45729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45729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45729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8631-2025</t>
        </is>
      </c>
      <c r="B2286" s="1" t="n">
        <v>45711</v>
      </c>
      <c r="C2286" s="1" t="n">
        <v>45729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45729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45729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9057-2025</t>
        </is>
      </c>
      <c r="B2289" s="1" t="n">
        <v>45713</v>
      </c>
      <c r="C2289" s="1" t="n">
        <v>45729</v>
      </c>
      <c r="D2289" t="inlineStr">
        <is>
          <t>VÄRMLANDS LÄN</t>
        </is>
      </c>
      <c r="E2289" t="inlineStr">
        <is>
          <t>ARVIKA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45729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45729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45729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9691-2025</t>
        </is>
      </c>
      <c r="B2293" s="1" t="n">
        <v>45716</v>
      </c>
      <c r="C2293" s="1" t="n">
        <v>45729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9721-2025</t>
        </is>
      </c>
      <c r="B2294" s="1" t="n">
        <v>45716</v>
      </c>
      <c r="C2294" s="1" t="n">
        <v>45729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9749-2025</t>
        </is>
      </c>
      <c r="B2295" s="1" t="n">
        <v>45716</v>
      </c>
      <c r="C2295" s="1" t="n">
        <v>45729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9690-2025</t>
        </is>
      </c>
      <c r="B2296" s="1" t="n">
        <v>45716</v>
      </c>
      <c r="C2296" s="1" t="n">
        <v>45729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45729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45729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10249-2025</t>
        </is>
      </c>
      <c r="B2299" s="1" t="n">
        <v>45720</v>
      </c>
      <c r="C2299" s="1" t="n">
        <v>45729</v>
      </c>
      <c r="D2299" t="inlineStr">
        <is>
          <t>VÄRMLANDS LÄN</t>
        </is>
      </c>
      <c r="E2299" t="inlineStr">
        <is>
          <t>ARVIKA</t>
        </is>
      </c>
      <c r="G2299" t="n">
        <v>8.800000000000001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45729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10256-2025</t>
        </is>
      </c>
      <c r="B2301" s="1" t="n">
        <v>45720</v>
      </c>
      <c r="C2301" s="1" t="n">
        <v>45729</v>
      </c>
      <c r="D2301" t="inlineStr">
        <is>
          <t>VÄRMLANDS LÄN</t>
        </is>
      </c>
      <c r="E2301" t="inlineStr">
        <is>
          <t>ARVIKA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10276-2025</t>
        </is>
      </c>
      <c r="B2302" s="1" t="n">
        <v>45720</v>
      </c>
      <c r="C2302" s="1" t="n">
        <v>45729</v>
      </c>
      <c r="D2302" t="inlineStr">
        <is>
          <t>VÄRMLANDS LÄN</t>
        </is>
      </c>
      <c r="E2302" t="inlineStr">
        <is>
          <t>ARVIKA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45729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10404-2025</t>
        </is>
      </c>
      <c r="B2304" s="1" t="n">
        <v>45720</v>
      </c>
      <c r="C2304" s="1" t="n">
        <v>45729</v>
      </c>
      <c r="D2304" t="inlineStr">
        <is>
          <t>VÄRMLANDS LÄN</t>
        </is>
      </c>
      <c r="E2304" t="inlineStr">
        <is>
          <t>ARVIKA</t>
        </is>
      </c>
      <c r="F2304" t="inlineStr">
        <is>
          <t>Bergvik skog väst AB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45729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45729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45729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45729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45729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45729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11230-2025</t>
        </is>
      </c>
      <c r="B2311" s="1" t="n">
        <v>45726</v>
      </c>
      <c r="C2311" s="1" t="n">
        <v>45729</v>
      </c>
      <c r="D2311" t="inlineStr">
        <is>
          <t>VÄRMLANDS LÄN</t>
        </is>
      </c>
      <c r="E2311" t="inlineStr">
        <is>
          <t>ARVIKA</t>
        </is>
      </c>
      <c r="F2311" t="inlineStr">
        <is>
          <t>Bergvik skog väst AB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45729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11342-2025</t>
        </is>
      </c>
      <c r="B2313" s="1" t="n">
        <v>45726</v>
      </c>
      <c r="C2313" s="1" t="n">
        <v>45729</v>
      </c>
      <c r="D2313" t="inlineStr">
        <is>
          <t>VÄRMLANDS LÄN</t>
        </is>
      </c>
      <c r="E2313" t="inlineStr">
        <is>
          <t>ARVIKA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11321-2025</t>
        </is>
      </c>
      <c r="B2314" s="1" t="n">
        <v>45726</v>
      </c>
      <c r="C2314" s="1" t="n">
        <v>45729</v>
      </c>
      <c r="D2314" t="inlineStr">
        <is>
          <t>VÄRMLANDS LÄN</t>
        </is>
      </c>
      <c r="E2314" t="inlineStr">
        <is>
          <t>ARVIKA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11562-2025</t>
        </is>
      </c>
      <c r="B2315" s="1" t="n">
        <v>45727</v>
      </c>
      <c r="C2315" s="1" t="n">
        <v>45729</v>
      </c>
      <c r="D2315" t="inlineStr">
        <is>
          <t>VÄRMLANDS LÄN</t>
        </is>
      </c>
      <c r="E2315" t="inlineStr">
        <is>
          <t>ARVIKA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11671-2025</t>
        </is>
      </c>
      <c r="B2316" s="1" t="n">
        <v>45727</v>
      </c>
      <c r="C2316" s="1" t="n">
        <v>45729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6.7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45729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11647-2025</t>
        </is>
      </c>
      <c r="B2318" s="1" t="n">
        <v>45727</v>
      </c>
      <c r="C2318" s="1" t="n">
        <v>45729</v>
      </c>
      <c r="D2318" t="inlineStr">
        <is>
          <t>VÄRMLANDS LÄN</t>
        </is>
      </c>
      <c r="E2318" t="inlineStr">
        <is>
          <t>ARVIKA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11679-2025</t>
        </is>
      </c>
      <c r="B2319" s="1" t="n">
        <v>45727</v>
      </c>
      <c r="C2319" s="1" t="n">
        <v>45729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11892-2025</t>
        </is>
      </c>
      <c r="B2320" s="1" t="n">
        <v>45728</v>
      </c>
      <c r="C2320" s="1" t="n">
        <v>45729</v>
      </c>
      <c r="D2320" t="inlineStr">
        <is>
          <t>VÄRMLANDS LÄN</t>
        </is>
      </c>
      <c r="E2320" t="inlineStr">
        <is>
          <t>ARVIKA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11913-2025</t>
        </is>
      </c>
      <c r="B2321" s="1" t="n">
        <v>45728</v>
      </c>
      <c r="C2321" s="1" t="n">
        <v>45729</v>
      </c>
      <c r="D2321" t="inlineStr">
        <is>
          <t>VÄRMLANDS LÄN</t>
        </is>
      </c>
      <c r="E2321" t="inlineStr">
        <is>
          <t>ARVIKA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11890-2025</t>
        </is>
      </c>
      <c r="B2322" s="1" t="n">
        <v>45728</v>
      </c>
      <c r="C2322" s="1" t="n">
        <v>45729</v>
      </c>
      <c r="D2322" t="inlineStr">
        <is>
          <t>VÄRMLANDS LÄN</t>
        </is>
      </c>
      <c r="E2322" t="inlineStr">
        <is>
          <t>ARVIKA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11898-2025</t>
        </is>
      </c>
      <c r="B2323" s="1" t="n">
        <v>45728</v>
      </c>
      <c r="C2323" s="1" t="n">
        <v>45729</v>
      </c>
      <c r="D2323" t="inlineStr">
        <is>
          <t>VÄRMLANDS LÄN</t>
        </is>
      </c>
      <c r="E2323" t="inlineStr">
        <is>
          <t>ARVIKA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>
      <c r="A2324" t="inlineStr">
        <is>
          <t>A 11969-2025</t>
        </is>
      </c>
      <c r="B2324" s="1" t="n">
        <v>45728</v>
      </c>
      <c r="C2324" s="1" t="n">
        <v>45729</v>
      </c>
      <c r="D2324" t="inlineStr">
        <is>
          <t>VÄRMLANDS LÄN</t>
        </is>
      </c>
      <c r="E2324" t="inlineStr">
        <is>
          <t>ARVIKA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2025-03-13T16:45:33Z</dcterms:created>
  <dcterms:modified xmlns:dcterms="http://purl.org/dc/terms/" xmlns:xsi="http://www.w3.org/2001/XMLSchema-instance" xsi:type="dcterms:W3CDTF">2025-03-13T16:45:35Z</dcterms:modified>
</cp:coreProperties>
</file>