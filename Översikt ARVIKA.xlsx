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45841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45841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45841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45841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45841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45841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45841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45841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45841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45841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45841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45841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45841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45841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45841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45841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45841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45841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45841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45841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45841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45841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45841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45841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45841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45841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45841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45841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45841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45841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45841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45841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45841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45841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45841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45841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45841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45841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45841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45841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45841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45841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45841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45841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45841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45841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45841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45841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45841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45841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45841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45841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45841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45841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45841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45841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45841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45841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45841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45841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45841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45841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45841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45841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45841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45841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45841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45841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45841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45841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45841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45841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45841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45841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45841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45841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45841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45841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45841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45841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45841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45841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45841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45841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45841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45841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45841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45841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45841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45841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45841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45841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45841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45841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45841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45841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45841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45841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45841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45841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15988-2025</t>
        </is>
      </c>
      <c r="B110" s="1" t="n">
        <v>45749</v>
      </c>
      <c r="C110" s="1" t="n">
        <v>45841</v>
      </c>
      <c r="D110" t="inlineStr">
        <is>
          <t>VÄRMLANDS LÄN</t>
        </is>
      </c>
      <c r="E110" t="inlineStr">
        <is>
          <t>ARVIKA</t>
        </is>
      </c>
      <c r="G110" t="n">
        <v>6.5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Göktyta</t>
        </is>
      </c>
      <c r="S110">
        <f>HYPERLINK("https://klasma.github.io/Logging_171784/artfynd/A 15988-2025 artfynd.xlsx", "A 15988-2025")</f>
        <v/>
      </c>
      <c r="T110">
        <f>HYPERLINK("https://klasma.github.io/Logging_171784/kartor/A 15988-2025 karta.png", "A 15988-2025")</f>
        <v/>
      </c>
      <c r="V110">
        <f>HYPERLINK("https://klasma.github.io/Logging_171784/klagomål/A 15988-2025 FSC-klagomål.docx", "A 15988-2025")</f>
        <v/>
      </c>
      <c r="W110">
        <f>HYPERLINK("https://klasma.github.io/Logging_171784/klagomålsmail/A 15988-2025 FSC-klagomål mail.docx", "A 15988-2025")</f>
        <v/>
      </c>
      <c r="X110">
        <f>HYPERLINK("https://klasma.github.io/Logging_171784/tillsyn/A 15988-2025 tillsynsbegäran.docx", "A 15988-2025")</f>
        <v/>
      </c>
      <c r="Y110">
        <f>HYPERLINK("https://klasma.github.io/Logging_171784/tillsynsmail/A 15988-2025 tillsynsbegäran mail.docx", "A 15988-2025")</f>
        <v/>
      </c>
      <c r="Z110">
        <f>HYPERLINK("https://klasma.github.io/Logging_171784/fåglar/A 15988-2025 prioriterade fågelarter.docx", "A 15988-2025")</f>
        <v/>
      </c>
    </row>
    <row r="111" ht="15" customHeight="1">
      <c r="A111" t="inlineStr">
        <is>
          <t>A 19301-2025</t>
        </is>
      </c>
      <c r="B111" s="1" t="n">
        <v>45769</v>
      </c>
      <c r="C111" s="1" t="n">
        <v>45841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Lappuggla</t>
        </is>
      </c>
      <c r="S111">
        <f>HYPERLINK("https://klasma.github.io/Logging_171784/artfynd/A 19301-2025 artfynd.xlsx", "A 19301-2025")</f>
        <v/>
      </c>
      <c r="T111">
        <f>HYPERLINK("https://klasma.github.io/Logging_171784/kartor/A 19301-2025 karta.png", "A 19301-2025")</f>
        <v/>
      </c>
      <c r="V111">
        <f>HYPERLINK("https://klasma.github.io/Logging_171784/klagomål/A 19301-2025 FSC-klagomål.docx", "A 19301-2025")</f>
        <v/>
      </c>
      <c r="W111">
        <f>HYPERLINK("https://klasma.github.io/Logging_171784/klagomålsmail/A 19301-2025 FSC-klagomål mail.docx", "A 19301-2025")</f>
        <v/>
      </c>
      <c r="X111">
        <f>HYPERLINK("https://klasma.github.io/Logging_171784/tillsyn/A 19301-2025 tillsynsbegäran.docx", "A 19301-2025")</f>
        <v/>
      </c>
      <c r="Y111">
        <f>HYPERLINK("https://klasma.github.io/Logging_171784/tillsynsmail/A 19301-2025 tillsynsbegäran mail.docx", "A 19301-2025")</f>
        <v/>
      </c>
      <c r="Z111">
        <f>HYPERLINK("https://klasma.github.io/Logging_171784/fåglar/A 19301-2025 prioriterade fågelarter.docx", "A 19301-2025")</f>
        <v/>
      </c>
    </row>
    <row r="112" ht="15" customHeight="1">
      <c r="A112" t="inlineStr">
        <is>
          <t>A 25477-2025</t>
        </is>
      </c>
      <c r="B112" s="1" t="n">
        <v>45802</v>
      </c>
      <c r="C112" s="1" t="n">
        <v>45841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HYPERLINK("https://klasma.github.io/Logging_171784/artfynd/A 25477-2025 artfynd.xlsx", "A 25477-2025")</f>
        <v/>
      </c>
      <c r="T112">
        <f>HYPERLINK("https://klasma.github.io/Logging_171784/kartor/A 25477-2025 karta.png", "A 25477-2025")</f>
        <v/>
      </c>
      <c r="V112">
        <f>HYPERLINK("https://klasma.github.io/Logging_171784/klagomål/A 25477-2025 FSC-klagomål.docx", "A 25477-2025")</f>
        <v/>
      </c>
      <c r="W112">
        <f>HYPERLINK("https://klasma.github.io/Logging_171784/klagomålsmail/A 25477-2025 FSC-klagomål mail.docx", "A 25477-2025")</f>
        <v/>
      </c>
      <c r="X112">
        <f>HYPERLINK("https://klasma.github.io/Logging_171784/tillsyn/A 25477-2025 tillsynsbegäran.docx", "A 25477-2025")</f>
        <v/>
      </c>
      <c r="Y112">
        <f>HYPERLINK("https://klasma.github.io/Logging_171784/tillsynsmail/A 25477-2025 tillsynsbegäran mail.docx", "A 25477-2025")</f>
        <v/>
      </c>
    </row>
    <row r="113" ht="15" customHeight="1">
      <c r="A113" t="inlineStr">
        <is>
          <t>A 29160-2025</t>
        </is>
      </c>
      <c r="B113" s="1" t="n">
        <v>45821</v>
      </c>
      <c r="C113" s="1" t="n">
        <v>45841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HYPERLINK("https://klasma.github.io/Logging_171784/artfynd/A 29160-2025 artfynd.xlsx", "A 29160-2025")</f>
        <v/>
      </c>
      <c r="T113">
        <f>HYPERLINK("https://klasma.github.io/Logging_171784/kartor/A 29160-2025 karta.png", "A 29160-2025")</f>
        <v/>
      </c>
      <c r="V113">
        <f>HYPERLINK("https://klasma.github.io/Logging_171784/klagomål/A 29160-2025 FSC-klagomål.docx", "A 29160-2025")</f>
        <v/>
      </c>
      <c r="W113">
        <f>HYPERLINK("https://klasma.github.io/Logging_171784/klagomålsmail/A 29160-2025 FSC-klagomål mail.docx", "A 29160-2025")</f>
        <v/>
      </c>
      <c r="X113">
        <f>HYPERLINK("https://klasma.github.io/Logging_171784/tillsyn/A 29160-2025 tillsynsbegäran.docx", "A 29160-2025")</f>
        <v/>
      </c>
      <c r="Y113">
        <f>HYPERLINK("https://klasma.github.io/Logging_171784/tillsynsmail/A 29160-2025 tillsynsbegäran mail.docx", "A 29160-2025")</f>
        <v/>
      </c>
      <c r="Z113">
        <f>HYPERLINK("https://klasma.github.io/Logging_171784/fåglar/A 29160-2025 prioriterade fågelarter.docx", "A 29160-2025")</f>
        <v/>
      </c>
    </row>
    <row r="114" ht="15" customHeight="1">
      <c r="A114" t="inlineStr">
        <is>
          <t>A 29432-2025</t>
        </is>
      </c>
      <c r="B114" s="1" t="n">
        <v>45824</v>
      </c>
      <c r="C114" s="1" t="n">
        <v>45841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HYPERLINK("https://klasma.github.io/Logging_171784/artfynd/A 29432-2025 artfynd.xlsx", "A 29432-2025")</f>
        <v/>
      </c>
      <c r="T114">
        <f>HYPERLINK("https://klasma.github.io/Logging_171784/kartor/A 29432-2025 karta.png", "A 29432-2025")</f>
        <v/>
      </c>
      <c r="V114">
        <f>HYPERLINK("https://klasma.github.io/Logging_171784/klagomål/A 29432-2025 FSC-klagomål.docx", "A 29432-2025")</f>
        <v/>
      </c>
      <c r="W114">
        <f>HYPERLINK("https://klasma.github.io/Logging_171784/klagomålsmail/A 29432-2025 FSC-klagomål mail.docx", "A 29432-2025")</f>
        <v/>
      </c>
      <c r="X114">
        <f>HYPERLINK("https://klasma.github.io/Logging_171784/tillsyn/A 29432-2025 tillsynsbegäran.docx", "A 29432-2025")</f>
        <v/>
      </c>
      <c r="Y114">
        <f>HYPERLINK("https://klasma.github.io/Logging_171784/tillsynsmail/A 29432-2025 tillsynsbegäran mail.docx", "A 29432-2025")</f>
        <v/>
      </c>
    </row>
    <row r="115" ht="15" customHeight="1">
      <c r="A115" t="inlineStr">
        <is>
          <t>A 30071-2025</t>
        </is>
      </c>
      <c r="B115" s="1" t="n">
        <v>45826</v>
      </c>
      <c r="C115" s="1" t="n">
        <v>45841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Svart trolldruva</t>
        </is>
      </c>
      <c r="S115">
        <f>HYPERLINK("https://klasma.github.io/Logging_171784/artfynd/A 30071-2025 artfynd.xlsx", "A 30071-2025")</f>
        <v/>
      </c>
      <c r="T115">
        <f>HYPERLINK("https://klasma.github.io/Logging_171784/kartor/A 30071-2025 karta.png", "A 30071-2025")</f>
        <v/>
      </c>
      <c r="V115">
        <f>HYPERLINK("https://klasma.github.io/Logging_171784/klagomål/A 30071-2025 FSC-klagomål.docx", "A 30071-2025")</f>
        <v/>
      </c>
      <c r="W115">
        <f>HYPERLINK("https://klasma.github.io/Logging_171784/klagomålsmail/A 30071-2025 FSC-klagomål mail.docx", "A 30071-2025")</f>
        <v/>
      </c>
      <c r="X115">
        <f>HYPERLINK("https://klasma.github.io/Logging_171784/tillsyn/A 30071-2025 tillsynsbegäran.docx", "A 30071-2025")</f>
        <v/>
      </c>
      <c r="Y115">
        <f>HYPERLINK("https://klasma.github.io/Logging_171784/tillsynsmail/A 30071-2025 tillsynsbegäran mail.docx", "A 30071-2025")</f>
        <v/>
      </c>
    </row>
    <row r="116" ht="15" customHeight="1">
      <c r="A116" t="inlineStr">
        <is>
          <t>A 31588-2025</t>
        </is>
      </c>
      <c r="B116" s="1" t="n">
        <v>45833</v>
      </c>
      <c r="C116" s="1" t="n">
        <v>45841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HYPERLINK("https://klasma.github.io/Logging_171784/artfynd/A 31588-2025 artfynd.xlsx", "A 31588-2025")</f>
        <v/>
      </c>
      <c r="T116">
        <f>HYPERLINK("https://klasma.github.io/Logging_171784/kartor/A 31588-2025 karta.png", "A 31588-2025")</f>
        <v/>
      </c>
      <c r="V116">
        <f>HYPERLINK("https://klasma.github.io/Logging_171784/klagomål/A 31588-2025 FSC-klagomål.docx", "A 31588-2025")</f>
        <v/>
      </c>
      <c r="W116">
        <f>HYPERLINK("https://klasma.github.io/Logging_171784/klagomålsmail/A 31588-2025 FSC-klagomål mail.docx", "A 31588-2025")</f>
        <v/>
      </c>
      <c r="X116">
        <f>HYPERLINK("https://klasma.github.io/Logging_171784/tillsyn/A 31588-2025 tillsynsbegäran.docx", "A 31588-2025")</f>
        <v/>
      </c>
      <c r="Y116">
        <f>HYPERLINK("https://klasma.github.io/Logging_171784/tillsynsmail/A 31588-2025 tillsynsbegäran mail.docx", "A 31588-2025")</f>
        <v/>
      </c>
    </row>
    <row r="117" ht="15" customHeight="1">
      <c r="A117" t="inlineStr">
        <is>
          <t>A 17779-2019</t>
        </is>
      </c>
      <c r="B117" s="1" t="n">
        <v>43556</v>
      </c>
      <c r="C117" s="1" t="n">
        <v>45841</v>
      </c>
      <c r="D117" t="inlineStr">
        <is>
          <t>VÄRMLANDS LÄN</t>
        </is>
      </c>
      <c r="E117" t="inlineStr">
        <is>
          <t>ARVIKA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18001-2019</t>
        </is>
      </c>
      <c r="B118" s="1" t="n">
        <v>43556</v>
      </c>
      <c r="C118" s="1" t="n">
        <v>45841</v>
      </c>
      <c r="D118" t="inlineStr">
        <is>
          <t>VÄRMLANDS LÄN</t>
        </is>
      </c>
      <c r="E118" t="inlineStr">
        <is>
          <t>ARVIKA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18243-2019</t>
        </is>
      </c>
      <c r="B119" s="1" t="n">
        <v>43557</v>
      </c>
      <c r="C119" s="1" t="n">
        <v>45841</v>
      </c>
      <c r="D119" t="inlineStr">
        <is>
          <t>VÄRMLANDS LÄN</t>
        </is>
      </c>
      <c r="E119" t="inlineStr">
        <is>
          <t>ARVIKA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18249-2019</t>
        </is>
      </c>
      <c r="B120" s="1" t="n">
        <v>43557</v>
      </c>
      <c r="C120" s="1" t="n">
        <v>45841</v>
      </c>
      <c r="D120" t="inlineStr">
        <is>
          <t>VÄRMLANDS LÄN</t>
        </is>
      </c>
      <c r="E120" t="inlineStr">
        <is>
          <t>ARVIKA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18117-2019</t>
        </is>
      </c>
      <c r="B121" s="1" t="n">
        <v>43558</v>
      </c>
      <c r="C121" s="1" t="n">
        <v>45841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18153-2019</t>
        </is>
      </c>
      <c r="B122" s="1" t="n">
        <v>43558</v>
      </c>
      <c r="C122" s="1" t="n">
        <v>45841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18574-2019</t>
        </is>
      </c>
      <c r="B123" s="1" t="n">
        <v>43560</v>
      </c>
      <c r="C123" s="1" t="n">
        <v>45841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19011-2019</t>
        </is>
      </c>
      <c r="B124" s="1" t="n">
        <v>43563</v>
      </c>
      <c r="C124" s="1" t="n">
        <v>45841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19096-2019</t>
        </is>
      </c>
      <c r="B125" s="1" t="n">
        <v>43564</v>
      </c>
      <c r="C125" s="1" t="n">
        <v>45841</v>
      </c>
      <c r="D125" t="inlineStr">
        <is>
          <t>VÄRMLANDS LÄN</t>
        </is>
      </c>
      <c r="E125" t="inlineStr">
        <is>
          <t>ARVIKA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19164-2019</t>
        </is>
      </c>
      <c r="B126" s="1" t="n">
        <v>43564</v>
      </c>
      <c r="C126" s="1" t="n">
        <v>45841</v>
      </c>
      <c r="D126" t="inlineStr">
        <is>
          <t>VÄRMLANDS LÄN</t>
        </is>
      </c>
      <c r="E126" t="inlineStr">
        <is>
          <t>ARVIKA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20364-2019</t>
        </is>
      </c>
      <c r="B127" s="1" t="n">
        <v>43571</v>
      </c>
      <c r="C127" s="1" t="n">
        <v>45841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20329-2019</t>
        </is>
      </c>
      <c r="B128" s="1" t="n">
        <v>43571</v>
      </c>
      <c r="C128" s="1" t="n">
        <v>45841</v>
      </c>
      <c r="D128" t="inlineStr">
        <is>
          <t>VÄRMLANDS LÄN</t>
        </is>
      </c>
      <c r="E128" t="inlineStr">
        <is>
          <t>ARVIKA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20927-2019</t>
        </is>
      </c>
      <c r="B129" s="1" t="n">
        <v>43578</v>
      </c>
      <c r="C129" s="1" t="n">
        <v>45841</v>
      </c>
      <c r="D129" t="inlineStr">
        <is>
          <t>VÄRMLANDS LÄN</t>
        </is>
      </c>
      <c r="E129" t="inlineStr">
        <is>
          <t>ARVIKA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21299-2019</t>
        </is>
      </c>
      <c r="B130" s="1" t="n">
        <v>43579</v>
      </c>
      <c r="C130" s="1" t="n">
        <v>45841</v>
      </c>
      <c r="D130" t="inlineStr">
        <is>
          <t>VÄRMLANDS LÄN</t>
        </is>
      </c>
      <c r="E130" t="inlineStr">
        <is>
          <t>ARVIKA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21447-2019</t>
        </is>
      </c>
      <c r="B131" s="1" t="n">
        <v>43580</v>
      </c>
      <c r="C131" s="1" t="n">
        <v>45841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21802-2019</t>
        </is>
      </c>
      <c r="B132" s="1" t="n">
        <v>43582</v>
      </c>
      <c r="C132" s="1" t="n">
        <v>45841</v>
      </c>
      <c r="D132" t="inlineStr">
        <is>
          <t>VÄRMLANDS LÄN</t>
        </is>
      </c>
      <c r="E132" t="inlineStr">
        <is>
          <t>ARVIKA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21804-2019</t>
        </is>
      </c>
      <c r="B133" s="1" t="n">
        <v>43582</v>
      </c>
      <c r="C133" s="1" t="n">
        <v>45841</v>
      </c>
      <c r="D133" t="inlineStr">
        <is>
          <t>VÄRMLANDS LÄN</t>
        </is>
      </c>
      <c r="E133" t="inlineStr">
        <is>
          <t>ARVIKA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23122-2019</t>
        </is>
      </c>
      <c r="B134" s="1" t="n">
        <v>43592</v>
      </c>
      <c r="C134" s="1" t="n">
        <v>45841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23646-2019</t>
        </is>
      </c>
      <c r="B135" s="1" t="n">
        <v>43594</v>
      </c>
      <c r="C135" s="1" t="n">
        <v>45841</v>
      </c>
      <c r="D135" t="inlineStr">
        <is>
          <t>VÄRMLANDS LÄN</t>
        </is>
      </c>
      <c r="E135" t="inlineStr">
        <is>
          <t>ARVIKA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24236-2019</t>
        </is>
      </c>
      <c r="B136" s="1" t="n">
        <v>43596</v>
      </c>
      <c r="C136" s="1" t="n">
        <v>45841</v>
      </c>
      <c r="D136" t="inlineStr">
        <is>
          <t>VÄRMLANDS LÄN</t>
        </is>
      </c>
      <c r="E136" t="inlineStr">
        <is>
          <t>ARVIKA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24240-2019</t>
        </is>
      </c>
      <c r="B137" s="1" t="n">
        <v>43596</v>
      </c>
      <c r="C137" s="1" t="n">
        <v>45841</v>
      </c>
      <c r="D137" t="inlineStr">
        <is>
          <t>VÄRMLANDS LÄN</t>
        </is>
      </c>
      <c r="E137" t="inlineStr">
        <is>
          <t>ARVIKA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24235-2019</t>
        </is>
      </c>
      <c r="B138" s="1" t="n">
        <v>43596</v>
      </c>
      <c r="C138" s="1" t="n">
        <v>45841</v>
      </c>
      <c r="D138" t="inlineStr">
        <is>
          <t>VÄRMLANDS LÄN</t>
        </is>
      </c>
      <c r="E138" t="inlineStr">
        <is>
          <t>ARVIKA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24249-2019</t>
        </is>
      </c>
      <c r="B139" s="1" t="n">
        <v>43596</v>
      </c>
      <c r="C139" s="1" t="n">
        <v>45841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24414-2019</t>
        </is>
      </c>
      <c r="B140" s="1" t="n">
        <v>43600</v>
      </c>
      <c r="C140" s="1" t="n">
        <v>45841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24468-2019</t>
        </is>
      </c>
      <c r="B141" s="1" t="n">
        <v>43600</v>
      </c>
      <c r="C141" s="1" t="n">
        <v>45841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24763-2019</t>
        </is>
      </c>
      <c r="B142" s="1" t="n">
        <v>43601</v>
      </c>
      <c r="C142" s="1" t="n">
        <v>45841</v>
      </c>
      <c r="D142" t="inlineStr">
        <is>
          <t>VÄRMLANDS LÄN</t>
        </is>
      </c>
      <c r="E142" t="inlineStr">
        <is>
          <t>ARVIKA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26527-2019</t>
        </is>
      </c>
      <c r="B143" s="1" t="n">
        <v>43612</v>
      </c>
      <c r="C143" s="1" t="n">
        <v>45841</v>
      </c>
      <c r="D143" t="inlineStr">
        <is>
          <t>VÄRMLANDS LÄN</t>
        </is>
      </c>
      <c r="E143" t="inlineStr">
        <is>
          <t>ARVIKA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26372-2019</t>
        </is>
      </c>
      <c r="B144" s="1" t="n">
        <v>43612</v>
      </c>
      <c r="C144" s="1" t="n">
        <v>45841</v>
      </c>
      <c r="D144" t="inlineStr">
        <is>
          <t>VÄRMLANDS LÄN</t>
        </is>
      </c>
      <c r="E144" t="inlineStr">
        <is>
          <t>ARVIKA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26653-2019</t>
        </is>
      </c>
      <c r="B145" s="1" t="n">
        <v>43613</v>
      </c>
      <c r="C145" s="1" t="n">
        <v>45841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26719-2019</t>
        </is>
      </c>
      <c r="B146" s="1" t="n">
        <v>43613</v>
      </c>
      <c r="C146" s="1" t="n">
        <v>45841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27076-2019</t>
        </is>
      </c>
      <c r="B147" s="1" t="n">
        <v>43614</v>
      </c>
      <c r="C147" s="1" t="n">
        <v>45841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29593-2019</t>
        </is>
      </c>
      <c r="B148" s="1" t="n">
        <v>43628</v>
      </c>
      <c r="C148" s="1" t="n">
        <v>45841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29588-2019</t>
        </is>
      </c>
      <c r="B149" s="1" t="n">
        <v>43628</v>
      </c>
      <c r="C149" s="1" t="n">
        <v>45841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29803-2019</t>
        </is>
      </c>
      <c r="B150" s="1" t="n">
        <v>43629</v>
      </c>
      <c r="C150" s="1" t="n">
        <v>45841</v>
      </c>
      <c r="D150" t="inlineStr">
        <is>
          <t>VÄRMLANDS LÄN</t>
        </is>
      </c>
      <c r="E150" t="inlineStr">
        <is>
          <t>ARVIKA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30328-2019</t>
        </is>
      </c>
      <c r="B151" s="1" t="n">
        <v>43633</v>
      </c>
      <c r="C151" s="1" t="n">
        <v>45841</v>
      </c>
      <c r="D151" t="inlineStr">
        <is>
          <t>VÄRMLANDS LÄN</t>
        </is>
      </c>
      <c r="E151" t="inlineStr">
        <is>
          <t>ARVIKA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30316-2019</t>
        </is>
      </c>
      <c r="B152" s="1" t="n">
        <v>43633</v>
      </c>
      <c r="C152" s="1" t="n">
        <v>45841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30325-2019</t>
        </is>
      </c>
      <c r="B153" s="1" t="n">
        <v>43633</v>
      </c>
      <c r="C153" s="1" t="n">
        <v>45841</v>
      </c>
      <c r="D153" t="inlineStr">
        <is>
          <t>VÄRMLANDS LÄN</t>
        </is>
      </c>
      <c r="E153" t="inlineStr">
        <is>
          <t>ARVIKA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30310-2019</t>
        </is>
      </c>
      <c r="B154" s="1" t="n">
        <v>43634</v>
      </c>
      <c r="C154" s="1" t="n">
        <v>45841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30353-2019</t>
        </is>
      </c>
      <c r="B155" s="1" t="n">
        <v>43634</v>
      </c>
      <c r="C155" s="1" t="n">
        <v>45841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30643-2019</t>
        </is>
      </c>
      <c r="B156" s="1" t="n">
        <v>43635</v>
      </c>
      <c r="C156" s="1" t="n">
        <v>45841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30636-2019</t>
        </is>
      </c>
      <c r="B157" s="1" t="n">
        <v>43635</v>
      </c>
      <c r="C157" s="1" t="n">
        <v>45841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622-2020</t>
        </is>
      </c>
      <c r="B158" s="1" t="n">
        <v>43635</v>
      </c>
      <c r="C158" s="1" t="n">
        <v>45841</v>
      </c>
      <c r="D158" t="inlineStr">
        <is>
          <t>VÄRMLANDS LÄN</t>
        </is>
      </c>
      <c r="E158" t="inlineStr">
        <is>
          <t>ARVIKA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30885-2019</t>
        </is>
      </c>
      <c r="B159" s="1" t="n">
        <v>43636</v>
      </c>
      <c r="C159" s="1" t="n">
        <v>45841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31218-2019</t>
        </is>
      </c>
      <c r="B160" s="1" t="n">
        <v>43640</v>
      </c>
      <c r="C160" s="1" t="n">
        <v>45841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31327-2019</t>
        </is>
      </c>
      <c r="B161" s="1" t="n">
        <v>43641</v>
      </c>
      <c r="C161" s="1" t="n">
        <v>45841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32185-2019</t>
        </is>
      </c>
      <c r="B162" s="1" t="n">
        <v>43643</v>
      </c>
      <c r="C162" s="1" t="n">
        <v>45841</v>
      </c>
      <c r="D162" t="inlineStr">
        <is>
          <t>VÄRMLANDS LÄN</t>
        </is>
      </c>
      <c r="E162" t="inlineStr">
        <is>
          <t>ARVIKA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32413-2019</t>
        </is>
      </c>
      <c r="B163" s="1" t="n">
        <v>43644</v>
      </c>
      <c r="C163" s="1" t="n">
        <v>45841</v>
      </c>
      <c r="D163" t="inlineStr">
        <is>
          <t>VÄRMLANDS LÄN</t>
        </is>
      </c>
      <c r="E163" t="inlineStr">
        <is>
          <t>ARVIKA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34023-2019</t>
        </is>
      </c>
      <c r="B164" s="1" t="n">
        <v>43654</v>
      </c>
      <c r="C164" s="1" t="n">
        <v>45841</v>
      </c>
      <c r="D164" t="inlineStr">
        <is>
          <t>VÄRMLANDS LÄN</t>
        </is>
      </c>
      <c r="E164" t="inlineStr">
        <is>
          <t>ARVIKA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36041-2019</t>
        </is>
      </c>
      <c r="B165" s="1" t="n">
        <v>43657</v>
      </c>
      <c r="C165" s="1" t="n">
        <v>45841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34582-2019</t>
        </is>
      </c>
      <c r="B166" s="1" t="n">
        <v>43657</v>
      </c>
      <c r="C166" s="1" t="n">
        <v>45841</v>
      </c>
      <c r="D166" t="inlineStr">
        <is>
          <t>VÄRMLANDS LÄN</t>
        </is>
      </c>
      <c r="E166" t="inlineStr">
        <is>
          <t>ARVIKA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36309-2019</t>
        </is>
      </c>
      <c r="B167" s="1" t="n">
        <v>43661</v>
      </c>
      <c r="C167" s="1" t="n">
        <v>45841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35181-2019</t>
        </is>
      </c>
      <c r="B168" s="1" t="n">
        <v>43662</v>
      </c>
      <c r="C168" s="1" t="n">
        <v>45841</v>
      </c>
      <c r="D168" t="inlineStr">
        <is>
          <t>VÄRMLANDS LÄN</t>
        </is>
      </c>
      <c r="E168" t="inlineStr">
        <is>
          <t>ARVIKA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36106-2019</t>
        </is>
      </c>
      <c r="B169" s="1" t="n">
        <v>43668</v>
      </c>
      <c r="C169" s="1" t="n">
        <v>45841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36648-2019</t>
        </is>
      </c>
      <c r="B170" s="1" t="n">
        <v>43671</v>
      </c>
      <c r="C170" s="1" t="n">
        <v>45841</v>
      </c>
      <c r="D170" t="inlineStr">
        <is>
          <t>VÄRMLANDS LÄN</t>
        </is>
      </c>
      <c r="E170" t="inlineStr">
        <is>
          <t>ARVIKA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37000-2019</t>
        </is>
      </c>
      <c r="B171" s="1" t="n">
        <v>43676</v>
      </c>
      <c r="C171" s="1" t="n">
        <v>45841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36999-2019</t>
        </is>
      </c>
      <c r="B172" s="1" t="n">
        <v>43676</v>
      </c>
      <c r="C172" s="1" t="n">
        <v>45841</v>
      </c>
      <c r="D172" t="inlineStr">
        <is>
          <t>VÄRMLANDS LÄN</t>
        </is>
      </c>
      <c r="E172" t="inlineStr">
        <is>
          <t>ARVIKA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37165-2019</t>
        </is>
      </c>
      <c r="B173" s="1" t="n">
        <v>43677</v>
      </c>
      <c r="C173" s="1" t="n">
        <v>45841</v>
      </c>
      <c r="D173" t="inlineStr">
        <is>
          <t>VÄRMLANDS LÄN</t>
        </is>
      </c>
      <c r="E173" t="inlineStr">
        <is>
          <t>ARVIKA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37199-2019</t>
        </is>
      </c>
      <c r="B174" s="1" t="n">
        <v>43677</v>
      </c>
      <c r="C174" s="1" t="n">
        <v>45841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37147-2019</t>
        </is>
      </c>
      <c r="B175" s="1" t="n">
        <v>43677</v>
      </c>
      <c r="C175" s="1" t="n">
        <v>45841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38002-2019</t>
        </is>
      </c>
      <c r="B176" s="1" t="n">
        <v>43683</v>
      </c>
      <c r="C176" s="1" t="n">
        <v>45841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38410-2019</t>
        </is>
      </c>
      <c r="B177" s="1" t="n">
        <v>43685</v>
      </c>
      <c r="C177" s="1" t="n">
        <v>45841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39740-2019</t>
        </is>
      </c>
      <c r="B178" s="1" t="n">
        <v>43691</v>
      </c>
      <c r="C178" s="1" t="n">
        <v>45841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40159-2019</t>
        </is>
      </c>
      <c r="B179" s="1" t="n">
        <v>43693</v>
      </c>
      <c r="C179" s="1" t="n">
        <v>45841</v>
      </c>
      <c r="D179" t="inlineStr">
        <is>
          <t>VÄRMLANDS LÄN</t>
        </is>
      </c>
      <c r="E179" t="inlineStr">
        <is>
          <t>ARVIKA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40397-2019</t>
        </is>
      </c>
      <c r="B180" s="1" t="n">
        <v>43696</v>
      </c>
      <c r="C180" s="1" t="n">
        <v>45841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41531-2019</t>
        </is>
      </c>
      <c r="B181" s="1" t="n">
        <v>43699</v>
      </c>
      <c r="C181" s="1" t="n">
        <v>45841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42102-2019</t>
        </is>
      </c>
      <c r="B182" s="1" t="n">
        <v>43702</v>
      </c>
      <c r="C182" s="1" t="n">
        <v>45841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42692-2019</t>
        </is>
      </c>
      <c r="B183" s="1" t="n">
        <v>43704</v>
      </c>
      <c r="C183" s="1" t="n">
        <v>45841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42485-2019</t>
        </is>
      </c>
      <c r="B184" s="1" t="n">
        <v>43704</v>
      </c>
      <c r="C184" s="1" t="n">
        <v>45841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42854-2019</t>
        </is>
      </c>
      <c r="B185" s="1" t="n">
        <v>43705</v>
      </c>
      <c r="C185" s="1" t="n">
        <v>45841</v>
      </c>
      <c r="D185" t="inlineStr">
        <is>
          <t>VÄRMLANDS LÄN</t>
        </is>
      </c>
      <c r="E185" t="inlineStr">
        <is>
          <t>ARVIKA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43146-2019</t>
        </is>
      </c>
      <c r="B186" s="1" t="n">
        <v>43705</v>
      </c>
      <c r="C186" s="1" t="n">
        <v>45841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44468-2019</t>
        </is>
      </c>
      <c r="B187" s="1" t="n">
        <v>43711</v>
      </c>
      <c r="C187" s="1" t="n">
        <v>45841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45796-2019</t>
        </is>
      </c>
      <c r="B188" s="1" t="n">
        <v>43712</v>
      </c>
      <c r="C188" s="1" t="n">
        <v>45841</v>
      </c>
      <c r="D188" t="inlineStr">
        <is>
          <t>VÄRMLANDS LÄN</t>
        </is>
      </c>
      <c r="E188" t="inlineStr">
        <is>
          <t>ARVIKA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44646-2019</t>
        </is>
      </c>
      <c r="B189" s="1" t="n">
        <v>43712</v>
      </c>
      <c r="C189" s="1" t="n">
        <v>45841</v>
      </c>
      <c r="D189" t="inlineStr">
        <is>
          <t>VÄRMLANDS LÄN</t>
        </is>
      </c>
      <c r="E189" t="inlineStr">
        <is>
          <t>ARVIKA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46270-2019</t>
        </is>
      </c>
      <c r="B190" s="1" t="n">
        <v>43718</v>
      </c>
      <c r="C190" s="1" t="n">
        <v>45841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46129-2019</t>
        </is>
      </c>
      <c r="B191" s="1" t="n">
        <v>43718</v>
      </c>
      <c r="C191" s="1" t="n">
        <v>45841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48077-2019</t>
        </is>
      </c>
      <c r="B192" s="1" t="n">
        <v>43725</v>
      </c>
      <c r="C192" s="1" t="n">
        <v>45841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48026-2019</t>
        </is>
      </c>
      <c r="B193" s="1" t="n">
        <v>43725</v>
      </c>
      <c r="C193" s="1" t="n">
        <v>45841</v>
      </c>
      <c r="D193" t="inlineStr">
        <is>
          <t>VÄRMLANDS LÄN</t>
        </is>
      </c>
      <c r="E193" t="inlineStr">
        <is>
          <t>ARVIKA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48549-2019</t>
        </is>
      </c>
      <c r="B194" s="1" t="n">
        <v>43727</v>
      </c>
      <c r="C194" s="1" t="n">
        <v>45841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48428-2019</t>
        </is>
      </c>
      <c r="B195" s="1" t="n">
        <v>43727</v>
      </c>
      <c r="C195" s="1" t="n">
        <v>45841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48892-2019</t>
        </is>
      </c>
      <c r="B196" s="1" t="n">
        <v>43728</v>
      </c>
      <c r="C196" s="1" t="n">
        <v>45841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49965-2019</t>
        </is>
      </c>
      <c r="B197" s="1" t="n">
        <v>43733</v>
      </c>
      <c r="C197" s="1" t="n">
        <v>45841</v>
      </c>
      <c r="D197" t="inlineStr">
        <is>
          <t>VÄRMLANDS LÄN</t>
        </is>
      </c>
      <c r="E197" t="inlineStr">
        <is>
          <t>ARVIKA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50540-2019</t>
        </is>
      </c>
      <c r="B198" s="1" t="n">
        <v>43735</v>
      </c>
      <c r="C198" s="1" t="n">
        <v>45841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50309-2019</t>
        </is>
      </c>
      <c r="B199" s="1" t="n">
        <v>43735</v>
      </c>
      <c r="C199" s="1" t="n">
        <v>45841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50953-2019</t>
        </is>
      </c>
      <c r="B200" s="1" t="n">
        <v>43738</v>
      </c>
      <c r="C200" s="1" t="n">
        <v>45841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51301-2019</t>
        </is>
      </c>
      <c r="B201" s="1" t="n">
        <v>43739</v>
      </c>
      <c r="C201" s="1" t="n">
        <v>45841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54709-2019</t>
        </is>
      </c>
      <c r="B202" s="1" t="n">
        <v>43748</v>
      </c>
      <c r="C202" s="1" t="n">
        <v>45841</v>
      </c>
      <c r="D202" t="inlineStr">
        <is>
          <t>VÄRMLANDS LÄN</t>
        </is>
      </c>
      <c r="E202" t="inlineStr">
        <is>
          <t>ARVIKA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53665-2019</t>
        </is>
      </c>
      <c r="B203" s="1" t="n">
        <v>43749</v>
      </c>
      <c r="C203" s="1" t="n">
        <v>45841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53491-2019</t>
        </is>
      </c>
      <c r="B204" s="1" t="n">
        <v>43749</v>
      </c>
      <c r="C204" s="1" t="n">
        <v>45841</v>
      </c>
      <c r="D204" t="inlineStr">
        <is>
          <t>VÄRMLANDS LÄN</t>
        </is>
      </c>
      <c r="E204" t="inlineStr">
        <is>
          <t>ARVIKA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55810-2019</t>
        </is>
      </c>
      <c r="B205" s="1" t="n">
        <v>43759</v>
      </c>
      <c r="C205" s="1" t="n">
        <v>45841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55608-2019</t>
        </is>
      </c>
      <c r="B206" s="1" t="n">
        <v>43760</v>
      </c>
      <c r="C206" s="1" t="n">
        <v>45841</v>
      </c>
      <c r="D206" t="inlineStr">
        <is>
          <t>VÄRMLANDS LÄN</t>
        </is>
      </c>
      <c r="E206" t="inlineStr">
        <is>
          <t>ARVIKA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56391-2019</t>
        </is>
      </c>
      <c r="B207" s="1" t="n">
        <v>43762</v>
      </c>
      <c r="C207" s="1" t="n">
        <v>45841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57350-2019</t>
        </is>
      </c>
      <c r="B208" s="1" t="n">
        <v>43767</v>
      </c>
      <c r="C208" s="1" t="n">
        <v>45841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58130-2019</t>
        </is>
      </c>
      <c r="B209" s="1" t="n">
        <v>43769</v>
      </c>
      <c r="C209" s="1" t="n">
        <v>45841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58733-2019</t>
        </is>
      </c>
      <c r="B210" s="1" t="n">
        <v>43773</v>
      </c>
      <c r="C210" s="1" t="n">
        <v>45841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58540-2019</t>
        </is>
      </c>
      <c r="B211" s="1" t="n">
        <v>43773</v>
      </c>
      <c r="C211" s="1" t="n">
        <v>45841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59389-2019</t>
        </is>
      </c>
      <c r="B212" s="1" t="n">
        <v>43775</v>
      </c>
      <c r="C212" s="1" t="n">
        <v>45841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59607-2019</t>
        </is>
      </c>
      <c r="B213" s="1" t="n">
        <v>43776</v>
      </c>
      <c r="C213" s="1" t="n">
        <v>45841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61098-2019</t>
        </is>
      </c>
      <c r="B214" s="1" t="n">
        <v>43782</v>
      </c>
      <c r="C214" s="1" t="n">
        <v>45841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61104-2019</t>
        </is>
      </c>
      <c r="B215" s="1" t="n">
        <v>43782</v>
      </c>
      <c r="C215" s="1" t="n">
        <v>45841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61099-2019</t>
        </is>
      </c>
      <c r="B216" s="1" t="n">
        <v>43782</v>
      </c>
      <c r="C216" s="1" t="n">
        <v>45841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61800-2019</t>
        </is>
      </c>
      <c r="B217" s="1" t="n">
        <v>43786</v>
      </c>
      <c r="C217" s="1" t="n">
        <v>45841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62238-2019</t>
        </is>
      </c>
      <c r="B218" s="1" t="n">
        <v>43788</v>
      </c>
      <c r="C218" s="1" t="n">
        <v>45841</v>
      </c>
      <c r="D218" t="inlineStr">
        <is>
          <t>VÄRMLANDS LÄN</t>
        </is>
      </c>
      <c r="E218" t="inlineStr">
        <is>
          <t>ARVIKA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62911-2019</t>
        </is>
      </c>
      <c r="B219" s="1" t="n">
        <v>43790</v>
      </c>
      <c r="C219" s="1" t="n">
        <v>45841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62922-2019</t>
        </is>
      </c>
      <c r="B220" s="1" t="n">
        <v>43790</v>
      </c>
      <c r="C220" s="1" t="n">
        <v>45841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62917-2019</t>
        </is>
      </c>
      <c r="B221" s="1" t="n">
        <v>43790</v>
      </c>
      <c r="C221" s="1" t="n">
        <v>45841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62931-2019</t>
        </is>
      </c>
      <c r="B222" s="1" t="n">
        <v>43790</v>
      </c>
      <c r="C222" s="1" t="n">
        <v>45841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62905-2019</t>
        </is>
      </c>
      <c r="B223" s="1" t="n">
        <v>43790</v>
      </c>
      <c r="C223" s="1" t="n">
        <v>45841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62914-2019</t>
        </is>
      </c>
      <c r="B224" s="1" t="n">
        <v>43790</v>
      </c>
      <c r="C224" s="1" t="n">
        <v>45841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62924-2019</t>
        </is>
      </c>
      <c r="B225" s="1" t="n">
        <v>43790</v>
      </c>
      <c r="C225" s="1" t="n">
        <v>45841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64912-2019</t>
        </is>
      </c>
      <c r="B226" s="1" t="n">
        <v>43795</v>
      </c>
      <c r="C226" s="1" t="n">
        <v>45841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64886-2019</t>
        </is>
      </c>
      <c r="B227" s="1" t="n">
        <v>43795</v>
      </c>
      <c r="C227" s="1" t="n">
        <v>45841</v>
      </c>
      <c r="D227" t="inlineStr">
        <is>
          <t>VÄRMLANDS LÄN</t>
        </is>
      </c>
      <c r="E227" t="inlineStr">
        <is>
          <t>ARVIKA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64510-2019</t>
        </is>
      </c>
      <c r="B228" s="1" t="n">
        <v>43798</v>
      </c>
      <c r="C228" s="1" t="n">
        <v>45841</v>
      </c>
      <c r="D228" t="inlineStr">
        <is>
          <t>VÄRMLANDS LÄN</t>
        </is>
      </c>
      <c r="E228" t="inlineStr">
        <is>
          <t>ARVIKA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64609-2019</t>
        </is>
      </c>
      <c r="B229" s="1" t="n">
        <v>43798</v>
      </c>
      <c r="C229" s="1" t="n">
        <v>45841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64519-2019</t>
        </is>
      </c>
      <c r="B230" s="1" t="n">
        <v>43798</v>
      </c>
      <c r="C230" s="1" t="n">
        <v>45841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65205-2019</t>
        </is>
      </c>
      <c r="B231" s="1" t="n">
        <v>43802</v>
      </c>
      <c r="C231" s="1" t="n">
        <v>45841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65880-2019</t>
        </is>
      </c>
      <c r="B232" s="1" t="n">
        <v>43805</v>
      </c>
      <c r="C232" s="1" t="n">
        <v>45841</v>
      </c>
      <c r="D232" t="inlineStr">
        <is>
          <t>VÄRMLANDS LÄN</t>
        </is>
      </c>
      <c r="E232" t="inlineStr">
        <is>
          <t>ARVIKA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66352-2019</t>
        </is>
      </c>
      <c r="B233" s="1" t="n">
        <v>43808</v>
      </c>
      <c r="C233" s="1" t="n">
        <v>45841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66818-2019</t>
        </is>
      </c>
      <c r="B234" s="1" t="n">
        <v>43810</v>
      </c>
      <c r="C234" s="1" t="n">
        <v>45841</v>
      </c>
      <c r="D234" t="inlineStr">
        <is>
          <t>VÄRMLANDS LÄN</t>
        </is>
      </c>
      <c r="E234" t="inlineStr">
        <is>
          <t>ARVIKA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67134-2019</t>
        </is>
      </c>
      <c r="B235" s="1" t="n">
        <v>43811</v>
      </c>
      <c r="C235" s="1" t="n">
        <v>45841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67700-2019</t>
        </is>
      </c>
      <c r="B236" s="1" t="n">
        <v>43815</v>
      </c>
      <c r="C236" s="1" t="n">
        <v>45841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68056-2019</t>
        </is>
      </c>
      <c r="B237" s="1" t="n">
        <v>43816</v>
      </c>
      <c r="C237" s="1" t="n">
        <v>45841</v>
      </c>
      <c r="D237" t="inlineStr">
        <is>
          <t>VÄRMLANDS LÄN</t>
        </is>
      </c>
      <c r="E237" t="inlineStr">
        <is>
          <t>ARVIKA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67903-2019</t>
        </is>
      </c>
      <c r="B238" s="1" t="n">
        <v>43816</v>
      </c>
      <c r="C238" s="1" t="n">
        <v>45841</v>
      </c>
      <c r="D238" t="inlineStr">
        <is>
          <t>VÄRMLANDS LÄN</t>
        </is>
      </c>
      <c r="E238" t="inlineStr">
        <is>
          <t>ARVIKA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68059-2019</t>
        </is>
      </c>
      <c r="B239" s="1" t="n">
        <v>43816</v>
      </c>
      <c r="C239" s="1" t="n">
        <v>45841</v>
      </c>
      <c r="D239" t="inlineStr">
        <is>
          <t>VÄRMLANDS LÄN</t>
        </is>
      </c>
      <c r="E239" t="inlineStr">
        <is>
          <t>ARVIKA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68372-2019</t>
        </is>
      </c>
      <c r="B240" s="1" t="n">
        <v>43817</v>
      </c>
      <c r="C240" s="1" t="n">
        <v>45841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68567-2019</t>
        </is>
      </c>
      <c r="B241" s="1" t="n">
        <v>43818</v>
      </c>
      <c r="C241" s="1" t="n">
        <v>45841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68560-2019</t>
        </is>
      </c>
      <c r="B242" s="1" t="n">
        <v>43818</v>
      </c>
      <c r="C242" s="1" t="n">
        <v>45841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68577-2019</t>
        </is>
      </c>
      <c r="B243" s="1" t="n">
        <v>43818</v>
      </c>
      <c r="C243" s="1" t="n">
        <v>45841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68573-2019</t>
        </is>
      </c>
      <c r="B244" s="1" t="n">
        <v>43818</v>
      </c>
      <c r="C244" s="1" t="n">
        <v>45841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68895-2019</t>
        </is>
      </c>
      <c r="B245" s="1" t="n">
        <v>43822</v>
      </c>
      <c r="C245" s="1" t="n">
        <v>45841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69086-2019</t>
        </is>
      </c>
      <c r="B246" s="1" t="n">
        <v>43829</v>
      </c>
      <c r="C246" s="1" t="n">
        <v>45841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91-2020</t>
        </is>
      </c>
      <c r="B247" s="1" t="n">
        <v>43832</v>
      </c>
      <c r="C247" s="1" t="n">
        <v>45841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14-2020</t>
        </is>
      </c>
      <c r="B248" s="1" t="n">
        <v>43832</v>
      </c>
      <c r="C248" s="1" t="n">
        <v>45841</v>
      </c>
      <c r="D248" t="inlineStr">
        <is>
          <t>VÄRMLANDS LÄN</t>
        </is>
      </c>
      <c r="E248" t="inlineStr">
        <is>
          <t>ARVIKA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94-2020</t>
        </is>
      </c>
      <c r="B249" s="1" t="n">
        <v>43832</v>
      </c>
      <c r="C249" s="1" t="n">
        <v>45841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197-2020</t>
        </is>
      </c>
      <c r="B250" s="1" t="n">
        <v>43833</v>
      </c>
      <c r="C250" s="1" t="n">
        <v>45841</v>
      </c>
      <c r="D250" t="inlineStr">
        <is>
          <t>VÄRMLANDS LÄN</t>
        </is>
      </c>
      <c r="E250" t="inlineStr">
        <is>
          <t>ARVIKA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239-2020</t>
        </is>
      </c>
      <c r="B251" s="1" t="n">
        <v>43835</v>
      </c>
      <c r="C251" s="1" t="n">
        <v>45841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323-2020</t>
        </is>
      </c>
      <c r="B252" s="1" t="n">
        <v>43837</v>
      </c>
      <c r="C252" s="1" t="n">
        <v>45841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351-2020</t>
        </is>
      </c>
      <c r="B253" s="1" t="n">
        <v>43837</v>
      </c>
      <c r="C253" s="1" t="n">
        <v>45841</v>
      </c>
      <c r="D253" t="inlineStr">
        <is>
          <t>VÄRMLANDS LÄN</t>
        </is>
      </c>
      <c r="E253" t="inlineStr">
        <is>
          <t>ARVIKA</t>
        </is>
      </c>
      <c r="F253" t="inlineStr">
        <is>
          <t>Kommuner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1795-2020</t>
        </is>
      </c>
      <c r="B254" s="1" t="n">
        <v>43837</v>
      </c>
      <c r="C254" s="1" t="n">
        <v>45841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1791-2020</t>
        </is>
      </c>
      <c r="B255" s="1" t="n">
        <v>43837</v>
      </c>
      <c r="C255" s="1" t="n">
        <v>45841</v>
      </c>
      <c r="D255" t="inlineStr">
        <is>
          <t>VÄRMLANDS LÄN</t>
        </is>
      </c>
      <c r="E255" t="inlineStr">
        <is>
          <t>ARVIKA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858-2020</t>
        </is>
      </c>
      <c r="B256" s="1" t="n">
        <v>43839</v>
      </c>
      <c r="C256" s="1" t="n">
        <v>45841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996-2020</t>
        </is>
      </c>
      <c r="B257" s="1" t="n">
        <v>43839</v>
      </c>
      <c r="C257" s="1" t="n">
        <v>45841</v>
      </c>
      <c r="D257" t="inlineStr">
        <is>
          <t>VÄRMLANDS LÄN</t>
        </is>
      </c>
      <c r="E257" t="inlineStr">
        <is>
          <t>ARVIKA</t>
        </is>
      </c>
      <c r="F257" t="inlineStr">
        <is>
          <t>Övriga Aktiebolag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854-2020</t>
        </is>
      </c>
      <c r="B258" s="1" t="n">
        <v>43839</v>
      </c>
      <c r="C258" s="1" t="n">
        <v>45841</v>
      </c>
      <c r="D258" t="inlineStr">
        <is>
          <t>VÄRMLANDS LÄN</t>
        </is>
      </c>
      <c r="E258" t="inlineStr">
        <is>
          <t>ARVIKA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2513-2020</t>
        </is>
      </c>
      <c r="B259" s="1" t="n">
        <v>43843</v>
      </c>
      <c r="C259" s="1" t="n">
        <v>45841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2706-2020</t>
        </is>
      </c>
      <c r="B260" s="1" t="n">
        <v>43843</v>
      </c>
      <c r="C260" s="1" t="n">
        <v>45841</v>
      </c>
      <c r="D260" t="inlineStr">
        <is>
          <t>VÄRMLANDS LÄN</t>
        </is>
      </c>
      <c r="E260" t="inlineStr">
        <is>
          <t>ARVIKA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2709-2020</t>
        </is>
      </c>
      <c r="B261" s="1" t="n">
        <v>43843</v>
      </c>
      <c r="C261" s="1" t="n">
        <v>45841</v>
      </c>
      <c r="D261" t="inlineStr">
        <is>
          <t>VÄRMLANDS LÄN</t>
        </is>
      </c>
      <c r="E261" t="inlineStr">
        <is>
          <t>ARVIKA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2771-2020</t>
        </is>
      </c>
      <c r="B262" s="1" t="n">
        <v>43843</v>
      </c>
      <c r="C262" s="1" t="n">
        <v>45841</v>
      </c>
      <c r="D262" t="inlineStr">
        <is>
          <t>VÄRMLANDS LÄN</t>
        </is>
      </c>
      <c r="E262" t="inlineStr">
        <is>
          <t>ARVIKA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2075-2020</t>
        </is>
      </c>
      <c r="B263" s="1" t="n">
        <v>43845</v>
      </c>
      <c r="C263" s="1" t="n">
        <v>45841</v>
      </c>
      <c r="D263" t="inlineStr">
        <is>
          <t>VÄRMLANDS LÄN</t>
        </is>
      </c>
      <c r="E263" t="inlineStr">
        <is>
          <t>ARVIKA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3903-2020</t>
        </is>
      </c>
      <c r="B264" s="1" t="n">
        <v>43846</v>
      </c>
      <c r="C264" s="1" t="n">
        <v>45841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2624-2020</t>
        </is>
      </c>
      <c r="B265" s="1" t="n">
        <v>43847</v>
      </c>
      <c r="C265" s="1" t="n">
        <v>45841</v>
      </c>
      <c r="D265" t="inlineStr">
        <is>
          <t>VÄRMLANDS LÄN</t>
        </is>
      </c>
      <c r="E265" t="inlineStr">
        <is>
          <t>ARVIKA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3420-2020</t>
        </is>
      </c>
      <c r="B266" s="1" t="n">
        <v>43852</v>
      </c>
      <c r="C266" s="1" t="n">
        <v>45841</v>
      </c>
      <c r="D266" t="inlineStr">
        <is>
          <t>VÄRMLANDS LÄN</t>
        </is>
      </c>
      <c r="E266" t="inlineStr">
        <is>
          <t>ARVIKA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3927-2020</t>
        </is>
      </c>
      <c r="B267" s="1" t="n">
        <v>43854</v>
      </c>
      <c r="C267" s="1" t="n">
        <v>45841</v>
      </c>
      <c r="D267" t="inlineStr">
        <is>
          <t>VÄRMLANDS LÄN</t>
        </is>
      </c>
      <c r="E267" t="inlineStr">
        <is>
          <t>ARVIKA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5359-2020</t>
        </is>
      </c>
      <c r="B268" s="1" t="n">
        <v>43857</v>
      </c>
      <c r="C268" s="1" t="n">
        <v>45841</v>
      </c>
      <c r="D268" t="inlineStr">
        <is>
          <t>VÄRMLANDS LÄN</t>
        </is>
      </c>
      <c r="E268" t="inlineStr">
        <is>
          <t>ARVIKA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5602-2020</t>
        </is>
      </c>
      <c r="B269" s="1" t="n">
        <v>43861</v>
      </c>
      <c r="C269" s="1" t="n">
        <v>45841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6169-2020</t>
        </is>
      </c>
      <c r="B270" s="1" t="n">
        <v>43865</v>
      </c>
      <c r="C270" s="1" t="n">
        <v>45841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6770-2020</t>
        </is>
      </c>
      <c r="B271" s="1" t="n">
        <v>43867</v>
      </c>
      <c r="C271" s="1" t="n">
        <v>45841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6696-2020</t>
        </is>
      </c>
      <c r="B272" s="1" t="n">
        <v>43867</v>
      </c>
      <c r="C272" s="1" t="n">
        <v>45841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7936-2020</t>
        </is>
      </c>
      <c r="B273" s="1" t="n">
        <v>43873</v>
      </c>
      <c r="C273" s="1" t="n">
        <v>45841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8342-2020</t>
        </is>
      </c>
      <c r="B274" s="1" t="n">
        <v>43874</v>
      </c>
      <c r="C274" s="1" t="n">
        <v>45841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10424-2020</t>
        </is>
      </c>
      <c r="B275" s="1" t="n">
        <v>43886</v>
      </c>
      <c r="C275" s="1" t="n">
        <v>45841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11170-2020</t>
        </is>
      </c>
      <c r="B276" s="1" t="n">
        <v>43891</v>
      </c>
      <c r="C276" s="1" t="n">
        <v>45841</v>
      </c>
      <c r="D276" t="inlineStr">
        <is>
          <t>VÄRMLANDS LÄN</t>
        </is>
      </c>
      <c r="E276" t="inlineStr">
        <is>
          <t>ARVIKA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11313-2020</t>
        </is>
      </c>
      <c r="B277" s="1" t="n">
        <v>43892</v>
      </c>
      <c r="C277" s="1" t="n">
        <v>45841</v>
      </c>
      <c r="D277" t="inlineStr">
        <is>
          <t>VÄRMLANDS LÄN</t>
        </is>
      </c>
      <c r="E277" t="inlineStr">
        <is>
          <t>ARVIKA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11660-2020</t>
        </is>
      </c>
      <c r="B278" s="1" t="n">
        <v>43893</v>
      </c>
      <c r="C278" s="1" t="n">
        <v>45841</v>
      </c>
      <c r="D278" t="inlineStr">
        <is>
          <t>VÄRMLANDS LÄN</t>
        </is>
      </c>
      <c r="E278" t="inlineStr">
        <is>
          <t>ARVIKA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12210-2020</t>
        </is>
      </c>
      <c r="B279" s="1" t="n">
        <v>43895</v>
      </c>
      <c r="C279" s="1" t="n">
        <v>45841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12399-2020</t>
        </is>
      </c>
      <c r="B280" s="1" t="n">
        <v>43896</v>
      </c>
      <c r="C280" s="1" t="n">
        <v>45841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12506-2020</t>
        </is>
      </c>
      <c r="B281" s="1" t="n">
        <v>43896</v>
      </c>
      <c r="C281" s="1" t="n">
        <v>45841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12559-2020</t>
        </is>
      </c>
      <c r="B282" s="1" t="n">
        <v>43898</v>
      </c>
      <c r="C282" s="1" t="n">
        <v>45841</v>
      </c>
      <c r="D282" t="inlineStr">
        <is>
          <t>VÄRMLANDS LÄN</t>
        </is>
      </c>
      <c r="E282" t="inlineStr">
        <is>
          <t>ARVIKA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12995-2020</t>
        </is>
      </c>
      <c r="B283" s="1" t="n">
        <v>43900</v>
      </c>
      <c r="C283" s="1" t="n">
        <v>45841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13060-2020</t>
        </is>
      </c>
      <c r="B284" s="1" t="n">
        <v>43900</v>
      </c>
      <c r="C284" s="1" t="n">
        <v>45841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13459-2020</t>
        </is>
      </c>
      <c r="B285" s="1" t="n">
        <v>43902</v>
      </c>
      <c r="C285" s="1" t="n">
        <v>45841</v>
      </c>
      <c r="D285" t="inlineStr">
        <is>
          <t>VÄRMLANDS LÄN</t>
        </is>
      </c>
      <c r="E285" t="inlineStr">
        <is>
          <t>ARVIKA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13623-2020</t>
        </is>
      </c>
      <c r="B286" s="1" t="n">
        <v>43903</v>
      </c>
      <c r="C286" s="1" t="n">
        <v>45841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13615-2020</t>
        </is>
      </c>
      <c r="B287" s="1" t="n">
        <v>43903</v>
      </c>
      <c r="C287" s="1" t="n">
        <v>45841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13828-2020</t>
        </is>
      </c>
      <c r="B288" s="1" t="n">
        <v>43905</v>
      </c>
      <c r="C288" s="1" t="n">
        <v>45841</v>
      </c>
      <c r="D288" t="inlineStr">
        <is>
          <t>VÄRMLANDS LÄN</t>
        </is>
      </c>
      <c r="E288" t="inlineStr">
        <is>
          <t>ARVIKA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14052-2020</t>
        </is>
      </c>
      <c r="B289" s="1" t="n">
        <v>43906</v>
      </c>
      <c r="C289" s="1" t="n">
        <v>45841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14445-2020</t>
        </is>
      </c>
      <c r="B290" s="1" t="n">
        <v>43908</v>
      </c>
      <c r="C290" s="1" t="n">
        <v>45841</v>
      </c>
      <c r="D290" t="inlineStr">
        <is>
          <t>VÄRMLANDS LÄN</t>
        </is>
      </c>
      <c r="E290" t="inlineStr">
        <is>
          <t>ARVIKA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14353-2020</t>
        </is>
      </c>
      <c r="B291" s="1" t="n">
        <v>43908</v>
      </c>
      <c r="C291" s="1" t="n">
        <v>45841</v>
      </c>
      <c r="D291" t="inlineStr">
        <is>
          <t>VÄRMLANDS LÄN</t>
        </is>
      </c>
      <c r="E291" t="inlineStr">
        <is>
          <t>ARVIKA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14661-2020</t>
        </is>
      </c>
      <c r="B292" s="1" t="n">
        <v>43909</v>
      </c>
      <c r="C292" s="1" t="n">
        <v>45841</v>
      </c>
      <c r="D292" t="inlineStr">
        <is>
          <t>VÄRMLANDS LÄN</t>
        </is>
      </c>
      <c r="E292" t="inlineStr">
        <is>
          <t>ARVIKA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14606-2020</t>
        </is>
      </c>
      <c r="B293" s="1" t="n">
        <v>43909</v>
      </c>
      <c r="C293" s="1" t="n">
        <v>45841</v>
      </c>
      <c r="D293" t="inlineStr">
        <is>
          <t>VÄRMLANDS LÄN</t>
        </is>
      </c>
      <c r="E293" t="inlineStr">
        <is>
          <t>ARVIKA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15022-2020</t>
        </is>
      </c>
      <c r="B294" s="1" t="n">
        <v>43910</v>
      </c>
      <c r="C294" s="1" t="n">
        <v>45841</v>
      </c>
      <c r="D294" t="inlineStr">
        <is>
          <t>VÄRMLANDS LÄN</t>
        </is>
      </c>
      <c r="E294" t="inlineStr">
        <is>
          <t>ARVIKA</t>
        </is>
      </c>
      <c r="G294" t="n">
        <v>29.3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15256-2020</t>
        </is>
      </c>
      <c r="B295" s="1" t="n">
        <v>43913</v>
      </c>
      <c r="C295" s="1" t="n">
        <v>45841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15259-2020</t>
        </is>
      </c>
      <c r="B296" s="1" t="n">
        <v>43913</v>
      </c>
      <c r="C296" s="1" t="n">
        <v>45841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15339-2020</t>
        </is>
      </c>
      <c r="B297" s="1" t="n">
        <v>43913</v>
      </c>
      <c r="C297" s="1" t="n">
        <v>45841</v>
      </c>
      <c r="D297" t="inlineStr">
        <is>
          <t>VÄRMLANDS LÄN</t>
        </is>
      </c>
      <c r="E297" t="inlineStr">
        <is>
          <t>ARVIKA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15627-2020</t>
        </is>
      </c>
      <c r="B298" s="1" t="n">
        <v>43914</v>
      </c>
      <c r="C298" s="1" t="n">
        <v>45841</v>
      </c>
      <c r="D298" t="inlineStr">
        <is>
          <t>VÄRMLANDS LÄN</t>
        </is>
      </c>
      <c r="E298" t="inlineStr">
        <is>
          <t>ARVIKA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15657-2020</t>
        </is>
      </c>
      <c r="B299" s="1" t="n">
        <v>43915</v>
      </c>
      <c r="C299" s="1" t="n">
        <v>45841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15853-2020</t>
        </is>
      </c>
      <c r="B300" s="1" t="n">
        <v>43915</v>
      </c>
      <c r="C300" s="1" t="n">
        <v>45841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16030-2020</t>
        </is>
      </c>
      <c r="B301" s="1" t="n">
        <v>43916</v>
      </c>
      <c r="C301" s="1" t="n">
        <v>45841</v>
      </c>
      <c r="D301" t="inlineStr">
        <is>
          <t>VÄRMLANDS LÄN</t>
        </is>
      </c>
      <c r="E301" t="inlineStr">
        <is>
          <t>ARVIKA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16035-2020</t>
        </is>
      </c>
      <c r="B302" s="1" t="n">
        <v>43916</v>
      </c>
      <c r="C302" s="1" t="n">
        <v>45841</v>
      </c>
      <c r="D302" t="inlineStr">
        <is>
          <t>VÄRMLANDS LÄN</t>
        </is>
      </c>
      <c r="E302" t="inlineStr">
        <is>
          <t>ARVIKA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16064-2020</t>
        </is>
      </c>
      <c r="B303" s="1" t="n">
        <v>43916</v>
      </c>
      <c r="C303" s="1" t="n">
        <v>45841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16329-2020</t>
        </is>
      </c>
      <c r="B304" s="1" t="n">
        <v>43917</v>
      </c>
      <c r="C304" s="1" t="n">
        <v>45841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17036-2020</t>
        </is>
      </c>
      <c r="B305" s="1" t="n">
        <v>43921</v>
      </c>
      <c r="C305" s="1" t="n">
        <v>45841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17732-2020</t>
        </is>
      </c>
      <c r="B306" s="1" t="n">
        <v>43924</v>
      </c>
      <c r="C306" s="1" t="n">
        <v>45841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17970-2020</t>
        </is>
      </c>
      <c r="B307" s="1" t="n">
        <v>43925</v>
      </c>
      <c r="C307" s="1" t="n">
        <v>45841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19519-2020</t>
        </is>
      </c>
      <c r="B308" s="1" t="n">
        <v>43939</v>
      </c>
      <c r="C308" s="1" t="n">
        <v>45841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20235-2020</t>
        </is>
      </c>
      <c r="B309" s="1" t="n">
        <v>43944</v>
      </c>
      <c r="C309" s="1" t="n">
        <v>45841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20564-2020</t>
        </is>
      </c>
      <c r="B310" s="1" t="n">
        <v>43948</v>
      </c>
      <c r="C310" s="1" t="n">
        <v>45841</v>
      </c>
      <c r="D310" t="inlineStr">
        <is>
          <t>VÄRMLANDS LÄN</t>
        </is>
      </c>
      <c r="E310" t="inlineStr">
        <is>
          <t>ARVIKA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20798-2020</t>
        </is>
      </c>
      <c r="B311" s="1" t="n">
        <v>43949</v>
      </c>
      <c r="C311" s="1" t="n">
        <v>45841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20898-2020</t>
        </is>
      </c>
      <c r="B312" s="1" t="n">
        <v>43950</v>
      </c>
      <c r="C312" s="1" t="n">
        <v>45841</v>
      </c>
      <c r="D312" t="inlineStr">
        <is>
          <t>VÄRMLANDS LÄN</t>
        </is>
      </c>
      <c r="E312" t="inlineStr">
        <is>
          <t>ARVIKA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23165-2020</t>
        </is>
      </c>
      <c r="B313" s="1" t="n">
        <v>43966</v>
      </c>
      <c r="C313" s="1" t="n">
        <v>45841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23362-2020</t>
        </is>
      </c>
      <c r="B314" s="1" t="n">
        <v>43967</v>
      </c>
      <c r="C314" s="1" t="n">
        <v>45841</v>
      </c>
      <c r="D314" t="inlineStr">
        <is>
          <t>VÄRMLANDS LÄN</t>
        </is>
      </c>
      <c r="E314" t="inlineStr">
        <is>
          <t>ARVIKA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24165-2020</t>
        </is>
      </c>
      <c r="B315" s="1" t="n">
        <v>43975</v>
      </c>
      <c r="C315" s="1" t="n">
        <v>45841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25237-2020</t>
        </is>
      </c>
      <c r="B316" s="1" t="n">
        <v>43979</v>
      </c>
      <c r="C316" s="1" t="n">
        <v>45841</v>
      </c>
      <c r="D316" t="inlineStr">
        <is>
          <t>VÄRMLANDS LÄN</t>
        </is>
      </c>
      <c r="E316" t="inlineStr">
        <is>
          <t>ARVIKA</t>
        </is>
      </c>
      <c r="G316" t="n">
        <v>26.4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25211-2020</t>
        </is>
      </c>
      <c r="B317" s="1" t="n">
        <v>43980</v>
      </c>
      <c r="C317" s="1" t="n">
        <v>45841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25977-2020</t>
        </is>
      </c>
      <c r="B318" s="1" t="n">
        <v>43985</v>
      </c>
      <c r="C318" s="1" t="n">
        <v>45841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25953-2020</t>
        </is>
      </c>
      <c r="B319" s="1" t="n">
        <v>43985</v>
      </c>
      <c r="C319" s="1" t="n">
        <v>45841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26547-2020</t>
        </is>
      </c>
      <c r="B320" s="1" t="n">
        <v>43987</v>
      </c>
      <c r="C320" s="1" t="n">
        <v>45841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27474-2020</t>
        </is>
      </c>
      <c r="B321" s="1" t="n">
        <v>43993</v>
      </c>
      <c r="C321" s="1" t="n">
        <v>45841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27756-2020</t>
        </is>
      </c>
      <c r="B322" s="1" t="n">
        <v>43994</v>
      </c>
      <c r="C322" s="1" t="n">
        <v>45841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28594-2020</t>
        </is>
      </c>
      <c r="B323" s="1" t="n">
        <v>43999</v>
      </c>
      <c r="C323" s="1" t="n">
        <v>45841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29418-2020</t>
        </is>
      </c>
      <c r="B324" s="1" t="n">
        <v>44004</v>
      </c>
      <c r="C324" s="1" t="n">
        <v>45841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29424-2020</t>
        </is>
      </c>
      <c r="B325" s="1" t="n">
        <v>44004</v>
      </c>
      <c r="C325" s="1" t="n">
        <v>45841</v>
      </c>
      <c r="D325" t="inlineStr">
        <is>
          <t>VÄRMLANDS LÄN</t>
        </is>
      </c>
      <c r="E325" t="inlineStr">
        <is>
          <t>ARVIKA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30684-2020</t>
        </is>
      </c>
      <c r="B326" s="1" t="n">
        <v>44008</v>
      </c>
      <c r="C326" s="1" t="n">
        <v>45841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30690-2020</t>
        </is>
      </c>
      <c r="B327" s="1" t="n">
        <v>44008</v>
      </c>
      <c r="C327" s="1" t="n">
        <v>45841</v>
      </c>
      <c r="D327" t="inlineStr">
        <is>
          <t>VÄRMLANDS LÄN</t>
        </is>
      </c>
      <c r="E327" t="inlineStr">
        <is>
          <t>ARVIKA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31135-2020</t>
        </is>
      </c>
      <c r="B328" s="1" t="n">
        <v>44012</v>
      </c>
      <c r="C328" s="1" t="n">
        <v>45841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31689-2020</t>
        </is>
      </c>
      <c r="B329" s="1" t="n">
        <v>44014</v>
      </c>
      <c r="C329" s="1" t="n">
        <v>45841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32354-2020</t>
        </is>
      </c>
      <c r="B330" s="1" t="n">
        <v>44017</v>
      </c>
      <c r="C330" s="1" t="n">
        <v>45841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32570-2020</t>
        </is>
      </c>
      <c r="B331" s="1" t="n">
        <v>44018</v>
      </c>
      <c r="C331" s="1" t="n">
        <v>45841</v>
      </c>
      <c r="D331" t="inlineStr">
        <is>
          <t>VÄRMLANDS LÄN</t>
        </is>
      </c>
      <c r="E331" t="inlineStr">
        <is>
          <t>ARVIKA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32600-2020</t>
        </is>
      </c>
      <c r="B332" s="1" t="n">
        <v>44019</v>
      </c>
      <c r="C332" s="1" t="n">
        <v>45841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34053-2020</t>
        </is>
      </c>
      <c r="B333" s="1" t="n">
        <v>44026</v>
      </c>
      <c r="C333" s="1" t="n">
        <v>45841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34035-2020</t>
        </is>
      </c>
      <c r="B334" s="1" t="n">
        <v>44026</v>
      </c>
      <c r="C334" s="1" t="n">
        <v>45841</v>
      </c>
      <c r="D334" t="inlineStr">
        <is>
          <t>VÄRMLANDS LÄN</t>
        </is>
      </c>
      <c r="E334" t="inlineStr">
        <is>
          <t>ARVIKA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34044-2020</t>
        </is>
      </c>
      <c r="B335" s="1" t="n">
        <v>44026</v>
      </c>
      <c r="C335" s="1" t="n">
        <v>45841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33847-2020</t>
        </is>
      </c>
      <c r="B336" s="1" t="n">
        <v>44027</v>
      </c>
      <c r="C336" s="1" t="n">
        <v>45841</v>
      </c>
      <c r="D336" t="inlineStr">
        <is>
          <t>VÄRMLANDS LÄN</t>
        </is>
      </c>
      <c r="E336" t="inlineStr">
        <is>
          <t>ARVIKA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34296-2020</t>
        </is>
      </c>
      <c r="B337" s="1" t="n">
        <v>44030</v>
      </c>
      <c r="C337" s="1" t="n">
        <v>45841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34297-2020</t>
        </is>
      </c>
      <c r="B338" s="1" t="n">
        <v>44030</v>
      </c>
      <c r="C338" s="1" t="n">
        <v>45841</v>
      </c>
      <c r="D338" t="inlineStr">
        <is>
          <t>VÄRMLANDS LÄN</t>
        </is>
      </c>
      <c r="E338" t="inlineStr">
        <is>
          <t>ARVIKA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34534-2020</t>
        </is>
      </c>
      <c r="B339" s="1" t="n">
        <v>44031</v>
      </c>
      <c r="C339" s="1" t="n">
        <v>45841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34535-2020</t>
        </is>
      </c>
      <c r="B340" s="1" t="n">
        <v>44031</v>
      </c>
      <c r="C340" s="1" t="n">
        <v>45841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35420-2020</t>
        </is>
      </c>
      <c r="B341" s="1" t="n">
        <v>44042</v>
      </c>
      <c r="C341" s="1" t="n">
        <v>45841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35424-2020</t>
        </is>
      </c>
      <c r="B342" s="1" t="n">
        <v>44042</v>
      </c>
      <c r="C342" s="1" t="n">
        <v>45841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35431-2020</t>
        </is>
      </c>
      <c r="B343" s="1" t="n">
        <v>44042</v>
      </c>
      <c r="C343" s="1" t="n">
        <v>45841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35429-2020</t>
        </is>
      </c>
      <c r="B344" s="1" t="n">
        <v>44042</v>
      </c>
      <c r="C344" s="1" t="n">
        <v>45841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35421-2020</t>
        </is>
      </c>
      <c r="B345" s="1" t="n">
        <v>44042</v>
      </c>
      <c r="C345" s="1" t="n">
        <v>45841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36301-2020</t>
        </is>
      </c>
      <c r="B346" s="1" t="n">
        <v>44049</v>
      </c>
      <c r="C346" s="1" t="n">
        <v>45841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36548-2020</t>
        </is>
      </c>
      <c r="B347" s="1" t="n">
        <v>44050</v>
      </c>
      <c r="C347" s="1" t="n">
        <v>45841</v>
      </c>
      <c r="D347" t="inlineStr">
        <is>
          <t>VÄRMLANDS LÄN</t>
        </is>
      </c>
      <c r="E347" t="inlineStr">
        <is>
          <t>ARVIKA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36827-2020</t>
        </is>
      </c>
      <c r="B348" s="1" t="n">
        <v>44053</v>
      </c>
      <c r="C348" s="1" t="n">
        <v>45841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36820-2020</t>
        </is>
      </c>
      <c r="B349" s="1" t="n">
        <v>44053</v>
      </c>
      <c r="C349" s="1" t="n">
        <v>45841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37995-2020</t>
        </is>
      </c>
      <c r="B350" s="1" t="n">
        <v>44057</v>
      </c>
      <c r="C350" s="1" t="n">
        <v>45841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38940-2020</t>
        </is>
      </c>
      <c r="B351" s="1" t="n">
        <v>44062</v>
      </c>
      <c r="C351" s="1" t="n">
        <v>45841</v>
      </c>
      <c r="D351" t="inlineStr">
        <is>
          <t>VÄRMLANDS LÄN</t>
        </is>
      </c>
      <c r="E351" t="inlineStr">
        <is>
          <t>ARVIKA</t>
        </is>
      </c>
      <c r="G351" t="n">
        <v>14.3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39528-2020</t>
        </is>
      </c>
      <c r="B352" s="1" t="n">
        <v>44064</v>
      </c>
      <c r="C352" s="1" t="n">
        <v>45841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39883-2020</t>
        </is>
      </c>
      <c r="B353" s="1" t="n">
        <v>44067</v>
      </c>
      <c r="C353" s="1" t="n">
        <v>45841</v>
      </c>
      <c r="D353" t="inlineStr">
        <is>
          <t>VÄRMLANDS LÄN</t>
        </is>
      </c>
      <c r="E353" t="inlineStr">
        <is>
          <t>ARVIKA</t>
        </is>
      </c>
      <c r="F353" t="inlineStr">
        <is>
          <t>Kommuner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40331-2020</t>
        </is>
      </c>
      <c r="B354" s="1" t="n">
        <v>44067</v>
      </c>
      <c r="C354" s="1" t="n">
        <v>45841</v>
      </c>
      <c r="D354" t="inlineStr">
        <is>
          <t>VÄRMLANDS LÄN</t>
        </is>
      </c>
      <c r="E354" t="inlineStr">
        <is>
          <t>ARVIKA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40975-2020</t>
        </is>
      </c>
      <c r="B355" s="1" t="n">
        <v>44068</v>
      </c>
      <c r="C355" s="1" t="n">
        <v>45841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41000-2020</t>
        </is>
      </c>
      <c r="B356" s="1" t="n">
        <v>44068</v>
      </c>
      <c r="C356" s="1" t="n">
        <v>45841</v>
      </c>
      <c r="D356" t="inlineStr">
        <is>
          <t>VÄRMLANDS LÄN</t>
        </is>
      </c>
      <c r="E356" t="inlineStr">
        <is>
          <t>ARVIKA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40926-2020</t>
        </is>
      </c>
      <c r="B357" s="1" t="n">
        <v>44070</v>
      </c>
      <c r="C357" s="1" t="n">
        <v>45841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41274-2020</t>
        </is>
      </c>
      <c r="B358" s="1" t="n">
        <v>44071</v>
      </c>
      <c r="C358" s="1" t="n">
        <v>45841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41130-2020</t>
        </is>
      </c>
      <c r="B359" s="1" t="n">
        <v>44071</v>
      </c>
      <c r="C359" s="1" t="n">
        <v>45841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42128-2020</t>
        </is>
      </c>
      <c r="B360" s="1" t="n">
        <v>44075</v>
      </c>
      <c r="C360" s="1" t="n">
        <v>45841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42294-2020</t>
        </is>
      </c>
      <c r="B361" s="1" t="n">
        <v>44076</v>
      </c>
      <c r="C361" s="1" t="n">
        <v>45841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43193-2020</t>
        </is>
      </c>
      <c r="B362" s="1" t="n">
        <v>44081</v>
      </c>
      <c r="C362" s="1" t="n">
        <v>45841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44767-2020</t>
        </is>
      </c>
      <c r="B363" s="1" t="n">
        <v>44085</v>
      </c>
      <c r="C363" s="1" t="n">
        <v>45841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44689-2020</t>
        </is>
      </c>
      <c r="B364" s="1" t="n">
        <v>44085</v>
      </c>
      <c r="C364" s="1" t="n">
        <v>45841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45319-2020</t>
        </is>
      </c>
      <c r="B365" s="1" t="n">
        <v>44085</v>
      </c>
      <c r="C365" s="1" t="n">
        <v>45841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45524-2020</t>
        </is>
      </c>
      <c r="B366" s="1" t="n">
        <v>44089</v>
      </c>
      <c r="C366" s="1" t="n">
        <v>45841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45258-2020</t>
        </is>
      </c>
      <c r="B367" s="1" t="n">
        <v>44089</v>
      </c>
      <c r="C367" s="1" t="n">
        <v>45841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46192-2020</t>
        </is>
      </c>
      <c r="B368" s="1" t="n">
        <v>44092</v>
      </c>
      <c r="C368" s="1" t="n">
        <v>45841</v>
      </c>
      <c r="D368" t="inlineStr">
        <is>
          <t>VÄRMLANDS LÄN</t>
        </is>
      </c>
      <c r="E368" t="inlineStr">
        <is>
          <t>ARVIKA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46680-2020</t>
        </is>
      </c>
      <c r="B369" s="1" t="n">
        <v>44095</v>
      </c>
      <c r="C369" s="1" t="n">
        <v>45841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47266-2020</t>
        </is>
      </c>
      <c r="B370" s="1" t="n">
        <v>44097</v>
      </c>
      <c r="C370" s="1" t="n">
        <v>45841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47147-2020</t>
        </is>
      </c>
      <c r="B371" s="1" t="n">
        <v>44097</v>
      </c>
      <c r="C371" s="1" t="n">
        <v>45841</v>
      </c>
      <c r="D371" t="inlineStr">
        <is>
          <t>VÄRMLANDS LÄN</t>
        </is>
      </c>
      <c r="E371" t="inlineStr">
        <is>
          <t>ARVIKA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47328-2020</t>
        </is>
      </c>
      <c r="B372" s="1" t="n">
        <v>44097</v>
      </c>
      <c r="C372" s="1" t="n">
        <v>45841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47928-2020</t>
        </is>
      </c>
      <c r="B373" s="1" t="n">
        <v>44099</v>
      </c>
      <c r="C373" s="1" t="n">
        <v>45841</v>
      </c>
      <c r="D373" t="inlineStr">
        <is>
          <t>VÄRMLANDS LÄN</t>
        </is>
      </c>
      <c r="E373" t="inlineStr">
        <is>
          <t>ARVIKA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48020-2020</t>
        </is>
      </c>
      <c r="B374" s="1" t="n">
        <v>44099</v>
      </c>
      <c r="C374" s="1" t="n">
        <v>45841</v>
      </c>
      <c r="D374" t="inlineStr">
        <is>
          <t>VÄRMLANDS LÄN</t>
        </is>
      </c>
      <c r="E374" t="inlineStr">
        <is>
          <t>ARVIKA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51795-2020</t>
        </is>
      </c>
      <c r="B375" s="1" t="n">
        <v>44116</v>
      </c>
      <c r="C375" s="1" t="n">
        <v>45841</v>
      </c>
      <c r="D375" t="inlineStr">
        <is>
          <t>VÄRMLANDS LÄN</t>
        </is>
      </c>
      <c r="E375" t="inlineStr">
        <is>
          <t>ARVIKA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53382-2020</t>
        </is>
      </c>
      <c r="B376" s="1" t="n">
        <v>44123</v>
      </c>
      <c r="C376" s="1" t="n">
        <v>45841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53300-2020</t>
        </is>
      </c>
      <c r="B377" s="1" t="n">
        <v>44123</v>
      </c>
      <c r="C377" s="1" t="n">
        <v>45841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53715-2020</t>
        </is>
      </c>
      <c r="B378" s="1" t="n">
        <v>44124</v>
      </c>
      <c r="C378" s="1" t="n">
        <v>45841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54264-2020</t>
        </is>
      </c>
      <c r="B379" s="1" t="n">
        <v>44124</v>
      </c>
      <c r="C379" s="1" t="n">
        <v>45841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54503-2020</t>
        </is>
      </c>
      <c r="B380" s="1" t="n">
        <v>44126</v>
      </c>
      <c r="C380" s="1" t="n">
        <v>45841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55903-2020</t>
        </is>
      </c>
      <c r="B381" s="1" t="n">
        <v>44132</v>
      </c>
      <c r="C381" s="1" t="n">
        <v>45841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56624-2020</t>
        </is>
      </c>
      <c r="B382" s="1" t="n">
        <v>44137</v>
      </c>
      <c r="C382" s="1" t="n">
        <v>45841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56518-2020</t>
        </is>
      </c>
      <c r="B383" s="1" t="n">
        <v>44137</v>
      </c>
      <c r="C383" s="1" t="n">
        <v>45841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57219-2020</t>
        </is>
      </c>
      <c r="B384" s="1" t="n">
        <v>44138</v>
      </c>
      <c r="C384" s="1" t="n">
        <v>45841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57331-2020</t>
        </is>
      </c>
      <c r="B385" s="1" t="n">
        <v>44139</v>
      </c>
      <c r="C385" s="1" t="n">
        <v>45841</v>
      </c>
      <c r="D385" t="inlineStr">
        <is>
          <t>VÄRMLANDS LÄN</t>
        </is>
      </c>
      <c r="E385" t="inlineStr">
        <is>
          <t>ARVIKA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58687-2020</t>
        </is>
      </c>
      <c r="B386" s="1" t="n">
        <v>44146</v>
      </c>
      <c r="C386" s="1" t="n">
        <v>45841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58695-2020</t>
        </is>
      </c>
      <c r="B387" s="1" t="n">
        <v>44146</v>
      </c>
      <c r="C387" s="1" t="n">
        <v>45841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59823-2020</t>
        </is>
      </c>
      <c r="B388" s="1" t="n">
        <v>44151</v>
      </c>
      <c r="C388" s="1" t="n">
        <v>45841</v>
      </c>
      <c r="D388" t="inlineStr">
        <is>
          <t>VÄRMLANDS LÄN</t>
        </is>
      </c>
      <c r="E388" t="inlineStr">
        <is>
          <t>ARVIKA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59779-2020</t>
        </is>
      </c>
      <c r="B389" s="1" t="n">
        <v>44151</v>
      </c>
      <c r="C389" s="1" t="n">
        <v>45841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59795-2020</t>
        </is>
      </c>
      <c r="B390" s="1" t="n">
        <v>44151</v>
      </c>
      <c r="C390" s="1" t="n">
        <v>45841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59820-2020</t>
        </is>
      </c>
      <c r="B391" s="1" t="n">
        <v>44151</v>
      </c>
      <c r="C391" s="1" t="n">
        <v>45841</v>
      </c>
      <c r="D391" t="inlineStr">
        <is>
          <t>VÄRMLANDS LÄN</t>
        </is>
      </c>
      <c r="E391" t="inlineStr">
        <is>
          <t>ARVIKA</t>
        </is>
      </c>
      <c r="G391" t="n">
        <v>21.2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59814-2020</t>
        </is>
      </c>
      <c r="B392" s="1" t="n">
        <v>44151</v>
      </c>
      <c r="C392" s="1" t="n">
        <v>45841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59824-2020</t>
        </is>
      </c>
      <c r="B393" s="1" t="n">
        <v>44151</v>
      </c>
      <c r="C393" s="1" t="n">
        <v>45841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59784-2020</t>
        </is>
      </c>
      <c r="B394" s="1" t="n">
        <v>44151</v>
      </c>
      <c r="C394" s="1" t="n">
        <v>45841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59821-2020</t>
        </is>
      </c>
      <c r="B395" s="1" t="n">
        <v>44151</v>
      </c>
      <c r="C395" s="1" t="n">
        <v>45841</v>
      </c>
      <c r="D395" t="inlineStr">
        <is>
          <t>VÄRMLANDS LÄN</t>
        </is>
      </c>
      <c r="E395" t="inlineStr">
        <is>
          <t>ARVIKA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60277-2020</t>
        </is>
      </c>
      <c r="B396" s="1" t="n">
        <v>44151</v>
      </c>
      <c r="C396" s="1" t="n">
        <v>45841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60275-2020</t>
        </is>
      </c>
      <c r="B397" s="1" t="n">
        <v>44151</v>
      </c>
      <c r="C397" s="1" t="n">
        <v>45841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60955-2020</t>
        </is>
      </c>
      <c r="B398" s="1" t="n">
        <v>44154</v>
      </c>
      <c r="C398" s="1" t="n">
        <v>45841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60784-2020</t>
        </is>
      </c>
      <c r="B399" s="1" t="n">
        <v>44154</v>
      </c>
      <c r="C399" s="1" t="n">
        <v>45841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61280-2020</t>
        </is>
      </c>
      <c r="B400" s="1" t="n">
        <v>44155</v>
      </c>
      <c r="C400" s="1" t="n">
        <v>45841</v>
      </c>
      <c r="D400" t="inlineStr">
        <is>
          <t>VÄRMLANDS LÄN</t>
        </is>
      </c>
      <c r="E400" t="inlineStr">
        <is>
          <t>ARVIKA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61734-2020</t>
        </is>
      </c>
      <c r="B401" s="1" t="n">
        <v>44158</v>
      </c>
      <c r="C401" s="1" t="n">
        <v>45841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62149-2020</t>
        </is>
      </c>
      <c r="B402" s="1" t="n">
        <v>44159</v>
      </c>
      <c r="C402" s="1" t="n">
        <v>45841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62566-2020</t>
        </is>
      </c>
      <c r="B403" s="1" t="n">
        <v>44160</v>
      </c>
      <c r="C403" s="1" t="n">
        <v>45841</v>
      </c>
      <c r="D403" t="inlineStr">
        <is>
          <t>VÄRMLANDS LÄN</t>
        </is>
      </c>
      <c r="E403" t="inlineStr">
        <is>
          <t>ARVIKA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62713-2020</t>
        </is>
      </c>
      <c r="B404" s="1" t="n">
        <v>44161</v>
      </c>
      <c r="C404" s="1" t="n">
        <v>45841</v>
      </c>
      <c r="D404" t="inlineStr">
        <is>
          <t>VÄRMLANDS LÄN</t>
        </is>
      </c>
      <c r="E404" t="inlineStr">
        <is>
          <t>ARVIKA</t>
        </is>
      </c>
      <c r="F404" t="inlineStr">
        <is>
          <t>Kyrkan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63536-2020</t>
        </is>
      </c>
      <c r="B405" s="1" t="n">
        <v>44165</v>
      </c>
      <c r="C405" s="1" t="n">
        <v>45841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63720-2020</t>
        </is>
      </c>
      <c r="B406" s="1" t="n">
        <v>44166</v>
      </c>
      <c r="C406" s="1" t="n">
        <v>45841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65353-2020</t>
        </is>
      </c>
      <c r="B407" s="1" t="n">
        <v>44169</v>
      </c>
      <c r="C407" s="1" t="n">
        <v>45841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65075-2020</t>
        </is>
      </c>
      <c r="B408" s="1" t="n">
        <v>44172</v>
      </c>
      <c r="C408" s="1" t="n">
        <v>45841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66807-2020</t>
        </is>
      </c>
      <c r="B409" s="1" t="n">
        <v>44179</v>
      </c>
      <c r="C409" s="1" t="n">
        <v>45841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67035-2020</t>
        </is>
      </c>
      <c r="B410" s="1" t="n">
        <v>44180</v>
      </c>
      <c r="C410" s="1" t="n">
        <v>45841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68279-2020</t>
        </is>
      </c>
      <c r="B411" s="1" t="n">
        <v>44183</v>
      </c>
      <c r="C411" s="1" t="n">
        <v>45841</v>
      </c>
      <c r="D411" t="inlineStr">
        <is>
          <t>VÄRMLANDS LÄN</t>
        </is>
      </c>
      <c r="E411" t="inlineStr">
        <is>
          <t>ARVIKA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69361-2020</t>
        </is>
      </c>
      <c r="B412" s="1" t="n">
        <v>44193</v>
      </c>
      <c r="C412" s="1" t="n">
        <v>45841</v>
      </c>
      <c r="D412" t="inlineStr">
        <is>
          <t>VÄRMLANDS LÄN</t>
        </is>
      </c>
      <c r="E412" t="inlineStr">
        <is>
          <t>ARVIKA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69367-2020</t>
        </is>
      </c>
      <c r="B413" s="1" t="n">
        <v>44193</v>
      </c>
      <c r="C413" s="1" t="n">
        <v>45841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260-2021</t>
        </is>
      </c>
      <c r="B414" s="1" t="n">
        <v>44200</v>
      </c>
      <c r="C414" s="1" t="n">
        <v>45841</v>
      </c>
      <c r="D414" t="inlineStr">
        <is>
          <t>VÄRMLANDS LÄN</t>
        </is>
      </c>
      <c r="E414" t="inlineStr">
        <is>
          <t>ARVIKA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485-2021</t>
        </is>
      </c>
      <c r="B415" s="1" t="n">
        <v>44200</v>
      </c>
      <c r="C415" s="1" t="n">
        <v>45841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625-2021</t>
        </is>
      </c>
      <c r="B416" s="1" t="n">
        <v>44201</v>
      </c>
      <c r="C416" s="1" t="n">
        <v>45841</v>
      </c>
      <c r="D416" t="inlineStr">
        <is>
          <t>VÄRMLANDS LÄN</t>
        </is>
      </c>
      <c r="E416" t="inlineStr">
        <is>
          <t>ARVIKA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1059-2021</t>
        </is>
      </c>
      <c r="B417" s="1" t="n">
        <v>44207</v>
      </c>
      <c r="C417" s="1" t="n">
        <v>45841</v>
      </c>
      <c r="D417" t="inlineStr">
        <is>
          <t>VÄRMLANDS LÄN</t>
        </is>
      </c>
      <c r="E417" t="inlineStr">
        <is>
          <t>ARVIKA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1397-2021</t>
        </is>
      </c>
      <c r="B418" s="1" t="n">
        <v>44208</v>
      </c>
      <c r="C418" s="1" t="n">
        <v>45841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1534-2021</t>
        </is>
      </c>
      <c r="B419" s="1" t="n">
        <v>44209</v>
      </c>
      <c r="C419" s="1" t="n">
        <v>45841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1906-2021</t>
        </is>
      </c>
      <c r="B420" s="1" t="n">
        <v>44210</v>
      </c>
      <c r="C420" s="1" t="n">
        <v>45841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2214-2021</t>
        </is>
      </c>
      <c r="B421" s="1" t="n">
        <v>44211</v>
      </c>
      <c r="C421" s="1" t="n">
        <v>45841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2237-2021</t>
        </is>
      </c>
      <c r="B422" s="1" t="n">
        <v>44211</v>
      </c>
      <c r="C422" s="1" t="n">
        <v>45841</v>
      </c>
      <c r="D422" t="inlineStr">
        <is>
          <t>VÄRMLANDS LÄN</t>
        </is>
      </c>
      <c r="E422" t="inlineStr">
        <is>
          <t>ARVIKA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2931-2021</t>
        </is>
      </c>
      <c r="B423" s="1" t="n">
        <v>44216</v>
      </c>
      <c r="C423" s="1" t="n">
        <v>45841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3289-2021</t>
        </is>
      </c>
      <c r="B424" s="1" t="n">
        <v>44217</v>
      </c>
      <c r="C424" s="1" t="n">
        <v>45841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3664-2021</t>
        </is>
      </c>
      <c r="B425" s="1" t="n">
        <v>44221</v>
      </c>
      <c r="C425" s="1" t="n">
        <v>45841</v>
      </c>
      <c r="D425" t="inlineStr">
        <is>
          <t>VÄRMLANDS LÄN</t>
        </is>
      </c>
      <c r="E425" t="inlineStr">
        <is>
          <t>ARVIKA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4086-2021</t>
        </is>
      </c>
      <c r="B426" s="1" t="n">
        <v>44222</v>
      </c>
      <c r="C426" s="1" t="n">
        <v>45841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4099-2021</t>
        </is>
      </c>
      <c r="B427" s="1" t="n">
        <v>44222</v>
      </c>
      <c r="C427" s="1" t="n">
        <v>45841</v>
      </c>
      <c r="D427" t="inlineStr">
        <is>
          <t>VÄRMLANDS LÄN</t>
        </is>
      </c>
      <c r="E427" t="inlineStr">
        <is>
          <t>ARVIKA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4630-2021</t>
        </is>
      </c>
      <c r="B428" s="1" t="n">
        <v>44224</v>
      </c>
      <c r="C428" s="1" t="n">
        <v>45841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5229-2021</t>
        </is>
      </c>
      <c r="B429" s="1" t="n">
        <v>44229</v>
      </c>
      <c r="C429" s="1" t="n">
        <v>45841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5881-2021</t>
        </is>
      </c>
      <c r="B430" s="1" t="n">
        <v>44231</v>
      </c>
      <c r="C430" s="1" t="n">
        <v>45841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5907-2021</t>
        </is>
      </c>
      <c r="B431" s="1" t="n">
        <v>44231</v>
      </c>
      <c r="C431" s="1" t="n">
        <v>45841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6184-2021</t>
        </is>
      </c>
      <c r="B432" s="1" t="n">
        <v>44233</v>
      </c>
      <c r="C432" s="1" t="n">
        <v>45841</v>
      </c>
      <c r="D432" t="inlineStr">
        <is>
          <t>VÄRMLANDS LÄN</t>
        </is>
      </c>
      <c r="E432" t="inlineStr">
        <is>
          <t>ARVIKA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6474-2021</t>
        </is>
      </c>
      <c r="B433" s="1" t="n">
        <v>44235</v>
      </c>
      <c r="C433" s="1" t="n">
        <v>45841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6478-2021</t>
        </is>
      </c>
      <c r="B434" s="1" t="n">
        <v>44235</v>
      </c>
      <c r="C434" s="1" t="n">
        <v>45841</v>
      </c>
      <c r="D434" t="inlineStr">
        <is>
          <t>VÄRMLANDS LÄN</t>
        </is>
      </c>
      <c r="E434" t="inlineStr">
        <is>
          <t>ARVIKA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7259-2021</t>
        </is>
      </c>
      <c r="B435" s="1" t="n">
        <v>44238</v>
      </c>
      <c r="C435" s="1" t="n">
        <v>45841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7224-2021</t>
        </is>
      </c>
      <c r="B436" s="1" t="n">
        <v>44238</v>
      </c>
      <c r="C436" s="1" t="n">
        <v>45841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7256-2021</t>
        </is>
      </c>
      <c r="B437" s="1" t="n">
        <v>44238</v>
      </c>
      <c r="C437" s="1" t="n">
        <v>45841</v>
      </c>
      <c r="D437" t="inlineStr">
        <is>
          <t>VÄRMLANDS LÄN</t>
        </is>
      </c>
      <c r="E437" t="inlineStr">
        <is>
          <t>ARVIKA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7725-2021</t>
        </is>
      </c>
      <c r="B438" s="1" t="n">
        <v>44242</v>
      </c>
      <c r="C438" s="1" t="n">
        <v>45841</v>
      </c>
      <c r="D438" t="inlineStr">
        <is>
          <t>VÄRMLANDS LÄN</t>
        </is>
      </c>
      <c r="E438" t="inlineStr">
        <is>
          <t>ARVIKA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7723-2021</t>
        </is>
      </c>
      <c r="B439" s="1" t="n">
        <v>44242</v>
      </c>
      <c r="C439" s="1" t="n">
        <v>45841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7727-2021</t>
        </is>
      </c>
      <c r="B440" s="1" t="n">
        <v>44242</v>
      </c>
      <c r="C440" s="1" t="n">
        <v>45841</v>
      </c>
      <c r="D440" t="inlineStr">
        <is>
          <t>VÄRMLANDS LÄN</t>
        </is>
      </c>
      <c r="E440" t="inlineStr">
        <is>
          <t>ARVIKA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9851-2021</t>
        </is>
      </c>
      <c r="B441" s="1" t="n">
        <v>44253</v>
      </c>
      <c r="C441" s="1" t="n">
        <v>45841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10750-2021</t>
        </is>
      </c>
      <c r="B442" s="1" t="n">
        <v>44259</v>
      </c>
      <c r="C442" s="1" t="n">
        <v>45841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11945-2021</t>
        </is>
      </c>
      <c r="B443" s="1" t="n">
        <v>44266</v>
      </c>
      <c r="C443" s="1" t="n">
        <v>45841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12533-2021</t>
        </is>
      </c>
      <c r="B444" s="1" t="n">
        <v>44269</v>
      </c>
      <c r="C444" s="1" t="n">
        <v>45841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12529-2021</t>
        </is>
      </c>
      <c r="B445" s="1" t="n">
        <v>44269</v>
      </c>
      <c r="C445" s="1" t="n">
        <v>45841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12659-2021</t>
        </is>
      </c>
      <c r="B446" s="1" t="n">
        <v>44270</v>
      </c>
      <c r="C446" s="1" t="n">
        <v>45841</v>
      </c>
      <c r="D446" t="inlineStr">
        <is>
          <t>VÄRMLANDS LÄN</t>
        </is>
      </c>
      <c r="E446" t="inlineStr">
        <is>
          <t>ARVIKA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13007-2021</t>
        </is>
      </c>
      <c r="B447" s="1" t="n">
        <v>44271</v>
      </c>
      <c r="C447" s="1" t="n">
        <v>45841</v>
      </c>
      <c r="D447" t="inlineStr">
        <is>
          <t>VÄRMLANDS LÄN</t>
        </is>
      </c>
      <c r="E447" t="inlineStr">
        <is>
          <t>ARVIKA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13025-2021</t>
        </is>
      </c>
      <c r="B448" s="1" t="n">
        <v>44271</v>
      </c>
      <c r="C448" s="1" t="n">
        <v>45841</v>
      </c>
      <c r="D448" t="inlineStr">
        <is>
          <t>VÄRMLANDS LÄN</t>
        </is>
      </c>
      <c r="E448" t="inlineStr">
        <is>
          <t>ARVIKA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13828-2021</t>
        </is>
      </c>
      <c r="B449" s="1" t="n">
        <v>44277</v>
      </c>
      <c r="C449" s="1" t="n">
        <v>45841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14181-2021</t>
        </is>
      </c>
      <c r="B450" s="1" t="n">
        <v>44278</v>
      </c>
      <c r="C450" s="1" t="n">
        <v>45841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14273-2021</t>
        </is>
      </c>
      <c r="B451" s="1" t="n">
        <v>44278</v>
      </c>
      <c r="C451" s="1" t="n">
        <v>45841</v>
      </c>
      <c r="D451" t="inlineStr">
        <is>
          <t>VÄRMLANDS LÄN</t>
        </is>
      </c>
      <c r="E451" t="inlineStr">
        <is>
          <t>ARVIKA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15058-2021</t>
        </is>
      </c>
      <c r="B452" s="1" t="n">
        <v>44281</v>
      </c>
      <c r="C452" s="1" t="n">
        <v>45841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15225-2021</t>
        </is>
      </c>
      <c r="B453" s="1" t="n">
        <v>44284</v>
      </c>
      <c r="C453" s="1" t="n">
        <v>45841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15536-2021</t>
        </is>
      </c>
      <c r="B454" s="1" t="n">
        <v>44285</v>
      </c>
      <c r="C454" s="1" t="n">
        <v>45841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15912-2021</t>
        </is>
      </c>
      <c r="B455" s="1" t="n">
        <v>44287</v>
      </c>
      <c r="C455" s="1" t="n">
        <v>45841</v>
      </c>
      <c r="D455" t="inlineStr">
        <is>
          <t>VÄRMLANDS LÄN</t>
        </is>
      </c>
      <c r="E455" t="inlineStr">
        <is>
          <t>ARVIKA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15965-2021</t>
        </is>
      </c>
      <c r="B456" s="1" t="n">
        <v>44287</v>
      </c>
      <c r="C456" s="1" t="n">
        <v>45841</v>
      </c>
      <c r="D456" t="inlineStr">
        <is>
          <t>VÄRMLANDS LÄN</t>
        </is>
      </c>
      <c r="E456" t="inlineStr">
        <is>
          <t>ARVIKA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15981-2021</t>
        </is>
      </c>
      <c r="B457" s="1" t="n">
        <v>44287</v>
      </c>
      <c r="C457" s="1" t="n">
        <v>45841</v>
      </c>
      <c r="D457" t="inlineStr">
        <is>
          <t>VÄRMLANDS LÄN</t>
        </is>
      </c>
      <c r="E457" t="inlineStr">
        <is>
          <t>ARVIKA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16248-2021</t>
        </is>
      </c>
      <c r="B458" s="1" t="n">
        <v>44291</v>
      </c>
      <c r="C458" s="1" t="n">
        <v>45841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16540-2021</t>
        </is>
      </c>
      <c r="B459" s="1" t="n">
        <v>44293</v>
      </c>
      <c r="C459" s="1" t="n">
        <v>45841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16867-2021</t>
        </is>
      </c>
      <c r="B460" s="1" t="n">
        <v>44295</v>
      </c>
      <c r="C460" s="1" t="n">
        <v>45841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16797-2021</t>
        </is>
      </c>
      <c r="B461" s="1" t="n">
        <v>44295</v>
      </c>
      <c r="C461" s="1" t="n">
        <v>45841</v>
      </c>
      <c r="D461" t="inlineStr">
        <is>
          <t>VÄRMLANDS LÄN</t>
        </is>
      </c>
      <c r="E461" t="inlineStr">
        <is>
          <t>ARVIKA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16941-2021</t>
        </is>
      </c>
      <c r="B462" s="1" t="n">
        <v>44295</v>
      </c>
      <c r="C462" s="1" t="n">
        <v>45841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16981-2021</t>
        </is>
      </c>
      <c r="B463" s="1" t="n">
        <v>44295</v>
      </c>
      <c r="C463" s="1" t="n">
        <v>45841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17158-2021</t>
        </is>
      </c>
      <c r="B464" s="1" t="n">
        <v>44298</v>
      </c>
      <c r="C464" s="1" t="n">
        <v>45841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17140-2021</t>
        </is>
      </c>
      <c r="B465" s="1" t="n">
        <v>44298</v>
      </c>
      <c r="C465" s="1" t="n">
        <v>45841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19484-2021</t>
        </is>
      </c>
      <c r="B466" s="1" t="n">
        <v>44312</v>
      </c>
      <c r="C466" s="1" t="n">
        <v>45841</v>
      </c>
      <c r="D466" t="inlineStr">
        <is>
          <t>VÄRMLANDS LÄN</t>
        </is>
      </c>
      <c r="E466" t="inlineStr">
        <is>
          <t>ARVIKA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19486-2021</t>
        </is>
      </c>
      <c r="B467" s="1" t="n">
        <v>44312</v>
      </c>
      <c r="C467" s="1" t="n">
        <v>45841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19826-2021</t>
        </is>
      </c>
      <c r="B468" s="1" t="n">
        <v>44313</v>
      </c>
      <c r="C468" s="1" t="n">
        <v>45841</v>
      </c>
      <c r="D468" t="inlineStr">
        <is>
          <t>VÄRMLANDS LÄN</t>
        </is>
      </c>
      <c r="E468" t="inlineStr">
        <is>
          <t>ARVIKA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20346-2021</t>
        </is>
      </c>
      <c r="B469" s="1" t="n">
        <v>44315</v>
      </c>
      <c r="C469" s="1" t="n">
        <v>45841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21382-2021</t>
        </is>
      </c>
      <c r="B470" s="1" t="n">
        <v>44320</v>
      </c>
      <c r="C470" s="1" t="n">
        <v>45841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21381-2021</t>
        </is>
      </c>
      <c r="B471" s="1" t="n">
        <v>44320</v>
      </c>
      <c r="C471" s="1" t="n">
        <v>45841</v>
      </c>
      <c r="D471" t="inlineStr">
        <is>
          <t>VÄRMLANDS LÄN</t>
        </is>
      </c>
      <c r="E471" t="inlineStr">
        <is>
          <t>ARVIKA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22563-2021</t>
        </is>
      </c>
      <c r="B472" s="1" t="n">
        <v>44322</v>
      </c>
      <c r="C472" s="1" t="n">
        <v>45841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22565-2021</t>
        </is>
      </c>
      <c r="B473" s="1" t="n">
        <v>44322</v>
      </c>
      <c r="C473" s="1" t="n">
        <v>45841</v>
      </c>
      <c r="D473" t="inlineStr">
        <is>
          <t>VÄRMLANDS LÄN</t>
        </is>
      </c>
      <c r="E473" t="inlineStr">
        <is>
          <t>ARVIKA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22757-2021</t>
        </is>
      </c>
      <c r="B474" s="1" t="n">
        <v>44327</v>
      </c>
      <c r="C474" s="1" t="n">
        <v>45841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22971-2021</t>
        </is>
      </c>
      <c r="B475" s="1" t="n">
        <v>44328</v>
      </c>
      <c r="C475" s="1" t="n">
        <v>45841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23256-2021</t>
        </is>
      </c>
      <c r="B476" s="1" t="n">
        <v>44333</v>
      </c>
      <c r="C476" s="1" t="n">
        <v>45841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23293-2021</t>
        </is>
      </c>
      <c r="B477" s="1" t="n">
        <v>44333</v>
      </c>
      <c r="C477" s="1" t="n">
        <v>45841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23643-2021</t>
        </is>
      </c>
      <c r="B478" s="1" t="n">
        <v>44334</v>
      </c>
      <c r="C478" s="1" t="n">
        <v>45841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24668-2021</t>
        </is>
      </c>
      <c r="B479" s="1" t="n">
        <v>44340</v>
      </c>
      <c r="C479" s="1" t="n">
        <v>45841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25454-2021</t>
        </is>
      </c>
      <c r="B480" s="1" t="n">
        <v>44342</v>
      </c>
      <c r="C480" s="1" t="n">
        <v>45841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25544-2021</t>
        </is>
      </c>
      <c r="B481" s="1" t="n">
        <v>44342</v>
      </c>
      <c r="C481" s="1" t="n">
        <v>45841</v>
      </c>
      <c r="D481" t="inlineStr">
        <is>
          <t>VÄRMLANDS LÄN</t>
        </is>
      </c>
      <c r="E481" t="inlineStr">
        <is>
          <t>ARVIKA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27162-2021</t>
        </is>
      </c>
      <c r="B482" s="1" t="n">
        <v>44350</v>
      </c>
      <c r="C482" s="1" t="n">
        <v>45841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26999-2021</t>
        </is>
      </c>
      <c r="B483" s="1" t="n">
        <v>44350</v>
      </c>
      <c r="C483" s="1" t="n">
        <v>45841</v>
      </c>
      <c r="D483" t="inlineStr">
        <is>
          <t>VÄRMLANDS LÄN</t>
        </is>
      </c>
      <c r="E483" t="inlineStr">
        <is>
          <t>ARVIKA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27329-2021</t>
        </is>
      </c>
      <c r="B484" s="1" t="n">
        <v>44351</v>
      </c>
      <c r="C484" s="1" t="n">
        <v>45841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28655-2021</t>
        </is>
      </c>
      <c r="B485" s="1" t="n">
        <v>44357</v>
      </c>
      <c r="C485" s="1" t="n">
        <v>45841</v>
      </c>
      <c r="D485" t="inlineStr">
        <is>
          <t>VÄRMLANDS LÄN</t>
        </is>
      </c>
      <c r="E485" t="inlineStr">
        <is>
          <t>ARVIKA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30479-2021</t>
        </is>
      </c>
      <c r="B486" s="1" t="n">
        <v>44364</v>
      </c>
      <c r="C486" s="1" t="n">
        <v>45841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30733-2021</t>
        </is>
      </c>
      <c r="B487" s="1" t="n">
        <v>44365</v>
      </c>
      <c r="C487" s="1" t="n">
        <v>45841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30746-2021</t>
        </is>
      </c>
      <c r="B488" s="1" t="n">
        <v>44365</v>
      </c>
      <c r="C488" s="1" t="n">
        <v>45841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31111-2021</t>
        </is>
      </c>
      <c r="B489" s="1" t="n">
        <v>44365</v>
      </c>
      <c r="C489" s="1" t="n">
        <v>45841</v>
      </c>
      <c r="D489" t="inlineStr">
        <is>
          <t>VÄRMLANDS LÄN</t>
        </is>
      </c>
      <c r="E489" t="inlineStr">
        <is>
          <t>ARVIKA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31870-2021</t>
        </is>
      </c>
      <c r="B490" s="1" t="n">
        <v>44370</v>
      </c>
      <c r="C490" s="1" t="n">
        <v>45841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31929-2021</t>
        </is>
      </c>
      <c r="B491" s="1" t="n">
        <v>44370</v>
      </c>
      <c r="C491" s="1" t="n">
        <v>45841</v>
      </c>
      <c r="D491" t="inlineStr">
        <is>
          <t>VÄRMLANDS LÄN</t>
        </is>
      </c>
      <c r="E491" t="inlineStr">
        <is>
          <t>ARVIKA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31996-2021</t>
        </is>
      </c>
      <c r="B492" s="1" t="n">
        <v>44370</v>
      </c>
      <c r="C492" s="1" t="n">
        <v>45841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32336-2021</t>
        </is>
      </c>
      <c r="B493" s="1" t="n">
        <v>44371</v>
      </c>
      <c r="C493" s="1" t="n">
        <v>45841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35288-2021</t>
        </is>
      </c>
      <c r="B494" s="1" t="n">
        <v>44383</v>
      </c>
      <c r="C494" s="1" t="n">
        <v>45841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35294-2021</t>
        </is>
      </c>
      <c r="B495" s="1" t="n">
        <v>44383</v>
      </c>
      <c r="C495" s="1" t="n">
        <v>45841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35292-2021</t>
        </is>
      </c>
      <c r="B496" s="1" t="n">
        <v>44383</v>
      </c>
      <c r="C496" s="1" t="n">
        <v>45841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35517-2021</t>
        </is>
      </c>
      <c r="B497" s="1" t="n">
        <v>44385</v>
      </c>
      <c r="C497" s="1" t="n">
        <v>45841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36520-2021</t>
        </is>
      </c>
      <c r="B498" s="1" t="n">
        <v>44391</v>
      </c>
      <c r="C498" s="1" t="n">
        <v>45841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36643-2021</t>
        </is>
      </c>
      <c r="B499" s="1" t="n">
        <v>44392</v>
      </c>
      <c r="C499" s="1" t="n">
        <v>45841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37540-2021</t>
        </is>
      </c>
      <c r="B500" s="1" t="n">
        <v>44399</v>
      </c>
      <c r="C500" s="1" t="n">
        <v>45841</v>
      </c>
      <c r="D500" t="inlineStr">
        <is>
          <t>VÄRMLANDS LÄN</t>
        </is>
      </c>
      <c r="E500" t="inlineStr">
        <is>
          <t>ARVIKA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38894-2021</t>
        </is>
      </c>
      <c r="B501" s="1" t="n">
        <v>44411</v>
      </c>
      <c r="C501" s="1" t="n">
        <v>45841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39195-2021</t>
        </is>
      </c>
      <c r="B502" s="1" t="n">
        <v>44413</v>
      </c>
      <c r="C502" s="1" t="n">
        <v>45841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39746-2021</t>
        </is>
      </c>
      <c r="B503" s="1" t="n">
        <v>44417</v>
      </c>
      <c r="C503" s="1" t="n">
        <v>45841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40001-2021</t>
        </is>
      </c>
      <c r="B504" s="1" t="n">
        <v>44417</v>
      </c>
      <c r="C504" s="1" t="n">
        <v>45841</v>
      </c>
      <c r="D504" t="inlineStr">
        <is>
          <t>VÄRMLANDS LÄN</t>
        </is>
      </c>
      <c r="E504" t="inlineStr">
        <is>
          <t>ARVIKA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40003-2021</t>
        </is>
      </c>
      <c r="B505" s="1" t="n">
        <v>44417</v>
      </c>
      <c r="C505" s="1" t="n">
        <v>45841</v>
      </c>
      <c r="D505" t="inlineStr">
        <is>
          <t>VÄRMLANDS LÄN</t>
        </is>
      </c>
      <c r="E505" t="inlineStr">
        <is>
          <t>ARVIKA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40351-2021</t>
        </is>
      </c>
      <c r="B506" s="1" t="n">
        <v>44419</v>
      </c>
      <c r="C506" s="1" t="n">
        <v>45841</v>
      </c>
      <c r="D506" t="inlineStr">
        <is>
          <t>VÄRMLANDS LÄN</t>
        </is>
      </c>
      <c r="E506" t="inlineStr">
        <is>
          <t>ARVIKA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40455-2021</t>
        </is>
      </c>
      <c r="B507" s="1" t="n">
        <v>44419</v>
      </c>
      <c r="C507" s="1" t="n">
        <v>45841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40688-2021</t>
        </is>
      </c>
      <c r="B508" s="1" t="n">
        <v>44420</v>
      </c>
      <c r="C508" s="1" t="n">
        <v>45841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40743-2021</t>
        </is>
      </c>
      <c r="B509" s="1" t="n">
        <v>44420</v>
      </c>
      <c r="C509" s="1" t="n">
        <v>45841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41320-2021</t>
        </is>
      </c>
      <c r="B510" s="1" t="n">
        <v>44424</v>
      </c>
      <c r="C510" s="1" t="n">
        <v>45841</v>
      </c>
      <c r="D510" t="inlineStr">
        <is>
          <t>VÄRMLANDS LÄN</t>
        </is>
      </c>
      <c r="E510" t="inlineStr">
        <is>
          <t>ARVIKA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41325-2021</t>
        </is>
      </c>
      <c r="B511" s="1" t="n">
        <v>44424</v>
      </c>
      <c r="C511" s="1" t="n">
        <v>45841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41311-2021</t>
        </is>
      </c>
      <c r="B512" s="1" t="n">
        <v>44424</v>
      </c>
      <c r="C512" s="1" t="n">
        <v>45841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41317-2021</t>
        </is>
      </c>
      <c r="B513" s="1" t="n">
        <v>44424</v>
      </c>
      <c r="C513" s="1" t="n">
        <v>45841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41329-2021</t>
        </is>
      </c>
      <c r="B514" s="1" t="n">
        <v>44424</v>
      </c>
      <c r="C514" s="1" t="n">
        <v>45841</v>
      </c>
      <c r="D514" t="inlineStr">
        <is>
          <t>VÄRMLANDS LÄN</t>
        </is>
      </c>
      <c r="E514" t="inlineStr">
        <is>
          <t>ARVIKA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41450-2021</t>
        </is>
      </c>
      <c r="B515" s="1" t="n">
        <v>44424</v>
      </c>
      <c r="C515" s="1" t="n">
        <v>45841</v>
      </c>
      <c r="D515" t="inlineStr">
        <is>
          <t>VÄRMLANDS LÄN</t>
        </is>
      </c>
      <c r="E515" t="inlineStr">
        <is>
          <t>ARVIKA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41551-2021</t>
        </is>
      </c>
      <c r="B516" s="1" t="n">
        <v>44424</v>
      </c>
      <c r="C516" s="1" t="n">
        <v>45841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41661-2021</t>
        </is>
      </c>
      <c r="B517" s="1" t="n">
        <v>44425</v>
      </c>
      <c r="C517" s="1" t="n">
        <v>45841</v>
      </c>
      <c r="D517" t="inlineStr">
        <is>
          <t>VÄRMLANDS LÄN</t>
        </is>
      </c>
      <c r="E517" t="inlineStr">
        <is>
          <t>ARVIKA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41686-2021</t>
        </is>
      </c>
      <c r="B518" s="1" t="n">
        <v>44425</v>
      </c>
      <c r="C518" s="1" t="n">
        <v>45841</v>
      </c>
      <c r="D518" t="inlineStr">
        <is>
          <t>VÄRMLANDS LÄN</t>
        </is>
      </c>
      <c r="E518" t="inlineStr">
        <is>
          <t>ARVIKA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HYPERLINK("https://klasma.github.io/Logging_1784/knärot/A 41686-2021 karta knärot.png", "A 41686-2021")</f>
        <v/>
      </c>
      <c r="V518">
        <f>HYPERLINK("https://klasma.github.io/Logging_1784/klagomål/A 41686-2021 FSC-klagomål.docx", "A 41686-2021")</f>
        <v/>
      </c>
      <c r="W518">
        <f>HYPERLINK("https://klasma.github.io/Logging_1784/klagomålsmail/A 41686-2021 FSC-klagomål mail.docx", "A 41686-2021")</f>
        <v/>
      </c>
      <c r="X518">
        <f>HYPERLINK("https://klasma.github.io/Logging_1784/tillsyn/A 41686-2021 tillsynsbegäran.docx", "A 41686-2021")</f>
        <v/>
      </c>
      <c r="Y518">
        <f>HYPERLINK("https://klasma.github.io/Logging_1784/tillsynsmail/A 41686-2021 tillsynsbegäran mail.docx", "A 41686-2021")</f>
        <v/>
      </c>
    </row>
    <row r="519" ht="15" customHeight="1">
      <c r="A519" t="inlineStr">
        <is>
          <t>A 41860-2021</t>
        </is>
      </c>
      <c r="B519" s="1" t="n">
        <v>44426</v>
      </c>
      <c r="C519" s="1" t="n">
        <v>45841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41870-2021</t>
        </is>
      </c>
      <c r="B520" s="1" t="n">
        <v>44426</v>
      </c>
      <c r="C520" s="1" t="n">
        <v>45841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42070-2021</t>
        </is>
      </c>
      <c r="B521" s="1" t="n">
        <v>44426</v>
      </c>
      <c r="C521" s="1" t="n">
        <v>45841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41866-2021</t>
        </is>
      </c>
      <c r="B522" s="1" t="n">
        <v>44426</v>
      </c>
      <c r="C522" s="1" t="n">
        <v>45841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42044-2021</t>
        </is>
      </c>
      <c r="B523" s="1" t="n">
        <v>44426</v>
      </c>
      <c r="C523" s="1" t="n">
        <v>45841</v>
      </c>
      <c r="D523" t="inlineStr">
        <is>
          <t>VÄRMLANDS LÄN</t>
        </is>
      </c>
      <c r="E523" t="inlineStr">
        <is>
          <t>ARVIKA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42064-2021</t>
        </is>
      </c>
      <c r="B524" s="1" t="n">
        <v>44426</v>
      </c>
      <c r="C524" s="1" t="n">
        <v>45841</v>
      </c>
      <c r="D524" t="inlineStr">
        <is>
          <t>VÄRMLANDS LÄN</t>
        </is>
      </c>
      <c r="E524" t="inlineStr">
        <is>
          <t>ARVIKA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42163-2021</t>
        </is>
      </c>
      <c r="B525" s="1" t="n">
        <v>44426</v>
      </c>
      <c r="C525" s="1" t="n">
        <v>45841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42171-2021</t>
        </is>
      </c>
      <c r="B526" s="1" t="n">
        <v>44426</v>
      </c>
      <c r="C526" s="1" t="n">
        <v>45841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42314-2021</t>
        </is>
      </c>
      <c r="B527" s="1" t="n">
        <v>44427</v>
      </c>
      <c r="C527" s="1" t="n">
        <v>45841</v>
      </c>
      <c r="D527" t="inlineStr">
        <is>
          <t>VÄRMLANDS LÄN</t>
        </is>
      </c>
      <c r="E527" t="inlineStr">
        <is>
          <t>ARVIKA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42734-2021</t>
        </is>
      </c>
      <c r="B528" s="1" t="n">
        <v>44428</v>
      </c>
      <c r="C528" s="1" t="n">
        <v>45841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44067-2021</t>
        </is>
      </c>
      <c r="B529" s="1" t="n">
        <v>44434</v>
      </c>
      <c r="C529" s="1" t="n">
        <v>45841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44331-2021</t>
        </is>
      </c>
      <c r="B530" s="1" t="n">
        <v>44435</v>
      </c>
      <c r="C530" s="1" t="n">
        <v>45841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44425-2021</t>
        </is>
      </c>
      <c r="B531" s="1" t="n">
        <v>44435</v>
      </c>
      <c r="C531" s="1" t="n">
        <v>45841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44432-2021</t>
        </is>
      </c>
      <c r="B532" s="1" t="n">
        <v>44435</v>
      </c>
      <c r="C532" s="1" t="n">
        <v>45841</v>
      </c>
      <c r="D532" t="inlineStr">
        <is>
          <t>VÄRMLANDS LÄN</t>
        </is>
      </c>
      <c r="E532" t="inlineStr">
        <is>
          <t>ARVIKA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44420-2021</t>
        </is>
      </c>
      <c r="B533" s="1" t="n">
        <v>44435</v>
      </c>
      <c r="C533" s="1" t="n">
        <v>45841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44443-2021</t>
        </is>
      </c>
      <c r="B534" s="1" t="n">
        <v>44435</v>
      </c>
      <c r="C534" s="1" t="n">
        <v>45841</v>
      </c>
      <c r="D534" t="inlineStr">
        <is>
          <t>VÄRMLANDS LÄN</t>
        </is>
      </c>
      <c r="E534" t="inlineStr">
        <is>
          <t>ARVIKA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44419-2021</t>
        </is>
      </c>
      <c r="B535" s="1" t="n">
        <v>44435</v>
      </c>
      <c r="C535" s="1" t="n">
        <v>45841</v>
      </c>
      <c r="D535" t="inlineStr">
        <is>
          <t>VÄRMLANDS LÄN</t>
        </is>
      </c>
      <c r="E535" t="inlineStr">
        <is>
          <t>ARVIKA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45716-2021</t>
        </is>
      </c>
      <c r="B536" s="1" t="n">
        <v>44435</v>
      </c>
      <c r="C536" s="1" t="n">
        <v>45841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45740-2021</t>
        </is>
      </c>
      <c r="B537" s="1" t="n">
        <v>44435</v>
      </c>
      <c r="C537" s="1" t="n">
        <v>45841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45756-2021</t>
        </is>
      </c>
      <c r="B538" s="1" t="n">
        <v>44435</v>
      </c>
      <c r="C538" s="1" t="n">
        <v>45841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44824-2021</t>
        </is>
      </c>
      <c r="B539" s="1" t="n">
        <v>44438</v>
      </c>
      <c r="C539" s="1" t="n">
        <v>45841</v>
      </c>
      <c r="D539" t="inlineStr">
        <is>
          <t>VÄRMLANDS LÄN</t>
        </is>
      </c>
      <c r="E539" t="inlineStr">
        <is>
          <t>ARVIKA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44975-2021</t>
        </is>
      </c>
      <c r="B540" s="1" t="n">
        <v>44438</v>
      </c>
      <c r="C540" s="1" t="n">
        <v>45841</v>
      </c>
      <c r="D540" t="inlineStr">
        <is>
          <t>VÄRMLANDS LÄN</t>
        </is>
      </c>
      <c r="E540" t="inlineStr">
        <is>
          <t>ARVIKA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44974-2021</t>
        </is>
      </c>
      <c r="B541" s="1" t="n">
        <v>44438</v>
      </c>
      <c r="C541" s="1" t="n">
        <v>45841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45294-2021</t>
        </is>
      </c>
      <c r="B542" s="1" t="n">
        <v>44439</v>
      </c>
      <c r="C542" s="1" t="n">
        <v>45841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46297-2021</t>
        </is>
      </c>
      <c r="B543" s="1" t="n">
        <v>44442</v>
      </c>
      <c r="C543" s="1" t="n">
        <v>45841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46840-2021</t>
        </is>
      </c>
      <c r="B544" s="1" t="n">
        <v>44446</v>
      </c>
      <c r="C544" s="1" t="n">
        <v>45841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47119-2021</t>
        </is>
      </c>
      <c r="B545" s="1" t="n">
        <v>44446</v>
      </c>
      <c r="C545" s="1" t="n">
        <v>45841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48727-2021</t>
        </is>
      </c>
      <c r="B546" s="1" t="n">
        <v>44452</v>
      </c>
      <c r="C546" s="1" t="n">
        <v>45841</v>
      </c>
      <c r="D546" t="inlineStr">
        <is>
          <t>VÄRMLANDS LÄN</t>
        </is>
      </c>
      <c r="E546" t="inlineStr">
        <is>
          <t>ARVIKA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48995-2021</t>
        </is>
      </c>
      <c r="B547" s="1" t="n">
        <v>44453</v>
      </c>
      <c r="C547" s="1" t="n">
        <v>45841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49744-2021</t>
        </is>
      </c>
      <c r="B548" s="1" t="n">
        <v>44455</v>
      </c>
      <c r="C548" s="1" t="n">
        <v>45841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49759-2021</t>
        </is>
      </c>
      <c r="B549" s="1" t="n">
        <v>44455</v>
      </c>
      <c r="C549" s="1" t="n">
        <v>45841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49673-2021</t>
        </is>
      </c>
      <c r="B550" s="1" t="n">
        <v>44455</v>
      </c>
      <c r="C550" s="1" t="n">
        <v>45841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49713-2021</t>
        </is>
      </c>
      <c r="B551" s="1" t="n">
        <v>44455</v>
      </c>
      <c r="C551" s="1" t="n">
        <v>45841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49785-2021</t>
        </is>
      </c>
      <c r="B552" s="1" t="n">
        <v>44455</v>
      </c>
      <c r="C552" s="1" t="n">
        <v>45841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50229-2021</t>
        </is>
      </c>
      <c r="B553" s="1" t="n">
        <v>44457</v>
      </c>
      <c r="C553" s="1" t="n">
        <v>45841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50520-2021</t>
        </is>
      </c>
      <c r="B554" s="1" t="n">
        <v>44458</v>
      </c>
      <c r="C554" s="1" t="n">
        <v>45841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50387-2021</t>
        </is>
      </c>
      <c r="B555" s="1" t="n">
        <v>44459</v>
      </c>
      <c r="C555" s="1" t="n">
        <v>45841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50954-2021</t>
        </is>
      </c>
      <c r="B556" s="1" t="n">
        <v>44460</v>
      </c>
      <c r="C556" s="1" t="n">
        <v>45841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51314-2021</t>
        </is>
      </c>
      <c r="B557" s="1" t="n">
        <v>44461</v>
      </c>
      <c r="C557" s="1" t="n">
        <v>45841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51608-2021</t>
        </is>
      </c>
      <c r="B558" s="1" t="n">
        <v>44461</v>
      </c>
      <c r="C558" s="1" t="n">
        <v>45841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51514-2021</t>
        </is>
      </c>
      <c r="B559" s="1" t="n">
        <v>44462</v>
      </c>
      <c r="C559" s="1" t="n">
        <v>45841</v>
      </c>
      <c r="D559" t="inlineStr">
        <is>
          <t>VÄRMLANDS LÄN</t>
        </is>
      </c>
      <c r="E559" t="inlineStr">
        <is>
          <t>ARVIKA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51553-2021</t>
        </is>
      </c>
      <c r="B560" s="1" t="n">
        <v>44462</v>
      </c>
      <c r="C560" s="1" t="n">
        <v>45841</v>
      </c>
      <c r="D560" t="inlineStr">
        <is>
          <t>VÄRMLANDS LÄN</t>
        </is>
      </c>
      <c r="E560" t="inlineStr">
        <is>
          <t>ARVIKA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52357-2021</t>
        </is>
      </c>
      <c r="B561" s="1" t="n">
        <v>44464</v>
      </c>
      <c r="C561" s="1" t="n">
        <v>45841</v>
      </c>
      <c r="D561" t="inlineStr">
        <is>
          <t>VÄRMLANDS LÄN</t>
        </is>
      </c>
      <c r="E561" t="inlineStr">
        <is>
          <t>ARVIKA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52624-2021</t>
        </is>
      </c>
      <c r="B562" s="1" t="n">
        <v>44465</v>
      </c>
      <c r="C562" s="1" t="n">
        <v>45841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52800-2021</t>
        </is>
      </c>
      <c r="B563" s="1" t="n">
        <v>44467</v>
      </c>
      <c r="C563" s="1" t="n">
        <v>45841</v>
      </c>
      <c r="D563" t="inlineStr">
        <is>
          <t>VÄRMLANDS LÄN</t>
        </is>
      </c>
      <c r="E563" t="inlineStr">
        <is>
          <t>ARVIKA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53390-2021</t>
        </is>
      </c>
      <c r="B564" s="1" t="n">
        <v>44468</v>
      </c>
      <c r="C564" s="1" t="n">
        <v>45841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54261-2021</t>
        </is>
      </c>
      <c r="B565" s="1" t="n">
        <v>44470</v>
      </c>
      <c r="C565" s="1" t="n">
        <v>45841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54211-2021</t>
        </is>
      </c>
      <c r="B566" s="1" t="n">
        <v>44470</v>
      </c>
      <c r="C566" s="1" t="n">
        <v>45841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54677-2021</t>
        </is>
      </c>
      <c r="B567" s="1" t="n">
        <v>44473</v>
      </c>
      <c r="C567" s="1" t="n">
        <v>45841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55515-2021</t>
        </is>
      </c>
      <c r="B568" s="1" t="n">
        <v>44475</v>
      </c>
      <c r="C568" s="1" t="n">
        <v>45841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55518-2021</t>
        </is>
      </c>
      <c r="B569" s="1" t="n">
        <v>44475</v>
      </c>
      <c r="C569" s="1" t="n">
        <v>45841</v>
      </c>
      <c r="D569" t="inlineStr">
        <is>
          <t>VÄRMLANDS LÄN</t>
        </is>
      </c>
      <c r="E569" t="inlineStr">
        <is>
          <t>ARVIKA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55791-2021</t>
        </is>
      </c>
      <c r="B570" s="1" t="n">
        <v>44476</v>
      </c>
      <c r="C570" s="1" t="n">
        <v>45841</v>
      </c>
      <c r="D570" t="inlineStr">
        <is>
          <t>VÄRMLANDS LÄN</t>
        </is>
      </c>
      <c r="E570" t="inlineStr">
        <is>
          <t>ARVIKA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55902-2021</t>
        </is>
      </c>
      <c r="B571" s="1" t="n">
        <v>44476</v>
      </c>
      <c r="C571" s="1" t="n">
        <v>45841</v>
      </c>
      <c r="D571" t="inlineStr">
        <is>
          <t>VÄRMLANDS LÄN</t>
        </is>
      </c>
      <c r="E571" t="inlineStr">
        <is>
          <t>ARVIKA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58152-2021</t>
        </is>
      </c>
      <c r="B572" s="1" t="n">
        <v>44487</v>
      </c>
      <c r="C572" s="1" t="n">
        <v>45841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58288-2021</t>
        </is>
      </c>
      <c r="B573" s="1" t="n">
        <v>44488</v>
      </c>
      <c r="C573" s="1" t="n">
        <v>45841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59195-2021</t>
        </is>
      </c>
      <c r="B574" s="1" t="n">
        <v>44490</v>
      </c>
      <c r="C574" s="1" t="n">
        <v>45841</v>
      </c>
      <c r="D574" t="inlineStr">
        <is>
          <t>VÄRMLANDS LÄN</t>
        </is>
      </c>
      <c r="E574" t="inlineStr">
        <is>
          <t>ARVIKA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59886-2021</t>
        </is>
      </c>
      <c r="B575" s="1" t="n">
        <v>44493</v>
      </c>
      <c r="C575" s="1" t="n">
        <v>45841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60183-2021</t>
        </is>
      </c>
      <c r="B576" s="1" t="n">
        <v>44495</v>
      </c>
      <c r="C576" s="1" t="n">
        <v>45841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60508-2021</t>
        </is>
      </c>
      <c r="B577" s="1" t="n">
        <v>44496</v>
      </c>
      <c r="C577" s="1" t="n">
        <v>45841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60502-2021</t>
        </is>
      </c>
      <c r="B578" s="1" t="n">
        <v>44496</v>
      </c>
      <c r="C578" s="1" t="n">
        <v>45841</v>
      </c>
      <c r="D578" t="inlineStr">
        <is>
          <t>VÄRMLANDS LÄN</t>
        </is>
      </c>
      <c r="E578" t="inlineStr">
        <is>
          <t>ARVIKA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60842-2021</t>
        </is>
      </c>
      <c r="B579" s="1" t="n">
        <v>44496</v>
      </c>
      <c r="C579" s="1" t="n">
        <v>45841</v>
      </c>
      <c r="D579" t="inlineStr">
        <is>
          <t>VÄRMLANDS LÄN</t>
        </is>
      </c>
      <c r="E579" t="inlineStr">
        <is>
          <t>ARVIKA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63627-2021</t>
        </is>
      </c>
      <c r="B580" s="1" t="n">
        <v>44496</v>
      </c>
      <c r="C580" s="1" t="n">
        <v>45841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60942-2021</t>
        </is>
      </c>
      <c r="B581" s="1" t="n">
        <v>44497</v>
      </c>
      <c r="C581" s="1" t="n">
        <v>45841</v>
      </c>
      <c r="D581" t="inlineStr">
        <is>
          <t>VÄRMLANDS LÄN</t>
        </is>
      </c>
      <c r="E581" t="inlineStr">
        <is>
          <t>ARVIKA</t>
        </is>
      </c>
      <c r="F581" t="inlineStr">
        <is>
          <t>Kyrkan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61520-2021</t>
        </is>
      </c>
      <c r="B582" s="1" t="n">
        <v>44501</v>
      </c>
      <c r="C582" s="1" t="n">
        <v>45841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61663-2021</t>
        </is>
      </c>
      <c r="B583" s="1" t="n">
        <v>44501</v>
      </c>
      <c r="C583" s="1" t="n">
        <v>45841</v>
      </c>
      <c r="D583" t="inlineStr">
        <is>
          <t>VÄRMLANDS LÄN</t>
        </is>
      </c>
      <c r="E583" t="inlineStr">
        <is>
          <t>ARVIKA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45841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45841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45841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45841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45841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45841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45841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45841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45841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45841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45841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45841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45841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45841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45841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45841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45841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45841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45841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45841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45841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45841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45841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45841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45841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45841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45841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45841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45841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45841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45841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45841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45841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45841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45841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45841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45841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45841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45841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45841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45841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45841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45841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45841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45841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45841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45841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45841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45841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45841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45841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45841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45841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45841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45841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45841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45841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45841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45841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45841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45841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45841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45841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45841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45841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45841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45841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45841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45841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45841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45841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45841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45841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45841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45841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45841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45841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45841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45841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45841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45841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45841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45841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45841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45841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45841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45841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45841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45841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45841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45841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45841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45841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45841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45841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45841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45841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45841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45841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45841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45841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45841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45841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45841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45841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45841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45841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45841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45841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45841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45841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45841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45841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45841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45841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45841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45841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45841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45841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45841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45841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45841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45841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45841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45841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45841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45841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45841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45841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45841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45841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45841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45841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45841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45841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45841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45841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45841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45841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45841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45841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45841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45841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45841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45841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45841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45841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45841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45841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45841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45841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45841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45841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45841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45841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45841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45841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45841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45841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45841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45841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45841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45841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45841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45841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45841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45841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45841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45841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45841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45841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45841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45841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45841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45841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45841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45841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45841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45841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45841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45841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45841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45841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45841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45841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45841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45841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45841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45841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45841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45841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45841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45841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45841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45841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45841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45841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45841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45841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45841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45841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45841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45841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45841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45841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45841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45841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45841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45841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45841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45841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45841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45841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45841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45841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45841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45841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45841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45841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45841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45841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45841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45841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45841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45841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45841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45841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45841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45841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45841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45841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45841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45841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45841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45841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45841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45841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45841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45841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45841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45841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45841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45841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45841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45841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45841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45841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45841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45841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45841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45841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45841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45841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45841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45841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45841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45841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45841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45841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45841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45841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45841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45841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45841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45841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45841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45841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45841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45841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45841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45841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45841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45841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45841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45841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45841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45841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45841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45841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45841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45841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45841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45841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45841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45841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45841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45841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45841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45841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45841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45841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45841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45841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45841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45841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45841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45841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45841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45841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45841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45841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45841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45841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45841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45841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45841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45841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45841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45841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45841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45841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45841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45841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45841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45841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45841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45841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45841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45841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45841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45841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45841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45841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45841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45841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45841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45841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45841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45841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45841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45841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45841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45841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45841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45841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45841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45841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45841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45841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45841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45841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45841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45841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45841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45841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45841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45841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45841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45841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45841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45841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45841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45841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45841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45841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45841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45841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45841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45841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45841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45841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45841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45841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45841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45841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45841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45841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45841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45841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45841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45841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45841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45841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45841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45841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45841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45841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45841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45841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45841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45841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45841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45841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45841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45841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45841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45841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45841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45841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45841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45841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45841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45841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45841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45841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45841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45841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45841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45841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45841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45841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45841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45841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45841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45841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45841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45841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45841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45841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45841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45841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45841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45841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45841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45841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45841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45841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45841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45841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45841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45841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45841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45841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45841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45841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45841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45841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45841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45841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45841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45841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45841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45841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45841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45841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45841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45841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45841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45841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45841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45841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45841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45841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45841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45841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45841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45841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45841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45841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45841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45841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45841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45841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45841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45841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45841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45841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45841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45841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45841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45841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45841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45841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45841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45841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45841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45841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45841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45841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45841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45841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45841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45841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45841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45841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45841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45841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45841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45841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45841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45841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45841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45841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45841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45841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45841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45841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45841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45841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45841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45841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45841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45841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45841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45841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45841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45841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45841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45841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45841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45841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45841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45841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45841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45841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45841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45841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45841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45841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45841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45841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45841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45841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45841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45841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45841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45841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45841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45841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45841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45841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45841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45841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45841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45841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45841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45841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45841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45841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45841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45841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45841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45841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45841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45841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45841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45841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45841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45841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45841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45841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45841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45841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45841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45841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45841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45841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45841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45841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45841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45841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45841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45841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45841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45841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45841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45841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45841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45841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45841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45841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45841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45841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45841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45841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45841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45841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45841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45841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45841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45841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45841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45841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45841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45841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45841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45841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45841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45841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45841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45841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45841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45841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45841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45841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45841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45841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45841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45841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45841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45841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45841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45841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45841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45841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45841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45841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45841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45841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45841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45841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45841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45841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45841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45841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45841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45841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45841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45841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45841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45841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45841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45841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45841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45841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45841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45841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45841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45841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45841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45841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45841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45841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45841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45841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45841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45841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45841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45841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45841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45841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45841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45841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45841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45841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45841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45841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45841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45841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45841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45841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45841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45841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45841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45841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45841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45841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45841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45841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45841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45841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45841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45841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45841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45841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45841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45841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45841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45841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45841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45841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45841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45841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45841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45841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45841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45841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45841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45841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45841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45841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45841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45841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45841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45841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45841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45841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45841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45841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45841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45841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45841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45841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45841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45841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45841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45841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45841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45841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45841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45841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45841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45841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45841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45841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45841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45841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45841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45841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45841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45841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45841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45841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45841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45841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45841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45841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45841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45841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45841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45841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45841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45841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45841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45841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45841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45841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45841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45841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45841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45841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45841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45841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45841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45841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45841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45841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45841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45841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45841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45841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45841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45841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45841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45841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45841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45841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45841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45841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45841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45841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45841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45841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45841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45841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45841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45841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45841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45841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45841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45841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45841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45841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45841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45841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45841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45841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45841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45841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45841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45841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45841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45841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45841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45841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45841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45841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45841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45841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45841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45841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45841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45841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45841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45841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45841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45841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45841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45841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45841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45841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45841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45841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45841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45841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45841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45841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45841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45841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45841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45841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45841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45841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45841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45841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45841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45841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45841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45841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45841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45841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45841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45841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45841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45841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45841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45841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45841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45841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45841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45841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45841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45841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45841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45841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45841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45841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45841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45841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45841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45841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45841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45841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45841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45841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45841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45841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45841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45841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45841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45841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45841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45841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45841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45841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45841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45841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45841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45841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45841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45841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45841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45841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45841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45841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45841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45841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45841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45841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45841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45841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45841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45841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45841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45841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45841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45841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45841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45841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45841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45841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45841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45841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45841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45841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45841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45841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45841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45841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45841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45841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45841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45841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45841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45841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45841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45841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45841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45841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45841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45841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45841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45841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45841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45841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45841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45841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45841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45841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45841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45841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45841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45841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45841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45841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45841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45841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45841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45841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45841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45841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45841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45841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45841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45841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45841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45841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45841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45841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45841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45841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45841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45841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45841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45841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45841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45841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45841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45841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45841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45841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45841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45841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45841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45841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45841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45841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45841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45841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45841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45841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45841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45841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45841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45841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45841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45841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45841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45841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45841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45841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45841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45841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45841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45841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45841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45841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45841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45841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45841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45841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45841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45841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45841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45841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45841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45841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45841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45841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45841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45841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45841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45841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45841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45841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45841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45841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45841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45841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45841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45841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45841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45841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45841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45841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45841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45841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45841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45841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45841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45841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45841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45841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45841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45841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45841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45841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45841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45841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45841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45841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45841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45841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45841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45841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45841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45841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45841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45841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45841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45841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45841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45841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45841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45841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45841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45841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45841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45841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45841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45841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45841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45841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45841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45841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45841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45841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45841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45841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45841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45841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45841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45841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45841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45841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45841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45841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45841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45841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45841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45841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45841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45841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45841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45841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45841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45841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45841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45841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45841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45841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45841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45841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45841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45841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45841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45841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45841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45841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45841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45841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45841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45841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45841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45841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45841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45841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45841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45841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45841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45841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45841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45841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45841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45841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45841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45841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45841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45841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45841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45841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45841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45841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45841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45841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45841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45841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45841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45841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45841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45841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45841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45841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45841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45841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45841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45841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45841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45841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45841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45841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45841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45841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45841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45841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45841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45841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45841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45841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45841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45841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45841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45841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45841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45841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45841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45841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45841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45841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45841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45841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45841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45841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45841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45841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45841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45841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45841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45841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45841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45841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45841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45841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45841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45841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45841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45841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45841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45841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45841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45841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45841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45841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45841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45841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45841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45841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45841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45841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45841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45841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45841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45841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45841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45841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45841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45841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45841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45841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45841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45841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45841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45841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45841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45841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45841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45841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45841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45841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45841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45841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45841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45841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45841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45841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45841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45841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45841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45841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45841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45841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45841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45841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45841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45841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45841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45841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45841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45841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45841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45841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45841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45841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45841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45841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45841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45841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45841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45841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45841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45841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45841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45841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45841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45841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45841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45841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45841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45841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45841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45841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45841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45841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45841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45841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45841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45841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45841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45841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45841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45841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45841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45841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45841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45841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45841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45841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45841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45841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45841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45841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45841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45841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45841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45841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45841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45841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45841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45841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45841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45841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45841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45841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45841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45841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45841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45841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45841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45841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45841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45841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45841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45841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45841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45841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45841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45841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45841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45841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45841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45841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45841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45841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45841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45841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45841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45841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45841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45841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45841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45841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45841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45841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45841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45841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45841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45841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45841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45841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45841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45841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45841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45841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45841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45841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45841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45841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45841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45841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45841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45841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45841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45841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45841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45841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45841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45841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45841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45841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45841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45841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45841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45841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45841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45841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45841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45841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45841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45841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45841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45841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45841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45841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45841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45841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45841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45841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45841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45841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45841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45841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45841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45841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45841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45841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45841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45841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45841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45841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45841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45841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45841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45841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45841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45841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45841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45841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45841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45841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45841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45841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45841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45841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45841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45841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45841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45841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45841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45841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45841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45841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45841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45841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45841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45841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45841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45841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45841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45841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45841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45841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45841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45841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45841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45841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45841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45841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45841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45841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45841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45841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45841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45841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45841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45841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45841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45841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45841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45841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45841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45841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45841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45841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45841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45841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45841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45841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45841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45841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45841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45841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45841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45841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45841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45841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45841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45841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45841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45841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45841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45841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45841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45841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45841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45841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45841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45841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45841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45841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45841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45841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45841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45841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45841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45841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45841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45841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45841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45841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45841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45841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45841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45841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45841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45841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45841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45841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45841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45841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45841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45841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45841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45841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45841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45841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45841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45841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45841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45841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45841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45841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45841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45841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45841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45841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45841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45841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45841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45841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45841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45841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45841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45841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45841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45841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45841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45841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45841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45841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45841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45841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45841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45841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45841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45841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45841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45841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45841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45841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45841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45841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45841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45841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45841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45841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45841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45841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45841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45841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45841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45841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45841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45841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45841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45841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45841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45841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45841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45841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45841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45841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45841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45841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45841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45841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45841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45841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45841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45841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45841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45841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45841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45841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45841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45841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45841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45841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45841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45841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45841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45841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45841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45841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45841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45841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45841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45841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45841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45841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45841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45841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45841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45841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45841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45841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45841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45841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45841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45841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45841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45841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45841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45841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45841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45841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45841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45841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45841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45841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45841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45841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45841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45841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45841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45841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45841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45841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45841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45841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45841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45841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45841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45841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45841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45841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45841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45841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45841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45841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45841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45841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45841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45841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45841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45841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45841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45841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45841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45841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45841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45841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45841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45841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45841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45841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45841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45841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45841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45841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45841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45841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45841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45841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45841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45841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45841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45841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45841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45841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45841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45841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45841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45841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45841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45841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45841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45841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45841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45841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45841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45841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45841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45841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45841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45841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45841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45841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45841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45841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45841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45841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45841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45841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45841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45841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45841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45841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45841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45841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45841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45841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45841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45841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45841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45841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45841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45841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45841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45841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45841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45841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45841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45841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45841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45841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45841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45841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27344-2025</t>
        </is>
      </c>
      <c r="B2478" s="1" t="n">
        <v>45812</v>
      </c>
      <c r="C2478" s="1" t="n">
        <v>45841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27160-2025</t>
        </is>
      </c>
      <c r="B2479" s="1" t="n">
        <v>45812</v>
      </c>
      <c r="C2479" s="1" t="n">
        <v>45841</v>
      </c>
      <c r="D2479" t="inlineStr">
        <is>
          <t>VÄRMLANDS LÄN</t>
        </is>
      </c>
      <c r="E2479" t="inlineStr">
        <is>
          <t>ARVIKA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27707-2025</t>
        </is>
      </c>
      <c r="B2480" s="1" t="n">
        <v>45813</v>
      </c>
      <c r="C2480" s="1" t="n">
        <v>45841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27712-2025</t>
        </is>
      </c>
      <c r="B2481" s="1" t="n">
        <v>45813</v>
      </c>
      <c r="C2481" s="1" t="n">
        <v>45841</v>
      </c>
      <c r="D2481" t="inlineStr">
        <is>
          <t>VÄRMLANDS LÄN</t>
        </is>
      </c>
      <c r="E2481" t="inlineStr">
        <is>
          <t>ARVIKA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27708-2025</t>
        </is>
      </c>
      <c r="B2482" s="1" t="n">
        <v>45813</v>
      </c>
      <c r="C2482" s="1" t="n">
        <v>45841</v>
      </c>
      <c r="D2482" t="inlineStr">
        <is>
          <t>VÄRMLANDS LÄN</t>
        </is>
      </c>
      <c r="E2482" t="inlineStr">
        <is>
          <t>ARVIKA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27472-2025</t>
        </is>
      </c>
      <c r="B2483" s="1" t="n">
        <v>45813</v>
      </c>
      <c r="C2483" s="1" t="n">
        <v>45841</v>
      </c>
      <c r="D2483" t="inlineStr">
        <is>
          <t>VÄRMLANDS LÄN</t>
        </is>
      </c>
      <c r="E2483" t="inlineStr">
        <is>
          <t>ARVIKA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27709-2025</t>
        </is>
      </c>
      <c r="B2484" s="1" t="n">
        <v>45813</v>
      </c>
      <c r="C2484" s="1" t="n">
        <v>45841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45841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45841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45841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45841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45841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45841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45841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45841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45841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45841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45841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45841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45841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45841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45841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29156-2025</t>
        </is>
      </c>
      <c r="B2500" s="1" t="n">
        <v>45821</v>
      </c>
      <c r="C2500" s="1" t="n">
        <v>45841</v>
      </c>
      <c r="D2500" t="inlineStr">
        <is>
          <t>VÄRMLANDS LÄN</t>
        </is>
      </c>
      <c r="E2500" t="inlineStr">
        <is>
          <t>ARVIKA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45841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45841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45841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45841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29610-2025</t>
        </is>
      </c>
      <c r="B2505" s="1" t="n">
        <v>45825</v>
      </c>
      <c r="C2505" s="1" t="n">
        <v>45841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45841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45841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45841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30116-2025</t>
        </is>
      </c>
      <c r="B2509" s="1" t="n">
        <v>45826</v>
      </c>
      <c r="C2509" s="1" t="n">
        <v>45841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45841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45841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30581-2025</t>
        </is>
      </c>
      <c r="B2512" s="1" t="n">
        <v>45831</v>
      </c>
      <c r="C2512" s="1" t="n">
        <v>45841</v>
      </c>
      <c r="D2512" t="inlineStr">
        <is>
          <t>VÄRMLANDS LÄN</t>
        </is>
      </c>
      <c r="E2512" t="inlineStr">
        <is>
          <t>ARVIKA</t>
        </is>
      </c>
      <c r="F2512" t="inlineStr">
        <is>
          <t>Bergvik skog väst AB</t>
        </is>
      </c>
      <c r="G2512" t="n">
        <v>22.5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30787-2025</t>
        </is>
      </c>
      <c r="B2513" s="1" t="n">
        <v>45831</v>
      </c>
      <c r="C2513" s="1" t="n">
        <v>45841</v>
      </c>
      <c r="D2513" t="inlineStr">
        <is>
          <t>VÄRMLANDS LÄN</t>
        </is>
      </c>
      <c r="E2513" t="inlineStr">
        <is>
          <t>ARVIKA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30777-2025</t>
        </is>
      </c>
      <c r="B2514" s="1" t="n">
        <v>45831</v>
      </c>
      <c r="C2514" s="1" t="n">
        <v>45841</v>
      </c>
      <c r="D2514" t="inlineStr">
        <is>
          <t>VÄRMLANDS LÄN</t>
        </is>
      </c>
      <c r="E2514" t="inlineStr">
        <is>
          <t>ARVIKA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30782-2025</t>
        </is>
      </c>
      <c r="B2515" s="1" t="n">
        <v>45831</v>
      </c>
      <c r="C2515" s="1" t="n">
        <v>45841</v>
      </c>
      <c r="D2515" t="inlineStr">
        <is>
          <t>VÄRMLANDS LÄN</t>
        </is>
      </c>
      <c r="E2515" t="inlineStr">
        <is>
          <t>ARVIKA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30793-2025</t>
        </is>
      </c>
      <c r="B2516" s="1" t="n">
        <v>45831</v>
      </c>
      <c r="C2516" s="1" t="n">
        <v>45841</v>
      </c>
      <c r="D2516" t="inlineStr">
        <is>
          <t>VÄRMLANDS LÄN</t>
        </is>
      </c>
      <c r="E2516" t="inlineStr">
        <is>
          <t>ARVIKA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31372-2025</t>
        </is>
      </c>
      <c r="B2517" s="1" t="n">
        <v>45833</v>
      </c>
      <c r="C2517" s="1" t="n">
        <v>45841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31331-2025</t>
        </is>
      </c>
      <c r="B2518" s="1" t="n">
        <v>45833</v>
      </c>
      <c r="C2518" s="1" t="n">
        <v>45841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31469-2025</t>
        </is>
      </c>
      <c r="B2519" s="1" t="n">
        <v>45833</v>
      </c>
      <c r="C2519" s="1" t="n">
        <v>45841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31401-2025</t>
        </is>
      </c>
      <c r="B2520" s="1" t="n">
        <v>45833</v>
      </c>
      <c r="C2520" s="1" t="n">
        <v>45841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31406-2025</t>
        </is>
      </c>
      <c r="B2521" s="1" t="n">
        <v>45833</v>
      </c>
      <c r="C2521" s="1" t="n">
        <v>45841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31415-2025</t>
        </is>
      </c>
      <c r="B2522" s="1" t="n">
        <v>45833</v>
      </c>
      <c r="C2522" s="1" t="n">
        <v>45841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7.6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31442-2025</t>
        </is>
      </c>
      <c r="B2523" s="1" t="n">
        <v>45833</v>
      </c>
      <c r="C2523" s="1" t="n">
        <v>45841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5.9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31443-2025</t>
        </is>
      </c>
      <c r="B2524" s="1" t="n">
        <v>45833</v>
      </c>
      <c r="C2524" s="1" t="n">
        <v>45841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31478-2025</t>
        </is>
      </c>
      <c r="B2525" s="1" t="n">
        <v>45833</v>
      </c>
      <c r="C2525" s="1" t="n">
        <v>45841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31413-2025</t>
        </is>
      </c>
      <c r="B2526" s="1" t="n">
        <v>45833</v>
      </c>
      <c r="C2526" s="1" t="n">
        <v>45841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45841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45841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45841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45841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31673-2025</t>
        </is>
      </c>
      <c r="B2531" s="1" t="n">
        <v>45834</v>
      </c>
      <c r="C2531" s="1" t="n">
        <v>45841</v>
      </c>
      <c r="D2531" t="inlineStr">
        <is>
          <t>VÄRMLANDS LÄN</t>
        </is>
      </c>
      <c r="E2531" t="inlineStr">
        <is>
          <t>ARVIKA</t>
        </is>
      </c>
      <c r="G2531" t="n">
        <v>6.7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31689-2025</t>
        </is>
      </c>
      <c r="B2532" s="1" t="n">
        <v>45834</v>
      </c>
      <c r="C2532" s="1" t="n">
        <v>45841</v>
      </c>
      <c r="D2532" t="inlineStr">
        <is>
          <t>VÄRMLANDS LÄN</t>
        </is>
      </c>
      <c r="E2532" t="inlineStr">
        <is>
          <t>ARVIKA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32062-2025</t>
        </is>
      </c>
      <c r="B2533" s="1" t="n">
        <v>45835</v>
      </c>
      <c r="C2533" s="1" t="n">
        <v>45841</v>
      </c>
      <c r="D2533" t="inlineStr">
        <is>
          <t>VÄRMLANDS LÄN</t>
        </is>
      </c>
      <c r="E2533" t="inlineStr">
        <is>
          <t>ARVIKA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32159-2025</t>
        </is>
      </c>
      <c r="B2534" s="1" t="n">
        <v>45835</v>
      </c>
      <c r="C2534" s="1" t="n">
        <v>45841</v>
      </c>
      <c r="D2534" t="inlineStr">
        <is>
          <t>VÄRMLANDS LÄN</t>
        </is>
      </c>
      <c r="E2534" t="inlineStr">
        <is>
          <t>ARVIKA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32008-2025</t>
        </is>
      </c>
      <c r="B2535" s="1" t="n">
        <v>45835</v>
      </c>
      <c r="C2535" s="1" t="n">
        <v>45841</v>
      </c>
      <c r="D2535" t="inlineStr">
        <is>
          <t>VÄRMLANDS LÄN</t>
        </is>
      </c>
      <c r="E2535" t="inlineStr">
        <is>
          <t>ARVIKA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32079-2025</t>
        </is>
      </c>
      <c r="B2536" s="1" t="n">
        <v>45835</v>
      </c>
      <c r="C2536" s="1" t="n">
        <v>45841</v>
      </c>
      <c r="D2536" t="inlineStr">
        <is>
          <t>VÄRMLANDS LÄN</t>
        </is>
      </c>
      <c r="E2536" t="inlineStr">
        <is>
          <t>ARVIKA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31944-2025</t>
        </is>
      </c>
      <c r="B2537" s="1" t="n">
        <v>45835</v>
      </c>
      <c r="C2537" s="1" t="n">
        <v>45841</v>
      </c>
      <c r="D2537" t="inlineStr">
        <is>
          <t>VÄRMLANDS LÄN</t>
        </is>
      </c>
      <c r="E2537" t="inlineStr">
        <is>
          <t>ARVIKA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31992-2025</t>
        </is>
      </c>
      <c r="B2538" s="1" t="n">
        <v>45835</v>
      </c>
      <c r="C2538" s="1" t="n">
        <v>45841</v>
      </c>
      <c r="D2538" t="inlineStr">
        <is>
          <t>VÄRMLANDS LÄN</t>
        </is>
      </c>
      <c r="E2538" t="inlineStr">
        <is>
          <t>ARVIKA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32002-2025</t>
        </is>
      </c>
      <c r="B2539" s="1" t="n">
        <v>45835</v>
      </c>
      <c r="C2539" s="1" t="n">
        <v>45841</v>
      </c>
      <c r="D2539" t="inlineStr">
        <is>
          <t>VÄRMLANDS LÄN</t>
        </is>
      </c>
      <c r="E2539" t="inlineStr">
        <is>
          <t>ARVIKA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32046-2025</t>
        </is>
      </c>
      <c r="B2540" s="1" t="n">
        <v>45835</v>
      </c>
      <c r="C2540" s="1" t="n">
        <v>45841</v>
      </c>
      <c r="D2540" t="inlineStr">
        <is>
          <t>VÄRMLANDS LÄN</t>
        </is>
      </c>
      <c r="E2540" t="inlineStr">
        <is>
          <t>ARVIKA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31969-2025</t>
        </is>
      </c>
      <c r="B2541" s="1" t="n">
        <v>45835</v>
      </c>
      <c r="C2541" s="1" t="n">
        <v>45841</v>
      </c>
      <c r="D2541" t="inlineStr">
        <is>
          <t>VÄRMLANDS LÄN</t>
        </is>
      </c>
      <c r="E2541" t="inlineStr">
        <is>
          <t>ARVIKA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32138-2025</t>
        </is>
      </c>
      <c r="B2542" s="1" t="n">
        <v>45835</v>
      </c>
      <c r="C2542" s="1" t="n">
        <v>45841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32147-2025</t>
        </is>
      </c>
      <c r="B2543" s="1" t="n">
        <v>45835</v>
      </c>
      <c r="C2543" s="1" t="n">
        <v>45841</v>
      </c>
      <c r="D2543" t="inlineStr">
        <is>
          <t>VÄRMLANDS LÄN</t>
        </is>
      </c>
      <c r="E2543" t="inlineStr">
        <is>
          <t>ARVIKA</t>
        </is>
      </c>
      <c r="F2543" t="inlineStr">
        <is>
          <t>Bergvik skog väst AB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31952-2025</t>
        </is>
      </c>
      <c r="B2544" s="1" t="n">
        <v>45835</v>
      </c>
      <c r="C2544" s="1" t="n">
        <v>45841</v>
      </c>
      <c r="D2544" t="inlineStr">
        <is>
          <t>VÄRMLANDS LÄN</t>
        </is>
      </c>
      <c r="E2544" t="inlineStr">
        <is>
          <t>ARVIKA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32515-2025</t>
        </is>
      </c>
      <c r="B2545" s="1" t="n">
        <v>45838</v>
      </c>
      <c r="C2545" s="1" t="n">
        <v>45841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32453-2025</t>
        </is>
      </c>
      <c r="B2546" s="1" t="n">
        <v>45838</v>
      </c>
      <c r="C2546" s="1" t="n">
        <v>45841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32530-2025</t>
        </is>
      </c>
      <c r="B2547" s="1" t="n">
        <v>45838</v>
      </c>
      <c r="C2547" s="1" t="n">
        <v>45841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32568-2025</t>
        </is>
      </c>
      <c r="B2548" s="1" t="n">
        <v>45838</v>
      </c>
      <c r="C2548" s="1" t="n">
        <v>45841</v>
      </c>
      <c r="D2548" t="inlineStr">
        <is>
          <t>VÄRMLANDS LÄN</t>
        </is>
      </c>
      <c r="E2548" t="inlineStr">
        <is>
          <t>ARVIKA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>
      <c r="A2549" t="inlineStr">
        <is>
          <t>A 33031-2025</t>
        </is>
      </c>
      <c r="B2549" s="1" t="n">
        <v>45840</v>
      </c>
      <c r="C2549" s="1" t="n">
        <v>45841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2025-07-03T19:40:33Z</dcterms:created>
  <dcterms:modified xmlns:dcterms="http://purl.org/dc/terms/" xmlns:xsi="http://www.w3.org/2001/XMLSchema-instance" xsi:type="dcterms:W3CDTF">2025-07-03T19:40:35Z</dcterms:modified>
</cp:coreProperties>
</file>