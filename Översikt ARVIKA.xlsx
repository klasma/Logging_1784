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45691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45691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45691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45691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45691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45691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45691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45691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45691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45691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45691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45691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45691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45691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45691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45691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45691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45691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45691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45691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45691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45691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45691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45691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45691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45691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45691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45691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45691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45691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45691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45691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45691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45691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45691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45691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45691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45691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45691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45691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45691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45691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45691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45691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45691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45691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45691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45691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45691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45691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45691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45691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45691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45691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45691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45691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45691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45691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45691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45691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45691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45691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45691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45691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45691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45691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45691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45691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45691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45691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45691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45691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45691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45691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45691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45691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45691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45691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45691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45691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45691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45691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45691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45691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45691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45691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45691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45691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45691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45691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45691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45691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45691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45691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45691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45691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45691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45691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45691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45691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45691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45691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45691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45691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45691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45691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45691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45691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45691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45691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45691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45691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45691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45691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45691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45691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45691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45691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45691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45691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45691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45691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45691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45691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45691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45691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45691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45691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45691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45691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45691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45691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45691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45691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45691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45691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45691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45691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45691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45691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45691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45691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45691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45691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45691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45691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45691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45691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45691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45691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45691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45691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45691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45691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45691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45691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45691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45691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45691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45691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45691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45691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45691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45691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45691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45691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45691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45691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45691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45691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45691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45691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45691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45691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45691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45691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45691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45691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45691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45691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45691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45691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45691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45691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45691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45691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45691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45691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45691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45691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45691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45691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45691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45691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45691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45691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45691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45691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45691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45691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45691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45691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45691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45691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45691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45691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45691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45691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45691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45691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45691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45691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45691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45691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45691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45691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45691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45691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45691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45691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45691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45691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45691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45691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45691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45691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45691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45691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45691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45691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45691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45691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45691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45691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45691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45691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45691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45691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45691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45691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45691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45691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45691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45691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45691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45691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45691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45691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45691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45691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45691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45691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45691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45691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45691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45691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45691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45691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45691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45691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45691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45691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45691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45691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45691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45691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45691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45691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45691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45691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45691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45691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45691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45691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45691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45691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45691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45691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45691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45691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45691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45691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45691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45691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45691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45691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45691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45691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45691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45691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45691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45691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45691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45691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45691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45691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45691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45691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45691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45691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45691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45691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45691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45691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45691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45691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45691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45691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45691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45691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45691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45691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45691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45691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45691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45691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45691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45691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45691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45691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45691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45691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45691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45691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45691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45691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45691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45691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45691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45691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45691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45691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45691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45691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45691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45691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45691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45691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45691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45691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45691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45691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45691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45691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45691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45691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45691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45691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45691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45691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45691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45691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45691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45691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45691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45691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45691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45691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45691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45691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45691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45691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45691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45691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45691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45691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45691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45691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45691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45691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45691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45691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45691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45691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45691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45691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45691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45691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45691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45691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45691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45691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45691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45691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45691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45691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45691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45691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45691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45691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45691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45691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45691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45691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45691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45691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45691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45691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45691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45691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45691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45691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45691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45691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45691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45691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45691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45691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45691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45691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45691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45691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45691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45691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45691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45691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45691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45691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45691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45691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45691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45691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45691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45691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45691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45691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45691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45691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45691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45691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45691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45691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45691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45691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45691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45691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45691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45691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45691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45691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45691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45691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45691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45691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45691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45691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45691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45691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45691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45691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45691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45691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45691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45691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45691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45691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45691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45691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45691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45691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45691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45691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45691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45691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45691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45691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45691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45691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45691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45691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45691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45691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45691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45691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45691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45691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45691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45691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45691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45691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45691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45691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45691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45691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45691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45691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45691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45691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45691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45691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45691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45691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45691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45691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45691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45691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45691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45691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45691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45691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45691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45691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45691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45691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45691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45691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45691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45691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45691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45691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45691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45691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45691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45691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45691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45691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45691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45691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45691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45691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45691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45691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45691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45691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45691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45691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45691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45691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45691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45691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45691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45691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45691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45691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45691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45691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45691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45691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45691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45691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45691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45691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45691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45691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45691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45691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45691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45691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45691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45691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45691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45691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45691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45691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45691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45691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45691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45691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45691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45691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45691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45691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45691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45691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45691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45691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45691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45691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45691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45691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45691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45691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45691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45691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45691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45691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45691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45691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45691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45691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45691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45691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45691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45691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45691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45691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45691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45691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45691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45691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45691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45691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45691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45691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45691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45691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45691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45691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45691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45691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45691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45691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45691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45691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45691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45691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45691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45691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45691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45691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45691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45691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45691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45691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45691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45691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45691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45691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45691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45691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45691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45691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45691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45691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45691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45691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45691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45691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45691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45691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45691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45691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45691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45691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45691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45691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45691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45691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45691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45691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45691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45691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45691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45691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45691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45691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45691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45691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45691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45691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45691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45691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45691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45691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45691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45691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45691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45691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45691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45691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45691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45691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45691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45691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45691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45691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45691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45691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45691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45691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45691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45691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45691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45691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45691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45691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45691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45691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45691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45691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45691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45691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45691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45691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45691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45691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45691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45691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45691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45691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45691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45691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45691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45691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45691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45691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45691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45691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45691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45691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45691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45691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45691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45691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45691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45691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45691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45691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45691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45691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45691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45691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45691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45691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45691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45691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45691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45691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45691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45691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45691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45691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45691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45691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45691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45691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45691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45691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45691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45691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45691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45691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45691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45691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45691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45691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45691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45691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45691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45691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45691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45691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45691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45691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45691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45691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45691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45691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45691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45691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45691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45691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45691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45691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45691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45691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45691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45691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45691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45691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45691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45691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45691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45691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45691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45691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45691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45691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45691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45691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45691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45691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45691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45691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45691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45691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45691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45691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45691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45691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45691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45691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45691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45691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45691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45691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45691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45691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45691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45691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45691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45691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45691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45691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45691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45691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45691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45691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45691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45691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45691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45691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45691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45691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45691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45691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45691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45691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45691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45691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45691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45691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45691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45691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45691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45691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45691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45691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45691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45691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45691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45691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45691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45691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45691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45691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45691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45691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45691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45691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45691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45691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45691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45691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45691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45691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45691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45691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45691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45691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45691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45691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45691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45691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45691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45691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45691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45691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45691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45691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45691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45691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45691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45691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45691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45691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45691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45691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45691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45691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45691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45691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45691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45691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45691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45691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45691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45691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45691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45691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45691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45691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45691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45691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45691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45691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45691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45691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45691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45691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45691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45691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45691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45691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45691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45691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45691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45691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45691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45691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45691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45691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45691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45691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45691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45691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45691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45691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45691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45691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45691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45691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45691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45691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45691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45691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45691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45691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45691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45691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45691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45691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45691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45691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45691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45691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45691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45691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45691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45691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45691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45691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45691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45691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45691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45691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45691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45691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45691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45691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45691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45691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45691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45691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45691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45691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45691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45691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45691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45691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45691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45691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45691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45691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45691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45691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45691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45691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45691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45691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45691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45691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45691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45691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45691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45691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45691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45691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45691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45691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45691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45691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45691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45691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45691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45691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45691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45691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45691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45691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45691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45691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45691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45691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45691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45691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45691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45691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45691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45691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45691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45691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45691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45691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45691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45691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45691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45691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45691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45691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45691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45691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45691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45691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45691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45691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45691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45691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45691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45691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45691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45691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45691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45691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45691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45691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45691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45691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45691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45691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45691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45691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45691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45691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45691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45691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45691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45691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45691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45691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45691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45691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45691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45691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45691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45691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45691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45691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45691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45691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45691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45691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45691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45691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45691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45691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45691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45691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45691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45691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45691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45691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45691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45691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45691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45691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45691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45691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45691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45691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45691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45691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45691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45691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45691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45691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45691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45691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45691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45691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45691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45691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45691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45691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45691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45691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45691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45691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45691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45691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45691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45691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45691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45691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45691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45691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45691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45691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45691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45691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45691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45691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45691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45691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45691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45691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45691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45691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45691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45691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45691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45691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45691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45691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45691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45691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45691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45691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45691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45691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45691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45691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45691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45691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45691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45691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45691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45691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45691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45691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45691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45691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45691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45691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45691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45691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45691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45691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45691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45691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45691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45691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45691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45691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45691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45691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45691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45691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45691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45691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45691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45691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45691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45691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45691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45691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45691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45691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45691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45691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45691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45691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45691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45691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45691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45691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45691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45691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45691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45691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45691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45691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45691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45691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45691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45691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45691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45691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45691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45691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45691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45691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45691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45691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45691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45691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45691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45691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45691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45691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45691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45691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45691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45691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45691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45691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45691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45691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45691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45691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45691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45691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45691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45691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45691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45691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45691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45691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45691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45691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45691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45691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45691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45691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45691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45691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45691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45691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45691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45691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45691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45691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45691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45691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45691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45691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45691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45691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45691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45691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45691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45691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45691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45691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45691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45691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45691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45691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45691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45691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45691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45691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45691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45691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45691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45691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45691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45691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45691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45691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45691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45691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45691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45691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45691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45691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45691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45691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45691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45691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45691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45691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45691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45691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45691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45691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45691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45691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45691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45691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45691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45691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45691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45691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45691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45691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45691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45691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45691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45691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45691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45691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45691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45691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45691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45691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45691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45691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45691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45691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45691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45691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45691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45691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45691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45691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45691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45691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45691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45691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45691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45691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45691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45691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45691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45691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45691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45691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45691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45691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45691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45691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45691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45691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45691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45691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45691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45691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45691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45691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45691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45691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45691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45691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45691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45691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45691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45691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45691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45691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45691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45691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45691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45691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45691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45691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45691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45691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45691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45691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45691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45691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45691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45691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45691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45691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45691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45691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45691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45691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45691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45691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45691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45691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45691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45691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45691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45691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45691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45691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45691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45691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45691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45691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45691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45691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45691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45691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45691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45691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45691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45691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45691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45691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45691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45691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45691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45691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45691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45691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45691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45691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45691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45691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45691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45691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45691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45691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45691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45691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45691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45691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45691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45691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45691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45691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45691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45691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45691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45691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45691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45691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45691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45691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45691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45691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45691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45691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45691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45691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45691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45691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45691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45691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45691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45691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45691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45691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45691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45691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45691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45691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45691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45691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45691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45691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45691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45691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45691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45691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45691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45691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45691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45691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45691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45691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45691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45691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45691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45691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45691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45691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45691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45691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45691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45691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45691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45691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45691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45691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45691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45691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45691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45691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45691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45691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45691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45691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45691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45691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45691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45691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45691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45691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45691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45691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45691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45691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45691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45691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45691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45691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45691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45691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45691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45691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45691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45691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45691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45691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45691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45691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45691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45691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45691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45691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45691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45691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45691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45691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45691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45691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45691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45691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45691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45691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45691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45691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45691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45691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45691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45691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45691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45691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45691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45691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45691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45691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45691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45691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45691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45691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45691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45691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45691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45691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45691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45691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45691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45691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45691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45691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45691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45691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45691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45691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45691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45691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45691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45691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45691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45691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45691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45691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45691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45691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45691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45691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45691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45691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45691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45691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45691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45691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45691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45691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45691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45691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45691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45691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45691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45691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45691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45691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45691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45691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45691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45691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45691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45691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45691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45691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45691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45691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45691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45691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45691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45691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45691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45691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45691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45691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45691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45691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45691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45691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45691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45691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45691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45691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45691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45691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45691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45691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45691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45691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45691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45691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45691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45691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45691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45691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45691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45691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45691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45691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45691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45691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45691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45691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45691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45691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45691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45691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45691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45691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45691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45691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45691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45691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45691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45691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45691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45691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45691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45691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45691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45691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45691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45691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45691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45691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45691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45691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45691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45691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45691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45691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45691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45691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45691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45691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45691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45691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45691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45691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45691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45691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45691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45691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45691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45691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45691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45691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45691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45691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45691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45691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45691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45691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45691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45691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45691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45691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45691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45691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45691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45691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45691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45691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45691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45691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45691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45691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45691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45691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45691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45691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45691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45691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45691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45691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45691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45691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45691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45691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45691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45691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45691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45691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45691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45691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45691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45691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45691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45691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45691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45691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45691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45691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45691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45691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45691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45691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45691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45691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45691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45691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45691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45691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45691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45691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45691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45691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45691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45691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45691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45691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45691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45691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45691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45691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45691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45691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45691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45691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45691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45691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45691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45691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45691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45691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45691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45691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45691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45691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45691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45691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45691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45691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45691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45691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45691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45691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45691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45691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45691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45691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45691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45691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45691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45691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45691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45691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45691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45691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45691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45691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45691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45691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45691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45691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45691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45691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45691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45691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45691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45691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45691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45691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45691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45691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45691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45691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45691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45691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45691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45691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45691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45691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45691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45691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45691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45691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45691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45691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45691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45691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45691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45691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45691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45691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45691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45691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45691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45691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45691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45691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45691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45691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45691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45691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45691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45691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45691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45691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45691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45691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45691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45691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45691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45691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45691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45691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45691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45691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45691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45691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45691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45691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45691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45691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45691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45691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45691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45691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45691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45691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45691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45691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45691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45691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45691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45691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45691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45691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45691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45691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45691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45691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45691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45691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45691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45691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45691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45691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45691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45691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45691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45691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45691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45691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45691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45691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45691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45691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45691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45691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45691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45691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45691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45691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45691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45691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45691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45691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45691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45691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45691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45691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45691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45691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45691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45691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45691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45691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45691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45691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45691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45691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45691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45691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45691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45691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45691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45691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45691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45691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45691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45691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45691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45691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45691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45691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45691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45691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45691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45691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45691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45691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45691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45691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45691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45691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45691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45691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45691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45691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45691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45691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45691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45691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45691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45691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45691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45691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45691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45691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45691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45691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45691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45691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45691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45691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45691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45691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45691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45691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45691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45691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45691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45691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45691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45691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45691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45691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45691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45691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45691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45691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45691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45691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45691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45691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45691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45691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45691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45691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45691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45691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45691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45691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45691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45691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45691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45691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45691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45691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45691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45691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45691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45691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45691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45691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45691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45691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45691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45691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45691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45691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45691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45691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45691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45691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45691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45691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45691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45691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45691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45691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45691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45691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45691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45691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45691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45691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45691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45691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45691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45691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45691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45691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45691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45691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45691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45691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45691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45691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45691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45691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45691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45691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45691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45691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45691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45691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45691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45691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45691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45691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45691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45691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45691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45691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45691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45691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45691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45691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45691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45691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45691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45691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45691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45691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45691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45691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45691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45691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45691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45691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45691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45691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45691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45691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45691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45691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45691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45691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45691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45691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45691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45691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45691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45691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45691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45691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45691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45691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45691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45691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45691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45691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45691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45691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45691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45691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45691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45691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45691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45691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45691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45691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45691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45691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45691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45691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45691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45691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45691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45691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45691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45691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45691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45691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45691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45691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45691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45691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45691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45691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45691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45691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45691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45691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45691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45691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45691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45691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45691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45691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45691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45691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45691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45691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45691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45691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45691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45691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45691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45691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45691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45691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45691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45691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45691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45691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45691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45691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45691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45691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45691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45691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45691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45691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45691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45691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45691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45691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45691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45691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45691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45691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45691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45691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45691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45691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45691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45691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45691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45691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45691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45691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45691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45691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45691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45691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45691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45691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45691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45691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45691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45691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45691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45691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45691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45691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45691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45691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45691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45691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45691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45691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45691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45691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45691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45691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45691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45691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45691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45691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45691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45691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45691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45691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45691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45691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45691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45691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45691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45691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45691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45691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45691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45691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45691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45691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45691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45691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45691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45691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45691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45691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45691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45691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45691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45691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45691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45691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45691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45691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45691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45691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45691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45691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45691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45691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45691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45691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45691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45691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45691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45691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45691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45691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45691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45691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45691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45691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45691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45691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45691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45691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45691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45691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45691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45691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925-2025</t>
        </is>
      </c>
      <c r="B2198" s="1" t="n">
        <v>45665</v>
      </c>
      <c r="C2198" s="1" t="n">
        <v>45691</v>
      </c>
      <c r="D2198" t="inlineStr">
        <is>
          <t>VÄRMLANDS LÄN</t>
        </is>
      </c>
      <c r="E2198" t="inlineStr">
        <is>
          <t>ARVIKA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929-2025</t>
        </is>
      </c>
      <c r="B2199" s="1" t="n">
        <v>45665</v>
      </c>
      <c r="C2199" s="1" t="n">
        <v>45691</v>
      </c>
      <c r="D2199" t="inlineStr">
        <is>
          <t>VÄRMLANDS LÄN</t>
        </is>
      </c>
      <c r="E2199" t="inlineStr">
        <is>
          <t>ARVIKA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1110-2025</t>
        </is>
      </c>
      <c r="B2200" s="1" t="n">
        <v>45665</v>
      </c>
      <c r="C2200" s="1" t="n">
        <v>45691</v>
      </c>
      <c r="D2200" t="inlineStr">
        <is>
          <t>VÄRMLANDS LÄN</t>
        </is>
      </c>
      <c r="E2200" t="inlineStr">
        <is>
          <t>ARVIKA</t>
        </is>
      </c>
      <c r="G2200" t="n">
        <v>11.4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45691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45691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45691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45691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45667</v>
      </c>
      <c r="C2205" s="1" t="n">
        <v>45691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45691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45691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1630-2025</t>
        </is>
      </c>
      <c r="B2208" s="1" t="n">
        <v>45670</v>
      </c>
      <c r="C2208" s="1" t="n">
        <v>45691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45691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45691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2186-2025</t>
        </is>
      </c>
      <c r="B2211" s="1" t="n">
        <v>45673</v>
      </c>
      <c r="C2211" s="1" t="n">
        <v>45691</v>
      </c>
      <c r="D2211" t="inlineStr">
        <is>
          <t>VÄRMLANDS LÄN</t>
        </is>
      </c>
      <c r="E2211" t="inlineStr">
        <is>
          <t>ARVIKA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2320-2025</t>
        </is>
      </c>
      <c r="B2212" s="1" t="n">
        <v>45673</v>
      </c>
      <c r="C2212" s="1" t="n">
        <v>45691</v>
      </c>
      <c r="D2212" t="inlineStr">
        <is>
          <t>VÄRMLANDS LÄN</t>
        </is>
      </c>
      <c r="E2212" t="inlineStr">
        <is>
          <t>ARVIKA</t>
        </is>
      </c>
      <c r="G2212" t="n">
        <v>6.7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2315-2025</t>
        </is>
      </c>
      <c r="B2213" s="1" t="n">
        <v>45673</v>
      </c>
      <c r="C2213" s="1" t="n">
        <v>45691</v>
      </c>
      <c r="D2213" t="inlineStr">
        <is>
          <t>VÄRMLANDS LÄN</t>
        </is>
      </c>
      <c r="E2213" t="inlineStr">
        <is>
          <t>ARVIKA</t>
        </is>
      </c>
      <c r="G2213" t="n">
        <v>15.4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  <c r="U2213">
        <f>HYPERLINK("https://klasma.github.io/Logging_1784/knärot/A 2315-2025 karta knärot.png", "A 2315-2025")</f>
        <v/>
      </c>
      <c r="V2213">
        <f>HYPERLINK("https://klasma.github.io/Logging_1784/klagomål/A 2315-2025 FSC-klagomål.docx", "A 2315-2025")</f>
        <v/>
      </c>
      <c r="W2213">
        <f>HYPERLINK("https://klasma.github.io/Logging_1784/klagomålsmail/A 2315-2025 FSC-klagomål mail.docx", "A 2315-2025")</f>
        <v/>
      </c>
      <c r="X2213">
        <f>HYPERLINK("https://klasma.github.io/Logging_1784/tillsyn/A 2315-2025 tillsynsbegäran.docx", "A 2315-2025")</f>
        <v/>
      </c>
      <c r="Y2213">
        <f>HYPERLINK("https://klasma.github.io/Logging_1784/tillsynsmail/A 2315-2025 tillsynsbegäran mail.docx", "A 2315-2025")</f>
        <v/>
      </c>
    </row>
    <row r="2214" ht="15" customHeight="1">
      <c r="A2214" t="inlineStr">
        <is>
          <t>A 2356-2025</t>
        </is>
      </c>
      <c r="B2214" s="1" t="n">
        <v>45673</v>
      </c>
      <c r="C2214" s="1" t="n">
        <v>45691</v>
      </c>
      <c r="D2214" t="inlineStr">
        <is>
          <t>VÄRMLANDS LÄN</t>
        </is>
      </c>
      <c r="E2214" t="inlineStr">
        <is>
          <t>ARVIKA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2322-2025</t>
        </is>
      </c>
      <c r="B2215" s="1" t="n">
        <v>45673</v>
      </c>
      <c r="C2215" s="1" t="n">
        <v>45691</v>
      </c>
      <c r="D2215" t="inlineStr">
        <is>
          <t>VÄRMLANDS LÄN</t>
        </is>
      </c>
      <c r="E2215" t="inlineStr">
        <is>
          <t>ARVIKA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45691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2600-2025</t>
        </is>
      </c>
      <c r="B2217" s="1" t="n">
        <v>45674</v>
      </c>
      <c r="C2217" s="1" t="n">
        <v>45691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2605-2025</t>
        </is>
      </c>
      <c r="B2218" s="1" t="n">
        <v>45674</v>
      </c>
      <c r="C2218" s="1" t="n">
        <v>45691</v>
      </c>
      <c r="D2218" t="inlineStr">
        <is>
          <t>VÄRMLANDS LÄN</t>
        </is>
      </c>
      <c r="E2218" t="inlineStr">
        <is>
          <t>ARVIKA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2599-2025</t>
        </is>
      </c>
      <c r="B2219" s="1" t="n">
        <v>45674</v>
      </c>
      <c r="C2219" s="1" t="n">
        <v>45691</v>
      </c>
      <c r="D2219" t="inlineStr">
        <is>
          <t>VÄRMLANDS LÄN</t>
        </is>
      </c>
      <c r="E2219" t="inlineStr">
        <is>
          <t>ARVIKA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2702-2025</t>
        </is>
      </c>
      <c r="B2220" s="1" t="n">
        <v>45677</v>
      </c>
      <c r="C2220" s="1" t="n">
        <v>45691</v>
      </c>
      <c r="D2220" t="inlineStr">
        <is>
          <t>VÄRMLANDS LÄN</t>
        </is>
      </c>
      <c r="E2220" t="inlineStr">
        <is>
          <t>ARVIKA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2703-2025</t>
        </is>
      </c>
      <c r="B2221" s="1" t="n">
        <v>45677</v>
      </c>
      <c r="C2221" s="1" t="n">
        <v>45691</v>
      </c>
      <c r="D2221" t="inlineStr">
        <is>
          <t>VÄRMLANDS LÄN</t>
        </is>
      </c>
      <c r="E2221" t="inlineStr">
        <is>
          <t>ARVIKA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45691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3408-2025</t>
        </is>
      </c>
      <c r="B2223" s="1" t="n">
        <v>45680</v>
      </c>
      <c r="C2223" s="1" t="n">
        <v>45691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3588-2025</t>
        </is>
      </c>
      <c r="B2224" s="1" t="n">
        <v>45680</v>
      </c>
      <c r="C2224" s="1" t="n">
        <v>45691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3590-2025</t>
        </is>
      </c>
      <c r="B2225" s="1" t="n">
        <v>45680</v>
      </c>
      <c r="C2225" s="1" t="n">
        <v>45691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3610-2025</t>
        </is>
      </c>
      <c r="B2226" s="1" t="n">
        <v>45681</v>
      </c>
      <c r="C2226" s="1" t="n">
        <v>45691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3613-2025</t>
        </is>
      </c>
      <c r="B2227" s="1" t="n">
        <v>45681</v>
      </c>
      <c r="C2227" s="1" t="n">
        <v>45691</v>
      </c>
      <c r="D2227" t="inlineStr">
        <is>
          <t>VÄRMLANDS LÄN</t>
        </is>
      </c>
      <c r="E2227" t="inlineStr">
        <is>
          <t>ARVIKA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3671-2025</t>
        </is>
      </c>
      <c r="B2228" s="1" t="n">
        <v>45681</v>
      </c>
      <c r="C2228" s="1" t="n">
        <v>45691</v>
      </c>
      <c r="D2228" t="inlineStr">
        <is>
          <t>VÄRMLANDS LÄN</t>
        </is>
      </c>
      <c r="E2228" t="inlineStr">
        <is>
          <t>ARVIKA</t>
        </is>
      </c>
      <c r="F2228" t="inlineStr">
        <is>
          <t>Bergvik skog väst AB</t>
        </is>
      </c>
      <c r="G2228" t="n">
        <v>13.4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45691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45691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4211-2025</t>
        </is>
      </c>
      <c r="B2231" s="1" t="n">
        <v>45685</v>
      </c>
      <c r="C2231" s="1" t="n">
        <v>45691</v>
      </c>
      <c r="D2231" t="inlineStr">
        <is>
          <t>VÄRMLANDS LÄN</t>
        </is>
      </c>
      <c r="E2231" t="inlineStr">
        <is>
          <t>ARVIKA</t>
        </is>
      </c>
      <c r="G2231" t="n">
        <v>11.1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4214-2025</t>
        </is>
      </c>
      <c r="B2232" s="1" t="n">
        <v>45685</v>
      </c>
      <c r="C2232" s="1" t="n">
        <v>45691</v>
      </c>
      <c r="D2232" t="inlineStr">
        <is>
          <t>VÄRMLANDS LÄN</t>
        </is>
      </c>
      <c r="E2232" t="inlineStr">
        <is>
          <t>ARVIKA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4238-2025</t>
        </is>
      </c>
      <c r="B2233" s="1" t="n">
        <v>45685</v>
      </c>
      <c r="C2233" s="1" t="n">
        <v>45691</v>
      </c>
      <c r="D2233" t="inlineStr">
        <is>
          <t>VÄRMLANDS LÄN</t>
        </is>
      </c>
      <c r="E2233" t="inlineStr">
        <is>
          <t>ARVIKA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4506-2025</t>
        </is>
      </c>
      <c r="B2234" s="1" t="n">
        <v>45686</v>
      </c>
      <c r="C2234" s="1" t="n">
        <v>45691</v>
      </c>
      <c r="D2234" t="inlineStr">
        <is>
          <t>VÄRMLANDS LÄN</t>
        </is>
      </c>
      <c r="E2234" t="inlineStr">
        <is>
          <t>ARVIKA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4592-2025</t>
        </is>
      </c>
      <c r="B2235" s="1" t="n">
        <v>45687</v>
      </c>
      <c r="C2235" s="1" t="n">
        <v>45691</v>
      </c>
      <c r="D2235" t="inlineStr">
        <is>
          <t>VÄRMLANDS LÄN</t>
        </is>
      </c>
      <c r="E2235" t="inlineStr">
        <is>
          <t>ARVIKA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4736-2025</t>
        </is>
      </c>
      <c r="B2236" s="1" t="n">
        <v>45688</v>
      </c>
      <c r="C2236" s="1" t="n">
        <v>45691</v>
      </c>
      <c r="D2236" t="inlineStr">
        <is>
          <t>VÄRMLANDS LÄN</t>
        </is>
      </c>
      <c r="E2236" t="inlineStr">
        <is>
          <t>ARVIKA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>
      <c r="A2237" t="inlineStr">
        <is>
          <t>A 4706-2025</t>
        </is>
      </c>
      <c r="B2237" s="1" t="n">
        <v>45688</v>
      </c>
      <c r="C2237" s="1" t="n">
        <v>45691</v>
      </c>
      <c r="D2237" t="inlineStr">
        <is>
          <t>VÄRMLANDS LÄN</t>
        </is>
      </c>
      <c r="E2237" t="inlineStr">
        <is>
          <t>ARVIKA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2025-02-03T16:51:56Z</dcterms:created>
  <dcterms:modified xmlns:dcterms="http://purl.org/dc/terms/" xmlns:xsi="http://www.w3.org/2001/XMLSchema-instance" xsi:type="dcterms:W3CDTF">2025-02-03T16:51:58Z</dcterms:modified>
</cp:coreProperties>
</file>