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475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53871-2025</t>
        </is>
      </c>
      <c r="B2" s="1" t="n">
        <v>45961</v>
      </c>
      <c r="C2" s="1" t="n">
        <v>46012</v>
      </c>
      <c r="D2" t="inlineStr">
        <is>
          <t>VÄRMLANDS LÄN</t>
        </is>
      </c>
      <c r="E2" t="inlineStr">
        <is>
          <t>ARVIKA</t>
        </is>
      </c>
      <c r="G2" t="n">
        <v>23.4</v>
      </c>
      <c r="H2" t="n">
        <v>6</v>
      </c>
      <c r="I2" t="n">
        <v>8</v>
      </c>
      <c r="J2" t="n">
        <v>7</v>
      </c>
      <c r="K2" t="n">
        <v>1</v>
      </c>
      <c r="L2" t="n">
        <v>0</v>
      </c>
      <c r="M2" t="n">
        <v>0</v>
      </c>
      <c r="N2" t="n">
        <v>0</v>
      </c>
      <c r="O2" t="n">
        <v>8</v>
      </c>
      <c r="P2" t="n">
        <v>1</v>
      </c>
      <c r="Q2" t="n">
        <v>17</v>
      </c>
      <c r="R2" s="2" t="inlineStr">
        <is>
          <t>Knärot
Brunpudrad nållav
Mindre hackspett
Spillkråka
Talltita
Tretåig hackspett
Ullticka
Vedtrappmossa
Blomkålssvamp
Dropptaggsvamp
Gullgröppa
Gulnål
Kornknutmossa
Mindre märgborre
Vedticka
Västlig hakmossa
Tjäder</t>
        </is>
      </c>
      <c r="S2">
        <f>HYPERLINK("https://klasma.github.io/Logging_1784/artfynd/A 53871-2025 artfynd.xlsx", "A 53871-2025")</f>
        <v/>
      </c>
      <c r="T2">
        <f>HYPERLINK("https://klasma.github.io/Logging_1784/kartor/A 53871-2025 karta.png", "A 53871-2025")</f>
        <v/>
      </c>
      <c r="U2">
        <f>HYPERLINK("https://klasma.github.io/Logging_1784/knärot/A 53871-2025 karta knärot.png", "A 53871-2025")</f>
        <v/>
      </c>
      <c r="V2">
        <f>HYPERLINK("https://klasma.github.io/Logging_1784/klagomål/A 53871-2025 FSC-klagomål.docx", "A 53871-2025")</f>
        <v/>
      </c>
      <c r="W2">
        <f>HYPERLINK("https://klasma.github.io/Logging_1784/klagomålsmail/A 53871-2025 FSC-klagomål mail.docx", "A 53871-2025")</f>
        <v/>
      </c>
      <c r="X2">
        <f>HYPERLINK("https://klasma.github.io/Logging_1784/tillsyn/A 53871-2025 tillsynsbegäran.docx", "A 53871-2025")</f>
        <v/>
      </c>
      <c r="Y2">
        <f>HYPERLINK("https://klasma.github.io/Logging_1784/tillsynsmail/A 53871-2025 tillsynsbegäran mail.docx", "A 53871-2025")</f>
        <v/>
      </c>
      <c r="Z2">
        <f>HYPERLINK("https://klasma.github.io/Logging_1784/fåglar/A 53871-2025 prioriterade fågelarter.docx", "A 53871-2025")</f>
        <v/>
      </c>
    </row>
    <row r="3" ht="15" customHeight="1">
      <c r="A3" t="inlineStr">
        <is>
          <t>A 34970-2025</t>
        </is>
      </c>
      <c r="B3" s="1" t="n">
        <v>45849</v>
      </c>
      <c r="C3" s="1" t="n">
        <v>46012</v>
      </c>
      <c r="D3" t="inlineStr">
        <is>
          <t>VÄRMLANDS LÄN</t>
        </is>
      </c>
      <c r="E3" t="inlineStr">
        <is>
          <t>ARVIKA</t>
        </is>
      </c>
      <c r="G3" t="n">
        <v>14.6</v>
      </c>
      <c r="H3" t="n">
        <v>3</v>
      </c>
      <c r="I3" t="n">
        <v>9</v>
      </c>
      <c r="J3" t="n">
        <v>3</v>
      </c>
      <c r="K3" t="n">
        <v>0</v>
      </c>
      <c r="L3" t="n">
        <v>0</v>
      </c>
      <c r="M3" t="n">
        <v>0</v>
      </c>
      <c r="N3" t="n">
        <v>0</v>
      </c>
      <c r="O3" t="n">
        <v>3</v>
      </c>
      <c r="P3" t="n">
        <v>0</v>
      </c>
      <c r="Q3" t="n">
        <v>14</v>
      </c>
      <c r="R3" s="2" t="inlineStr">
        <is>
          <t>Garnlav
Motaggsvamp
Spillkråka
Björksplintborre
Bårdlav
Dolkstekelsglasvinge
Dropptaggsvamp
Kamjordstjärna
Slanklav
Thomsons trägnagare
Vedticka
Vågbandad barkbock
Orre
Blåsippa</t>
        </is>
      </c>
      <c r="S3">
        <f>HYPERLINK("https://klasma.github.io/Logging_1784/artfynd/A 34970-2025 artfynd.xlsx", "A 34970-2025")</f>
        <v/>
      </c>
      <c r="T3">
        <f>HYPERLINK("https://klasma.github.io/Logging_1784/kartor/A 34970-2025 karta.png", "A 34970-2025")</f>
        <v/>
      </c>
      <c r="V3">
        <f>HYPERLINK("https://klasma.github.io/Logging_1784/klagomål/A 34970-2025 FSC-klagomål.docx", "A 34970-2025")</f>
        <v/>
      </c>
      <c r="W3">
        <f>HYPERLINK("https://klasma.github.io/Logging_1784/klagomålsmail/A 34970-2025 FSC-klagomål mail.docx", "A 34970-2025")</f>
        <v/>
      </c>
      <c r="X3">
        <f>HYPERLINK("https://klasma.github.io/Logging_1784/tillsyn/A 34970-2025 tillsynsbegäran.docx", "A 34970-2025")</f>
        <v/>
      </c>
      <c r="Y3">
        <f>HYPERLINK("https://klasma.github.io/Logging_1784/tillsynsmail/A 34970-2025 tillsynsbegäran mail.docx", "A 34970-2025")</f>
        <v/>
      </c>
      <c r="Z3">
        <f>HYPERLINK("https://klasma.github.io/Logging_1784/fåglar/A 34970-2025 prioriterade fågelarter.docx", "A 34970-2025")</f>
        <v/>
      </c>
    </row>
    <row r="4" ht="15" customHeight="1">
      <c r="A4" t="inlineStr">
        <is>
          <t>A 59725-2025</t>
        </is>
      </c>
      <c r="B4" s="1" t="n">
        <v>45992</v>
      </c>
      <c r="C4" s="1" t="n">
        <v>46012</v>
      </c>
      <c r="D4" t="inlineStr">
        <is>
          <t>VÄRMLANDS LÄN</t>
        </is>
      </c>
      <c r="E4" t="inlineStr">
        <is>
          <t>ARVIKA</t>
        </is>
      </c>
      <c r="G4" t="n">
        <v>12.5</v>
      </c>
      <c r="H4" t="n">
        <v>3</v>
      </c>
      <c r="I4" t="n">
        <v>9</v>
      </c>
      <c r="J4" t="n">
        <v>3</v>
      </c>
      <c r="K4" t="n">
        <v>0</v>
      </c>
      <c r="L4" t="n">
        <v>0</v>
      </c>
      <c r="M4" t="n">
        <v>0</v>
      </c>
      <c r="N4" t="n">
        <v>0</v>
      </c>
      <c r="O4" t="n">
        <v>3</v>
      </c>
      <c r="P4" t="n">
        <v>0</v>
      </c>
      <c r="Q4" t="n">
        <v>14</v>
      </c>
      <c r="R4" s="2" t="inlineStr">
        <is>
          <t>Garnlav
Motaggsvamp
Spillkråka
Björksplintborre
Bårdlav
Dolkstekelsglasvinge
Dropptaggsvamp
Kamjordstjärna
Slanklav
Thomsons trägnagare
Vedticka
Vågbandad barkbock
Orre
Blåsippa</t>
        </is>
      </c>
      <c r="S4">
        <f>HYPERLINK("https://klasma.github.io/Logging_1784/artfynd/A 59725-2025 artfynd.xlsx", "A 59725-2025")</f>
        <v/>
      </c>
      <c r="T4">
        <f>HYPERLINK("https://klasma.github.io/Logging_1784/kartor/A 59725-2025 karta.png", "A 59725-2025")</f>
        <v/>
      </c>
      <c r="V4">
        <f>HYPERLINK("https://klasma.github.io/Logging_1784/klagomål/A 59725-2025 FSC-klagomål.docx", "A 59725-2025")</f>
        <v/>
      </c>
      <c r="W4">
        <f>HYPERLINK("https://klasma.github.io/Logging_1784/klagomålsmail/A 59725-2025 FSC-klagomål mail.docx", "A 59725-2025")</f>
        <v/>
      </c>
      <c r="X4">
        <f>HYPERLINK("https://klasma.github.io/Logging_1784/tillsyn/A 59725-2025 tillsynsbegäran.docx", "A 59725-2025")</f>
        <v/>
      </c>
      <c r="Y4">
        <f>HYPERLINK("https://klasma.github.io/Logging_1784/tillsynsmail/A 59725-2025 tillsynsbegäran mail.docx", "A 59725-2025")</f>
        <v/>
      </c>
      <c r="Z4">
        <f>HYPERLINK("https://klasma.github.io/Logging_1784/fåglar/A 59725-2025 prioriterade fågelarter.docx", "A 59725-2025")</f>
        <v/>
      </c>
    </row>
    <row r="5" ht="15" customHeight="1">
      <c r="A5" t="inlineStr">
        <is>
          <t>A 34188-2024</t>
        </is>
      </c>
      <c r="B5" s="1" t="n">
        <v>45524</v>
      </c>
      <c r="C5" s="1" t="n">
        <v>46012</v>
      </c>
      <c r="D5" t="inlineStr">
        <is>
          <t>VÄRMLANDS LÄN</t>
        </is>
      </c>
      <c r="E5" t="inlineStr">
        <is>
          <t>ARVIKA</t>
        </is>
      </c>
      <c r="G5" t="n">
        <v>7.5</v>
      </c>
      <c r="H5" t="n">
        <v>5</v>
      </c>
      <c r="I5" t="n">
        <v>5</v>
      </c>
      <c r="J5" t="n">
        <v>4</v>
      </c>
      <c r="K5" t="n">
        <v>1</v>
      </c>
      <c r="L5" t="n">
        <v>0</v>
      </c>
      <c r="M5" t="n">
        <v>0</v>
      </c>
      <c r="N5" t="n">
        <v>0</v>
      </c>
      <c r="O5" t="n">
        <v>5</v>
      </c>
      <c r="P5" t="n">
        <v>1</v>
      </c>
      <c r="Q5" t="n">
        <v>11</v>
      </c>
      <c r="R5" s="2" t="inlineStr">
        <is>
          <t>Rynkskinn
Spillkråka
Talltita
Tretåig hackspett
Violettgrå tagellav
Grön sköldmossa
Kattfotslav
Stenporella
Stor revmossa
Stubbspretmossa
Kungsfågel</t>
        </is>
      </c>
      <c r="S5">
        <f>HYPERLINK("https://klasma.github.io/Logging_1784/artfynd/A 34188-2024 artfynd.xlsx", "A 34188-2024")</f>
        <v/>
      </c>
      <c r="T5">
        <f>HYPERLINK("https://klasma.github.io/Logging_1784/kartor/A 34188-2024 karta.png", "A 34188-2024")</f>
        <v/>
      </c>
      <c r="V5">
        <f>HYPERLINK("https://klasma.github.io/Logging_1784/klagomål/A 34188-2024 FSC-klagomål.docx", "A 34188-2024")</f>
        <v/>
      </c>
      <c r="W5">
        <f>HYPERLINK("https://klasma.github.io/Logging_1784/klagomålsmail/A 34188-2024 FSC-klagomål mail.docx", "A 34188-2024")</f>
        <v/>
      </c>
      <c r="X5">
        <f>HYPERLINK("https://klasma.github.io/Logging_1784/tillsyn/A 34188-2024 tillsynsbegäran.docx", "A 34188-2024")</f>
        <v/>
      </c>
      <c r="Y5">
        <f>HYPERLINK("https://klasma.github.io/Logging_1784/tillsynsmail/A 34188-2024 tillsynsbegäran mail.docx", "A 34188-2024")</f>
        <v/>
      </c>
      <c r="Z5">
        <f>HYPERLINK("https://klasma.github.io/Logging_1784/fåglar/A 34188-2024 prioriterade fågelarter.docx", "A 34188-2024")</f>
        <v/>
      </c>
    </row>
    <row r="6" ht="15" customHeight="1">
      <c r="A6" t="inlineStr">
        <is>
          <t>A 23086-2024</t>
        </is>
      </c>
      <c r="B6" s="1" t="n">
        <v>45450</v>
      </c>
      <c r="C6" s="1" t="n">
        <v>46012</v>
      </c>
      <c r="D6" t="inlineStr">
        <is>
          <t>VÄRMLANDS LÄN</t>
        </is>
      </c>
      <c r="E6" t="inlineStr">
        <is>
          <t>ARVIKA</t>
        </is>
      </c>
      <c r="F6" t="inlineStr">
        <is>
          <t>Bergvik skog väst AB</t>
        </is>
      </c>
      <c r="G6" t="n">
        <v>1.5</v>
      </c>
      <c r="H6" t="n">
        <v>2</v>
      </c>
      <c r="I6" t="n">
        <v>4</v>
      </c>
      <c r="J6" t="n">
        <v>2</v>
      </c>
      <c r="K6" t="n">
        <v>1</v>
      </c>
      <c r="L6" t="n">
        <v>0</v>
      </c>
      <c r="M6" t="n">
        <v>0</v>
      </c>
      <c r="N6" t="n">
        <v>0</v>
      </c>
      <c r="O6" t="n">
        <v>3</v>
      </c>
      <c r="P6" t="n">
        <v>1</v>
      </c>
      <c r="Q6" t="n">
        <v>7</v>
      </c>
      <c r="R6" s="2" t="inlineStr">
        <is>
          <t>Knärot
Spillkråka
Vedtrappmossa
Bårdlav
Flagellkvastmossa
Korallblylav
Skinnlav</t>
        </is>
      </c>
      <c r="S6">
        <f>HYPERLINK("https://klasma.github.io/Logging_1784/artfynd/A 23086-2024 artfynd.xlsx", "A 23086-2024")</f>
        <v/>
      </c>
      <c r="T6">
        <f>HYPERLINK("https://klasma.github.io/Logging_1784/kartor/A 23086-2024 karta.png", "A 23086-2024")</f>
        <v/>
      </c>
      <c r="U6">
        <f>HYPERLINK("https://klasma.github.io/Logging_1784/knärot/A 23086-2024 karta knärot.png", "A 23086-2024")</f>
        <v/>
      </c>
      <c r="V6">
        <f>HYPERLINK("https://klasma.github.io/Logging_1784/klagomål/A 23086-2024 FSC-klagomål.docx", "A 23086-2024")</f>
        <v/>
      </c>
      <c r="W6">
        <f>HYPERLINK("https://klasma.github.io/Logging_1784/klagomålsmail/A 23086-2024 FSC-klagomål mail.docx", "A 23086-2024")</f>
        <v/>
      </c>
      <c r="X6">
        <f>HYPERLINK("https://klasma.github.io/Logging_1784/tillsyn/A 23086-2024 tillsynsbegäran.docx", "A 23086-2024")</f>
        <v/>
      </c>
      <c r="Y6">
        <f>HYPERLINK("https://klasma.github.io/Logging_1784/tillsynsmail/A 23086-2024 tillsynsbegäran mail.docx", "A 23086-2024")</f>
        <v/>
      </c>
      <c r="Z6">
        <f>HYPERLINK("https://klasma.github.io/Logging_1784/fåglar/A 23086-2024 prioriterade fågelarter.docx", "A 23086-2024")</f>
        <v/>
      </c>
    </row>
    <row r="7" ht="15" customHeight="1">
      <c r="A7" t="inlineStr">
        <is>
          <t>A 23087-2024</t>
        </is>
      </c>
      <c r="B7" s="1" t="n">
        <v>45450</v>
      </c>
      <c r="C7" s="1" t="n">
        <v>46012</v>
      </c>
      <c r="D7" t="inlineStr">
        <is>
          <t>VÄRMLANDS LÄN</t>
        </is>
      </c>
      <c r="E7" t="inlineStr">
        <is>
          <t>ARVIKA</t>
        </is>
      </c>
      <c r="F7" t="inlineStr">
        <is>
          <t>Bergvik skog väst AB</t>
        </is>
      </c>
      <c r="G7" t="n">
        <v>1.5</v>
      </c>
      <c r="H7" t="n">
        <v>3</v>
      </c>
      <c r="I7" t="n">
        <v>2</v>
      </c>
      <c r="J7" t="n">
        <v>3</v>
      </c>
      <c r="K7" t="n">
        <v>1</v>
      </c>
      <c r="L7" t="n">
        <v>0</v>
      </c>
      <c r="M7" t="n">
        <v>0</v>
      </c>
      <c r="N7" t="n">
        <v>0</v>
      </c>
      <c r="O7" t="n">
        <v>4</v>
      </c>
      <c r="P7" t="n">
        <v>1</v>
      </c>
      <c r="Q7" t="n">
        <v>7</v>
      </c>
      <c r="R7" s="2" t="inlineStr">
        <is>
          <t>Knärot
Talltita
Ullticka
Vedtrappmossa
Grönpyrola
Skinnlav
Fläcknycklar</t>
        </is>
      </c>
      <c r="S7">
        <f>HYPERLINK("https://klasma.github.io/Logging_1784/artfynd/A 23087-2024 artfynd.xlsx", "A 23087-2024")</f>
        <v/>
      </c>
      <c r="T7">
        <f>HYPERLINK("https://klasma.github.io/Logging_1784/kartor/A 23087-2024 karta.png", "A 23087-2024")</f>
        <v/>
      </c>
      <c r="U7">
        <f>HYPERLINK("https://klasma.github.io/Logging_1784/knärot/A 23087-2024 karta knärot.png", "A 23087-2024")</f>
        <v/>
      </c>
      <c r="V7">
        <f>HYPERLINK("https://klasma.github.io/Logging_1784/klagomål/A 23087-2024 FSC-klagomål.docx", "A 23087-2024")</f>
        <v/>
      </c>
      <c r="W7">
        <f>HYPERLINK("https://klasma.github.io/Logging_1784/klagomålsmail/A 23087-2024 FSC-klagomål mail.docx", "A 23087-2024")</f>
        <v/>
      </c>
      <c r="X7">
        <f>HYPERLINK("https://klasma.github.io/Logging_1784/tillsyn/A 23087-2024 tillsynsbegäran.docx", "A 23087-2024")</f>
        <v/>
      </c>
      <c r="Y7">
        <f>HYPERLINK("https://klasma.github.io/Logging_1784/tillsynsmail/A 23087-2024 tillsynsbegäran mail.docx", "A 23087-2024")</f>
        <v/>
      </c>
      <c r="Z7">
        <f>HYPERLINK("https://klasma.github.io/Logging_1784/fåglar/A 23087-2024 prioriterade fågelarter.docx", "A 23087-2024")</f>
        <v/>
      </c>
    </row>
    <row r="8" ht="15" customHeight="1">
      <c r="A8" t="inlineStr">
        <is>
          <t>A 21224-2024</t>
        </is>
      </c>
      <c r="B8" s="1" t="n">
        <v>45440</v>
      </c>
      <c r="C8" s="1" t="n">
        <v>46012</v>
      </c>
      <c r="D8" t="inlineStr">
        <is>
          <t>VÄRMLANDS LÄN</t>
        </is>
      </c>
      <c r="E8" t="inlineStr">
        <is>
          <t>ARVIKA</t>
        </is>
      </c>
      <c r="F8" t="inlineStr">
        <is>
          <t>Bergvik skog väst AB</t>
        </is>
      </c>
      <c r="G8" t="n">
        <v>2.4</v>
      </c>
      <c r="H8" t="n">
        <v>3</v>
      </c>
      <c r="I8" t="n">
        <v>1</v>
      </c>
      <c r="J8" t="n">
        <v>5</v>
      </c>
      <c r="K8" t="n">
        <v>0</v>
      </c>
      <c r="L8" t="n">
        <v>0</v>
      </c>
      <c r="M8" t="n">
        <v>0</v>
      </c>
      <c r="N8" t="n">
        <v>0</v>
      </c>
      <c r="O8" t="n">
        <v>5</v>
      </c>
      <c r="P8" t="n">
        <v>0</v>
      </c>
      <c r="Q8" t="n">
        <v>7</v>
      </c>
      <c r="R8" s="2" t="inlineStr">
        <is>
          <t>Garnlav
Kortskaftad ärgspik
Spillkråka
Tretåig hackspett
Vedtrappmossa
Stor revmossa
Tjäder</t>
        </is>
      </c>
      <c r="S8">
        <f>HYPERLINK("https://klasma.github.io/Logging_1784/artfynd/A 21224-2024 artfynd.xlsx", "A 21224-2024")</f>
        <v/>
      </c>
      <c r="T8">
        <f>HYPERLINK("https://klasma.github.io/Logging_1784/kartor/A 21224-2024 karta.png", "A 21224-2024")</f>
        <v/>
      </c>
      <c r="U8">
        <f>HYPERLINK("https://klasma.github.io/Logging_1784/knärot/A 21224-2024 karta knärot.png", "A 21224-2024")</f>
        <v/>
      </c>
      <c r="V8">
        <f>HYPERLINK("https://klasma.github.io/Logging_1784/klagomål/A 21224-2024 FSC-klagomål.docx", "A 21224-2024")</f>
        <v/>
      </c>
      <c r="W8">
        <f>HYPERLINK("https://klasma.github.io/Logging_1784/klagomålsmail/A 21224-2024 FSC-klagomål mail.docx", "A 21224-2024")</f>
        <v/>
      </c>
      <c r="X8">
        <f>HYPERLINK("https://klasma.github.io/Logging_1784/tillsyn/A 21224-2024 tillsynsbegäran.docx", "A 21224-2024")</f>
        <v/>
      </c>
      <c r="Y8">
        <f>HYPERLINK("https://klasma.github.io/Logging_1784/tillsynsmail/A 21224-2024 tillsynsbegäran mail.docx", "A 21224-2024")</f>
        <v/>
      </c>
      <c r="Z8">
        <f>HYPERLINK("https://klasma.github.io/Logging_1784/fåglar/A 21224-2024 prioriterade fågelarter.docx", "A 21224-2024")</f>
        <v/>
      </c>
    </row>
    <row r="9" ht="15" customHeight="1">
      <c r="A9" t="inlineStr">
        <is>
          <t>A 32845-2023</t>
        </is>
      </c>
      <c r="B9" s="1" t="n">
        <v>45109</v>
      </c>
      <c r="C9" s="1" t="n">
        <v>46012</v>
      </c>
      <c r="D9" t="inlineStr">
        <is>
          <t>VÄRMLANDS LÄN</t>
        </is>
      </c>
      <c r="E9" t="inlineStr">
        <is>
          <t>ARVIKA</t>
        </is>
      </c>
      <c r="G9" t="n">
        <v>2.2</v>
      </c>
      <c r="H9" t="n">
        <v>1</v>
      </c>
      <c r="I9" t="n">
        <v>3</v>
      </c>
      <c r="J9" t="n">
        <v>2</v>
      </c>
      <c r="K9" t="n">
        <v>1</v>
      </c>
      <c r="L9" t="n">
        <v>1</v>
      </c>
      <c r="M9" t="n">
        <v>0</v>
      </c>
      <c r="N9" t="n">
        <v>0</v>
      </c>
      <c r="O9" t="n">
        <v>4</v>
      </c>
      <c r="P9" t="n">
        <v>2</v>
      </c>
      <c r="Q9" t="n">
        <v>7</v>
      </c>
      <c r="R9" s="2" t="inlineStr">
        <is>
          <t>Stråltandad fibbla
Knärot
Oljetagging
Ullticka
Mandelriska
Rävticka
Vedticka</t>
        </is>
      </c>
      <c r="S9">
        <f>HYPERLINK("https://klasma.github.io/Logging_1784/artfynd/A 32845-2023 artfynd.xlsx", "A 32845-2023")</f>
        <v/>
      </c>
      <c r="T9">
        <f>HYPERLINK("https://klasma.github.io/Logging_1784/kartor/A 32845-2023 karta.png", "A 32845-2023")</f>
        <v/>
      </c>
      <c r="U9">
        <f>HYPERLINK("https://klasma.github.io/Logging_1784/knärot/A 32845-2023 karta knärot.png", "A 32845-2023")</f>
        <v/>
      </c>
      <c r="V9">
        <f>HYPERLINK("https://klasma.github.io/Logging_1784/klagomål/A 32845-2023 FSC-klagomål.docx", "A 32845-2023")</f>
        <v/>
      </c>
      <c r="W9">
        <f>HYPERLINK("https://klasma.github.io/Logging_1784/klagomålsmail/A 32845-2023 FSC-klagomål mail.docx", "A 32845-2023")</f>
        <v/>
      </c>
      <c r="X9">
        <f>HYPERLINK("https://klasma.github.io/Logging_1784/tillsyn/A 32845-2023 tillsynsbegäran.docx", "A 32845-2023")</f>
        <v/>
      </c>
      <c r="Y9">
        <f>HYPERLINK("https://klasma.github.io/Logging_1784/tillsynsmail/A 32845-2023 tillsynsbegäran mail.docx", "A 32845-2023")</f>
        <v/>
      </c>
    </row>
    <row r="10" ht="15" customHeight="1">
      <c r="A10" t="inlineStr">
        <is>
          <t>A 63034-2025</t>
        </is>
      </c>
      <c r="B10" s="1" t="n">
        <v>46009.60928240741</v>
      </c>
      <c r="C10" s="1" t="n">
        <v>46012</v>
      </c>
      <c r="D10" t="inlineStr">
        <is>
          <t>VÄRMLANDS LÄN</t>
        </is>
      </c>
      <c r="E10" t="inlineStr">
        <is>
          <t>ARVIKA</t>
        </is>
      </c>
      <c r="F10" t="inlineStr">
        <is>
          <t>Bergvik skog väst AB</t>
        </is>
      </c>
      <c r="G10" t="n">
        <v>3.2</v>
      </c>
      <c r="H10" t="n">
        <v>1</v>
      </c>
      <c r="I10" t="n">
        <v>2</v>
      </c>
      <c r="J10" t="n">
        <v>3</v>
      </c>
      <c r="K10" t="n">
        <v>1</v>
      </c>
      <c r="L10" t="n">
        <v>0</v>
      </c>
      <c r="M10" t="n">
        <v>0</v>
      </c>
      <c r="N10" t="n">
        <v>0</v>
      </c>
      <c r="O10" t="n">
        <v>4</v>
      </c>
      <c r="P10" t="n">
        <v>1</v>
      </c>
      <c r="Q10" t="n">
        <v>6</v>
      </c>
      <c r="R10" s="2" t="inlineStr">
        <is>
          <t>Apelticka
Motaggsvamp
Tretåig hackspett
Vedskivlav
Bårdlav
Slanklav</t>
        </is>
      </c>
      <c r="S10">
        <f>HYPERLINK("https://klasma.github.io/Logging_1784/artfynd/A 63034-2025 artfynd.xlsx", "A 63034-2025")</f>
        <v/>
      </c>
      <c r="T10">
        <f>HYPERLINK("https://klasma.github.io/Logging_1784/kartor/A 63034-2025 karta.png", "A 63034-2025")</f>
        <v/>
      </c>
      <c r="V10">
        <f>HYPERLINK("https://klasma.github.io/Logging_1784/klagomål/A 63034-2025 FSC-klagomål.docx", "A 63034-2025")</f>
        <v/>
      </c>
      <c r="W10">
        <f>HYPERLINK("https://klasma.github.io/Logging_1784/klagomålsmail/A 63034-2025 FSC-klagomål mail.docx", "A 63034-2025")</f>
        <v/>
      </c>
      <c r="X10">
        <f>HYPERLINK("https://klasma.github.io/Logging_1784/tillsyn/A 63034-2025 tillsynsbegäran.docx", "A 63034-2025")</f>
        <v/>
      </c>
      <c r="Y10">
        <f>HYPERLINK("https://klasma.github.io/Logging_1784/tillsynsmail/A 63034-2025 tillsynsbegäran mail.docx", "A 63034-2025")</f>
        <v/>
      </c>
      <c r="Z10">
        <f>HYPERLINK("https://klasma.github.io/Logging_1784/fåglar/A 63034-2025 prioriterade fågelarter.docx", "A 63034-2025")</f>
        <v/>
      </c>
    </row>
    <row r="11" ht="15" customHeight="1">
      <c r="A11" t="inlineStr">
        <is>
          <t>A 17008-2021</t>
        </is>
      </c>
      <c r="B11" s="1" t="n">
        <v>44295</v>
      </c>
      <c r="C11" s="1" t="n">
        <v>46012</v>
      </c>
      <c r="D11" t="inlineStr">
        <is>
          <t>VÄRMLANDS LÄN</t>
        </is>
      </c>
      <c r="E11" t="inlineStr">
        <is>
          <t>ARVIKA</t>
        </is>
      </c>
      <c r="G11" t="n">
        <v>3.6</v>
      </c>
      <c r="H11" t="n">
        <v>1</v>
      </c>
      <c r="I11" t="n">
        <v>4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5</v>
      </c>
      <c r="R11" s="2" t="inlineStr">
        <is>
          <t>Lunglav
Bårdlav
Grön sköldmossa
Korallblylav
Vedticka</t>
        </is>
      </c>
      <c r="S11">
        <f>HYPERLINK("https://klasma.github.io/Logging_1784/artfynd/A 17008-2021 artfynd.xlsx", "A 17008-2021")</f>
        <v/>
      </c>
      <c r="T11">
        <f>HYPERLINK("https://klasma.github.io/Logging_1784/kartor/A 17008-2021 karta.png", "A 17008-2021")</f>
        <v/>
      </c>
      <c r="V11">
        <f>HYPERLINK("https://klasma.github.io/Logging_1784/klagomål/A 17008-2021 FSC-klagomål.docx", "A 17008-2021")</f>
        <v/>
      </c>
      <c r="W11">
        <f>HYPERLINK("https://klasma.github.io/Logging_1784/klagomålsmail/A 17008-2021 FSC-klagomål mail.docx", "A 17008-2021")</f>
        <v/>
      </c>
      <c r="X11">
        <f>HYPERLINK("https://klasma.github.io/Logging_1784/tillsyn/A 17008-2021 tillsynsbegäran.docx", "A 17008-2021")</f>
        <v/>
      </c>
      <c r="Y11">
        <f>HYPERLINK("https://klasma.github.io/Logging_1784/tillsynsmail/A 17008-2021 tillsynsbegäran mail.docx", "A 17008-2021")</f>
        <v/>
      </c>
    </row>
    <row r="12" ht="15" customHeight="1">
      <c r="A12" t="inlineStr">
        <is>
          <t>A 23085-2024</t>
        </is>
      </c>
      <c r="B12" s="1" t="n">
        <v>45450</v>
      </c>
      <c r="C12" s="1" t="n">
        <v>46012</v>
      </c>
      <c r="D12" t="inlineStr">
        <is>
          <t>VÄRMLANDS LÄN</t>
        </is>
      </c>
      <c r="E12" t="inlineStr">
        <is>
          <t>ARVIKA</t>
        </is>
      </c>
      <c r="F12" t="inlineStr">
        <is>
          <t>Bergvik skog väst AB</t>
        </is>
      </c>
      <c r="G12" t="n">
        <v>0.7</v>
      </c>
      <c r="H12" t="n">
        <v>1</v>
      </c>
      <c r="I12" t="n">
        <v>3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5</v>
      </c>
      <c r="R12" s="2" t="inlineStr">
        <is>
          <t>Dofttaggsvamp
Dropptaggsvamp
Svavelriska
Vågbandad barkbock
Revlummer</t>
        </is>
      </c>
      <c r="S12">
        <f>HYPERLINK("https://klasma.github.io/Logging_1784/artfynd/A 23085-2024 artfynd.xlsx", "A 23085-2024")</f>
        <v/>
      </c>
      <c r="T12">
        <f>HYPERLINK("https://klasma.github.io/Logging_1784/kartor/A 23085-2024 karta.png", "A 23085-2024")</f>
        <v/>
      </c>
      <c r="U12">
        <f>HYPERLINK("https://klasma.github.io/Logging_1784/knärot/A 23085-2024 karta knärot.png", "A 23085-2024")</f>
        <v/>
      </c>
      <c r="V12">
        <f>HYPERLINK("https://klasma.github.io/Logging_1784/klagomål/A 23085-2024 FSC-klagomål.docx", "A 23085-2024")</f>
        <v/>
      </c>
      <c r="W12">
        <f>HYPERLINK("https://klasma.github.io/Logging_1784/klagomålsmail/A 23085-2024 FSC-klagomål mail.docx", "A 23085-2024")</f>
        <v/>
      </c>
      <c r="X12">
        <f>HYPERLINK("https://klasma.github.io/Logging_1784/tillsyn/A 23085-2024 tillsynsbegäran.docx", "A 23085-2024")</f>
        <v/>
      </c>
      <c r="Y12">
        <f>HYPERLINK("https://klasma.github.io/Logging_1784/tillsynsmail/A 23085-2024 tillsynsbegäran mail.docx", "A 23085-2024")</f>
        <v/>
      </c>
    </row>
    <row r="13" ht="15" customHeight="1">
      <c r="A13" t="inlineStr">
        <is>
          <t>A 57119-2025</t>
        </is>
      </c>
      <c r="B13" s="1" t="n">
        <v>45979.46612268518</v>
      </c>
      <c r="C13" s="1" t="n">
        <v>46012</v>
      </c>
      <c r="D13" t="inlineStr">
        <is>
          <t>VÄRMLANDS LÄN</t>
        </is>
      </c>
      <c r="E13" t="inlineStr">
        <is>
          <t>ARVIKA</t>
        </is>
      </c>
      <c r="G13" t="n">
        <v>3.1</v>
      </c>
      <c r="H13" t="n">
        <v>2</v>
      </c>
      <c r="I13" t="n">
        <v>2</v>
      </c>
      <c r="J13" t="n">
        <v>1</v>
      </c>
      <c r="K13" t="n">
        <v>1</v>
      </c>
      <c r="L13" t="n">
        <v>0</v>
      </c>
      <c r="M13" t="n">
        <v>0</v>
      </c>
      <c r="N13" t="n">
        <v>0</v>
      </c>
      <c r="O13" t="n">
        <v>2</v>
      </c>
      <c r="P13" t="n">
        <v>1</v>
      </c>
      <c r="Q13" t="n">
        <v>4</v>
      </c>
      <c r="R13" s="2" t="inlineStr">
        <is>
          <t>Knärot
Spillkråka
Björksplintborre
Bronshjon</t>
        </is>
      </c>
      <c r="S13">
        <f>HYPERLINK("https://klasma.github.io/Logging_1784/artfynd/A 57119-2025 artfynd.xlsx", "A 57119-2025")</f>
        <v/>
      </c>
      <c r="T13">
        <f>HYPERLINK("https://klasma.github.io/Logging_1784/kartor/A 57119-2025 karta.png", "A 57119-2025")</f>
        <v/>
      </c>
      <c r="U13">
        <f>HYPERLINK("https://klasma.github.io/Logging_1784/knärot/A 57119-2025 karta knärot.png", "A 57119-2025")</f>
        <v/>
      </c>
      <c r="V13">
        <f>HYPERLINK("https://klasma.github.io/Logging_1784/klagomål/A 57119-2025 FSC-klagomål.docx", "A 57119-2025")</f>
        <v/>
      </c>
      <c r="W13">
        <f>HYPERLINK("https://klasma.github.io/Logging_1784/klagomålsmail/A 57119-2025 FSC-klagomål mail.docx", "A 57119-2025")</f>
        <v/>
      </c>
      <c r="X13">
        <f>HYPERLINK("https://klasma.github.io/Logging_1784/tillsyn/A 57119-2025 tillsynsbegäran.docx", "A 57119-2025")</f>
        <v/>
      </c>
      <c r="Y13">
        <f>HYPERLINK("https://klasma.github.io/Logging_1784/tillsynsmail/A 57119-2025 tillsynsbegäran mail.docx", "A 57119-2025")</f>
        <v/>
      </c>
      <c r="Z13">
        <f>HYPERLINK("https://klasma.github.io/Logging_1784/fåglar/A 57119-2025 prioriterade fågelarter.docx", "A 57119-2025")</f>
        <v/>
      </c>
    </row>
    <row r="14" ht="15" customHeight="1">
      <c r="A14" t="inlineStr">
        <is>
          <t>A 51526-2025</t>
        </is>
      </c>
      <c r="B14" s="1" t="n">
        <v>45950.67537037037</v>
      </c>
      <c r="C14" s="1" t="n">
        <v>46012</v>
      </c>
      <c r="D14" t="inlineStr">
        <is>
          <t>VÄRMLANDS LÄN</t>
        </is>
      </c>
      <c r="E14" t="inlineStr">
        <is>
          <t>ARVIKA</t>
        </is>
      </c>
      <c r="G14" t="n">
        <v>10</v>
      </c>
      <c r="H14" t="n">
        <v>0</v>
      </c>
      <c r="I14" t="n">
        <v>3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4</v>
      </c>
      <c r="R14" s="2" t="inlineStr">
        <is>
          <t>Vedskivlav
Barkticka
Blodticka
Vedticka</t>
        </is>
      </c>
      <c r="S14">
        <f>HYPERLINK("https://klasma.github.io/Logging_1784/artfynd/A 51526-2025 artfynd.xlsx", "A 51526-2025")</f>
        <v/>
      </c>
      <c r="T14">
        <f>HYPERLINK("https://klasma.github.io/Logging_1784/kartor/A 51526-2025 karta.png", "A 51526-2025")</f>
        <v/>
      </c>
      <c r="V14">
        <f>HYPERLINK("https://klasma.github.io/Logging_1784/klagomål/A 51526-2025 FSC-klagomål.docx", "A 51526-2025")</f>
        <v/>
      </c>
      <c r="W14">
        <f>HYPERLINK("https://klasma.github.io/Logging_1784/klagomålsmail/A 51526-2025 FSC-klagomål mail.docx", "A 51526-2025")</f>
        <v/>
      </c>
      <c r="X14">
        <f>HYPERLINK("https://klasma.github.io/Logging_1784/tillsyn/A 51526-2025 tillsynsbegäran.docx", "A 51526-2025")</f>
        <v/>
      </c>
      <c r="Y14">
        <f>HYPERLINK("https://klasma.github.io/Logging_1784/tillsynsmail/A 51526-2025 tillsynsbegäran mail.docx", "A 51526-2025")</f>
        <v/>
      </c>
    </row>
    <row r="15" ht="15" customHeight="1">
      <c r="A15" t="inlineStr">
        <is>
          <t>A 62900-2023</t>
        </is>
      </c>
      <c r="B15" s="1" t="n">
        <v>45272</v>
      </c>
      <c r="C15" s="1" t="n">
        <v>46012</v>
      </c>
      <c r="D15" t="inlineStr">
        <is>
          <t>VÄRMLANDS LÄN</t>
        </is>
      </c>
      <c r="E15" t="inlineStr">
        <is>
          <t>ARVIKA</t>
        </is>
      </c>
      <c r="G15" t="n">
        <v>12.1</v>
      </c>
      <c r="H15" t="n">
        <v>2</v>
      </c>
      <c r="I15" t="n">
        <v>0</v>
      </c>
      <c r="J15" t="n">
        <v>2</v>
      </c>
      <c r="K15" t="n">
        <v>2</v>
      </c>
      <c r="L15" t="n">
        <v>0</v>
      </c>
      <c r="M15" t="n">
        <v>0</v>
      </c>
      <c r="N15" t="n">
        <v>0</v>
      </c>
      <c r="O15" t="n">
        <v>4</v>
      </c>
      <c r="P15" t="n">
        <v>2</v>
      </c>
      <c r="Q15" t="n">
        <v>4</v>
      </c>
      <c r="R15" s="2" t="inlineStr">
        <is>
          <t>Knärot
Rynkskinn
Motaggsvamp
Spillkråka</t>
        </is>
      </c>
      <c r="S15">
        <f>HYPERLINK("https://klasma.github.io/Logging_1784/artfynd/A 62900-2023 artfynd.xlsx", "A 62900-2023")</f>
        <v/>
      </c>
      <c r="T15">
        <f>HYPERLINK("https://klasma.github.io/Logging_1784/kartor/A 62900-2023 karta.png", "A 62900-2023")</f>
        <v/>
      </c>
      <c r="U15">
        <f>HYPERLINK("https://klasma.github.io/Logging_1784/knärot/A 62900-2023 karta knärot.png", "A 62900-2023")</f>
        <v/>
      </c>
      <c r="V15">
        <f>HYPERLINK("https://klasma.github.io/Logging_1784/klagomål/A 62900-2023 FSC-klagomål.docx", "A 62900-2023")</f>
        <v/>
      </c>
      <c r="W15">
        <f>HYPERLINK("https://klasma.github.io/Logging_1784/klagomålsmail/A 62900-2023 FSC-klagomål mail.docx", "A 62900-2023")</f>
        <v/>
      </c>
      <c r="X15">
        <f>HYPERLINK("https://klasma.github.io/Logging_1784/tillsyn/A 62900-2023 tillsynsbegäran.docx", "A 62900-2023")</f>
        <v/>
      </c>
      <c r="Y15">
        <f>HYPERLINK("https://klasma.github.io/Logging_1784/tillsynsmail/A 62900-2023 tillsynsbegäran mail.docx", "A 62900-2023")</f>
        <v/>
      </c>
      <c r="Z15">
        <f>HYPERLINK("https://klasma.github.io/Logging_1784/fåglar/A 62900-2023 prioriterade fågelarter.docx", "A 62900-2023")</f>
        <v/>
      </c>
    </row>
    <row r="16" ht="15" customHeight="1">
      <c r="A16" t="inlineStr">
        <is>
          <t>A 50668-2024</t>
        </is>
      </c>
      <c r="B16" s="1" t="n">
        <v>45601</v>
      </c>
      <c r="C16" s="1" t="n">
        <v>46012</v>
      </c>
      <c r="D16" t="inlineStr">
        <is>
          <t>VÄRMLANDS LÄN</t>
        </is>
      </c>
      <c r="E16" t="inlineStr">
        <is>
          <t>ARVIKA</t>
        </is>
      </c>
      <c r="G16" t="n">
        <v>15.7</v>
      </c>
      <c r="H16" t="n">
        <v>2</v>
      </c>
      <c r="I16" t="n">
        <v>2</v>
      </c>
      <c r="J16" t="n">
        <v>2</v>
      </c>
      <c r="K16" t="n">
        <v>0</v>
      </c>
      <c r="L16" t="n">
        <v>0</v>
      </c>
      <c r="M16" t="n">
        <v>0</v>
      </c>
      <c r="N16" t="n">
        <v>0</v>
      </c>
      <c r="O16" t="n">
        <v>2</v>
      </c>
      <c r="P16" t="n">
        <v>0</v>
      </c>
      <c r="Q16" t="n">
        <v>4</v>
      </c>
      <c r="R16" s="2" t="inlineStr">
        <is>
          <t>Motaggsvamp
Spillkråka
Blodticka
Grön sköldmossa</t>
        </is>
      </c>
      <c r="S16">
        <f>HYPERLINK("https://klasma.github.io/Logging_1784/artfynd/A 50668-2024 artfynd.xlsx", "A 50668-2024")</f>
        <v/>
      </c>
      <c r="T16">
        <f>HYPERLINK("https://klasma.github.io/Logging_1784/kartor/A 50668-2024 karta.png", "A 50668-2024")</f>
        <v/>
      </c>
      <c r="V16">
        <f>HYPERLINK("https://klasma.github.io/Logging_1784/klagomål/A 50668-2024 FSC-klagomål.docx", "A 50668-2024")</f>
        <v/>
      </c>
      <c r="W16">
        <f>HYPERLINK("https://klasma.github.io/Logging_1784/klagomålsmail/A 50668-2024 FSC-klagomål mail.docx", "A 50668-2024")</f>
        <v/>
      </c>
      <c r="X16">
        <f>HYPERLINK("https://klasma.github.io/Logging_1784/tillsyn/A 50668-2024 tillsynsbegäran.docx", "A 50668-2024")</f>
        <v/>
      </c>
      <c r="Y16">
        <f>HYPERLINK("https://klasma.github.io/Logging_1784/tillsynsmail/A 50668-2024 tillsynsbegäran mail.docx", "A 50668-2024")</f>
        <v/>
      </c>
      <c r="Z16">
        <f>HYPERLINK("https://klasma.github.io/Logging_1784/fåglar/A 50668-2024 prioriterade fågelarter.docx", "A 50668-2024")</f>
        <v/>
      </c>
    </row>
    <row r="17" ht="15" customHeight="1">
      <c r="A17" t="inlineStr">
        <is>
          <t>A 1111-2024</t>
        </is>
      </c>
      <c r="B17" s="1" t="n">
        <v>45302</v>
      </c>
      <c r="C17" s="1" t="n">
        <v>46012</v>
      </c>
      <c r="D17" t="inlineStr">
        <is>
          <t>VÄRMLANDS LÄN</t>
        </is>
      </c>
      <c r="E17" t="inlineStr">
        <is>
          <t>ARVIKA</t>
        </is>
      </c>
      <c r="F17" t="inlineStr">
        <is>
          <t>Kyrkan</t>
        </is>
      </c>
      <c r="G17" t="n">
        <v>2.4</v>
      </c>
      <c r="H17" t="n">
        <v>0</v>
      </c>
      <c r="I17" t="n">
        <v>1</v>
      </c>
      <c r="J17" t="n">
        <v>3</v>
      </c>
      <c r="K17" t="n">
        <v>0</v>
      </c>
      <c r="L17" t="n">
        <v>0</v>
      </c>
      <c r="M17" t="n">
        <v>0</v>
      </c>
      <c r="N17" t="n">
        <v>0</v>
      </c>
      <c r="O17" t="n">
        <v>3</v>
      </c>
      <c r="P17" t="n">
        <v>0</v>
      </c>
      <c r="Q17" t="n">
        <v>4</v>
      </c>
      <c r="R17" s="2" t="inlineStr">
        <is>
          <t>Kandelabersvamp
Lunglav
Stjärntagging
Vedticka</t>
        </is>
      </c>
      <c r="S17">
        <f>HYPERLINK("https://klasma.github.io/Logging_1784/artfynd/A 1111-2024 artfynd.xlsx", "A 1111-2024")</f>
        <v/>
      </c>
      <c r="T17">
        <f>HYPERLINK("https://klasma.github.io/Logging_1784/kartor/A 1111-2024 karta.png", "A 1111-2024")</f>
        <v/>
      </c>
      <c r="V17">
        <f>HYPERLINK("https://klasma.github.io/Logging_1784/klagomål/A 1111-2024 FSC-klagomål.docx", "A 1111-2024")</f>
        <v/>
      </c>
      <c r="W17">
        <f>HYPERLINK("https://klasma.github.io/Logging_1784/klagomålsmail/A 1111-2024 FSC-klagomål mail.docx", "A 1111-2024")</f>
        <v/>
      </c>
      <c r="X17">
        <f>HYPERLINK("https://klasma.github.io/Logging_1784/tillsyn/A 1111-2024 tillsynsbegäran.docx", "A 1111-2024")</f>
        <v/>
      </c>
      <c r="Y17">
        <f>HYPERLINK("https://klasma.github.io/Logging_1784/tillsynsmail/A 1111-2024 tillsynsbegäran mail.docx", "A 1111-2024")</f>
        <v/>
      </c>
    </row>
    <row r="18" ht="15" customHeight="1">
      <c r="A18" t="inlineStr">
        <is>
          <t>A 53242-2024</t>
        </is>
      </c>
      <c r="B18" s="1" t="n">
        <v>45613</v>
      </c>
      <c r="C18" s="1" t="n">
        <v>46012</v>
      </c>
      <c r="D18" t="inlineStr">
        <is>
          <t>VÄRMLANDS LÄN</t>
        </is>
      </c>
      <c r="E18" t="inlineStr">
        <is>
          <t>ARVIKA</t>
        </is>
      </c>
      <c r="G18" t="n">
        <v>2.4</v>
      </c>
      <c r="H18" t="n">
        <v>0</v>
      </c>
      <c r="I18" t="n">
        <v>4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4</v>
      </c>
      <c r="R18" s="2" t="inlineStr">
        <is>
          <t>Blodticka
Bårdlav
Stuplav
Vedticka</t>
        </is>
      </c>
      <c r="S18">
        <f>HYPERLINK("https://klasma.github.io/Logging_1784/artfynd/A 53242-2024 artfynd.xlsx", "A 53242-2024")</f>
        <v/>
      </c>
      <c r="T18">
        <f>HYPERLINK("https://klasma.github.io/Logging_1784/kartor/A 53242-2024 karta.png", "A 53242-2024")</f>
        <v/>
      </c>
      <c r="V18">
        <f>HYPERLINK("https://klasma.github.io/Logging_1784/klagomål/A 53242-2024 FSC-klagomål.docx", "A 53242-2024")</f>
        <v/>
      </c>
      <c r="W18">
        <f>HYPERLINK("https://klasma.github.io/Logging_1784/klagomålsmail/A 53242-2024 FSC-klagomål mail.docx", "A 53242-2024")</f>
        <v/>
      </c>
      <c r="X18">
        <f>HYPERLINK("https://klasma.github.io/Logging_1784/tillsyn/A 53242-2024 tillsynsbegäran.docx", "A 53242-2024")</f>
        <v/>
      </c>
      <c r="Y18">
        <f>HYPERLINK("https://klasma.github.io/Logging_1784/tillsynsmail/A 53242-2024 tillsynsbegäran mail.docx", "A 53242-2024")</f>
        <v/>
      </c>
    </row>
    <row r="19" ht="15" customHeight="1">
      <c r="A19" t="inlineStr">
        <is>
          <t>A 8612-2022</t>
        </is>
      </c>
      <c r="B19" s="1" t="n">
        <v>44613</v>
      </c>
      <c r="C19" s="1" t="n">
        <v>46012</v>
      </c>
      <c r="D19" t="inlineStr">
        <is>
          <t>VÄRMLANDS LÄN</t>
        </is>
      </c>
      <c r="E19" t="inlineStr">
        <is>
          <t>ARVIKA</t>
        </is>
      </c>
      <c r="G19" t="n">
        <v>0.6</v>
      </c>
      <c r="H19" t="n">
        <v>0</v>
      </c>
      <c r="I19" t="n">
        <v>1</v>
      </c>
      <c r="J19" t="n">
        <v>2</v>
      </c>
      <c r="K19" t="n">
        <v>0</v>
      </c>
      <c r="L19" t="n">
        <v>0</v>
      </c>
      <c r="M19" t="n">
        <v>0</v>
      </c>
      <c r="N19" t="n">
        <v>0</v>
      </c>
      <c r="O19" t="n">
        <v>2</v>
      </c>
      <c r="P19" t="n">
        <v>0</v>
      </c>
      <c r="Q19" t="n">
        <v>3</v>
      </c>
      <c r="R19" s="2" t="inlineStr">
        <is>
          <t>Orange taggsvamp
Svart taggsvamp
Dropptaggsvamp</t>
        </is>
      </c>
      <c r="S19">
        <f>HYPERLINK("https://klasma.github.io/Logging_1784/artfynd/A 8612-2022 artfynd.xlsx", "A 8612-2022")</f>
        <v/>
      </c>
      <c r="T19">
        <f>HYPERLINK("https://klasma.github.io/Logging_1784/kartor/A 8612-2022 karta.png", "A 8612-2022")</f>
        <v/>
      </c>
      <c r="V19">
        <f>HYPERLINK("https://klasma.github.io/Logging_1784/klagomål/A 8612-2022 FSC-klagomål.docx", "A 8612-2022")</f>
        <v/>
      </c>
      <c r="W19">
        <f>HYPERLINK("https://klasma.github.io/Logging_1784/klagomålsmail/A 8612-2022 FSC-klagomål mail.docx", "A 8612-2022")</f>
        <v/>
      </c>
      <c r="X19">
        <f>HYPERLINK("https://klasma.github.io/Logging_1784/tillsyn/A 8612-2022 tillsynsbegäran.docx", "A 8612-2022")</f>
        <v/>
      </c>
      <c r="Y19">
        <f>HYPERLINK("https://klasma.github.io/Logging_1784/tillsynsmail/A 8612-2022 tillsynsbegäran mail.docx", "A 8612-2022")</f>
        <v/>
      </c>
    </row>
    <row r="20" ht="15" customHeight="1">
      <c r="A20" t="inlineStr">
        <is>
          <t>A 63880-2021</t>
        </is>
      </c>
      <c r="B20" s="1" t="n">
        <v>44509</v>
      </c>
      <c r="C20" s="1" t="n">
        <v>46012</v>
      </c>
      <c r="D20" t="inlineStr">
        <is>
          <t>VÄRMLANDS LÄN</t>
        </is>
      </c>
      <c r="E20" t="inlineStr">
        <is>
          <t>ARVIKA</t>
        </is>
      </c>
      <c r="G20" t="n">
        <v>26.5</v>
      </c>
      <c r="H20" t="n">
        <v>0</v>
      </c>
      <c r="I20" t="n">
        <v>1</v>
      </c>
      <c r="J20" t="n">
        <v>1</v>
      </c>
      <c r="K20" t="n">
        <v>1</v>
      </c>
      <c r="L20" t="n">
        <v>0</v>
      </c>
      <c r="M20" t="n">
        <v>0</v>
      </c>
      <c r="N20" t="n">
        <v>0</v>
      </c>
      <c r="O20" t="n">
        <v>2</v>
      </c>
      <c r="P20" t="n">
        <v>1</v>
      </c>
      <c r="Q20" t="n">
        <v>3</v>
      </c>
      <c r="R20" s="2" t="inlineStr">
        <is>
          <t>Aspfjädermossa
Lunglav
Stor aspticka</t>
        </is>
      </c>
      <c r="S20">
        <f>HYPERLINK("https://klasma.github.io/Logging_1784/artfynd/A 63880-2021 artfynd.xlsx", "A 63880-2021")</f>
        <v/>
      </c>
      <c r="T20">
        <f>HYPERLINK("https://klasma.github.io/Logging_1784/kartor/A 63880-2021 karta.png", "A 63880-2021")</f>
        <v/>
      </c>
      <c r="V20">
        <f>HYPERLINK("https://klasma.github.io/Logging_1784/klagomål/A 63880-2021 FSC-klagomål.docx", "A 63880-2021")</f>
        <v/>
      </c>
      <c r="W20">
        <f>HYPERLINK("https://klasma.github.io/Logging_1784/klagomålsmail/A 63880-2021 FSC-klagomål mail.docx", "A 63880-2021")</f>
        <v/>
      </c>
      <c r="X20">
        <f>HYPERLINK("https://klasma.github.io/Logging_1784/tillsyn/A 63880-2021 tillsynsbegäran.docx", "A 63880-2021")</f>
        <v/>
      </c>
      <c r="Y20">
        <f>HYPERLINK("https://klasma.github.io/Logging_1784/tillsynsmail/A 63880-2021 tillsynsbegäran mail.docx", "A 63880-2021")</f>
        <v/>
      </c>
    </row>
    <row r="21" ht="15" customHeight="1">
      <c r="A21" t="inlineStr">
        <is>
          <t>A 27397-2025</t>
        </is>
      </c>
      <c r="B21" s="1" t="n">
        <v>45812</v>
      </c>
      <c r="C21" s="1" t="n">
        <v>46012</v>
      </c>
      <c r="D21" t="inlineStr">
        <is>
          <t>VÄRMLANDS LÄN</t>
        </is>
      </c>
      <c r="E21" t="inlineStr">
        <is>
          <t>ARVIKA</t>
        </is>
      </c>
      <c r="F21" t="inlineStr">
        <is>
          <t>Bergvik skog väst AB</t>
        </is>
      </c>
      <c r="G21" t="n">
        <v>2.5</v>
      </c>
      <c r="H21" t="n">
        <v>3</v>
      </c>
      <c r="I21" t="n">
        <v>0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3</v>
      </c>
      <c r="R21" s="2" t="inlineStr">
        <is>
          <t>Spillkråka
Tjäder
Fläcknycklar</t>
        </is>
      </c>
      <c r="S21">
        <f>HYPERLINK("https://klasma.github.io/Logging_1784/artfynd/A 27397-2025 artfynd.xlsx", "A 27397-2025")</f>
        <v/>
      </c>
      <c r="T21">
        <f>HYPERLINK("https://klasma.github.io/Logging_1784/kartor/A 27397-2025 karta.png", "A 27397-2025")</f>
        <v/>
      </c>
      <c r="V21">
        <f>HYPERLINK("https://klasma.github.io/Logging_1784/klagomål/A 27397-2025 FSC-klagomål.docx", "A 27397-2025")</f>
        <v/>
      </c>
      <c r="W21">
        <f>HYPERLINK("https://klasma.github.io/Logging_1784/klagomålsmail/A 27397-2025 FSC-klagomål mail.docx", "A 27397-2025")</f>
        <v/>
      </c>
      <c r="X21">
        <f>HYPERLINK("https://klasma.github.io/Logging_1784/tillsyn/A 27397-2025 tillsynsbegäran.docx", "A 27397-2025")</f>
        <v/>
      </c>
      <c r="Y21">
        <f>HYPERLINK("https://klasma.github.io/Logging_1784/tillsynsmail/A 27397-2025 tillsynsbegäran mail.docx", "A 27397-2025")</f>
        <v/>
      </c>
      <c r="Z21">
        <f>HYPERLINK("https://klasma.github.io/Logging_1784/fåglar/A 27397-2025 prioriterade fågelarter.docx", "A 27397-2025")</f>
        <v/>
      </c>
    </row>
    <row r="22" ht="15" customHeight="1">
      <c r="A22" t="inlineStr">
        <is>
          <t>A 7350-2025</t>
        </is>
      </c>
      <c r="B22" s="1" t="n">
        <v>45703</v>
      </c>
      <c r="C22" s="1" t="n">
        <v>46012</v>
      </c>
      <c r="D22" t="inlineStr">
        <is>
          <t>VÄRMLANDS LÄN</t>
        </is>
      </c>
      <c r="E22" t="inlineStr">
        <is>
          <t>ARVIKA</t>
        </is>
      </c>
      <c r="G22" t="n">
        <v>7.5</v>
      </c>
      <c r="H22" t="n">
        <v>3</v>
      </c>
      <c r="I22" t="n">
        <v>0</v>
      </c>
      <c r="J22" t="n">
        <v>2</v>
      </c>
      <c r="K22" t="n">
        <v>0</v>
      </c>
      <c r="L22" t="n">
        <v>0</v>
      </c>
      <c r="M22" t="n">
        <v>0</v>
      </c>
      <c r="N22" t="n">
        <v>0</v>
      </c>
      <c r="O22" t="n">
        <v>2</v>
      </c>
      <c r="P22" t="n">
        <v>0</v>
      </c>
      <c r="Q22" t="n">
        <v>3</v>
      </c>
      <c r="R22" s="2" t="inlineStr">
        <is>
          <t>Entita
Talltita
Tjäder</t>
        </is>
      </c>
      <c r="S22">
        <f>HYPERLINK("https://klasma.github.io/Logging_1784/artfynd/A 7350-2025 artfynd.xlsx", "A 7350-2025")</f>
        <v/>
      </c>
      <c r="T22">
        <f>HYPERLINK("https://klasma.github.io/Logging_1784/kartor/A 7350-2025 karta.png", "A 7350-2025")</f>
        <v/>
      </c>
      <c r="V22">
        <f>HYPERLINK("https://klasma.github.io/Logging_1784/klagomål/A 7350-2025 FSC-klagomål.docx", "A 7350-2025")</f>
        <v/>
      </c>
      <c r="W22">
        <f>HYPERLINK("https://klasma.github.io/Logging_1784/klagomålsmail/A 7350-2025 FSC-klagomål mail.docx", "A 7350-2025")</f>
        <v/>
      </c>
      <c r="X22">
        <f>HYPERLINK("https://klasma.github.io/Logging_1784/tillsyn/A 7350-2025 tillsynsbegäran.docx", "A 7350-2025")</f>
        <v/>
      </c>
      <c r="Y22">
        <f>HYPERLINK("https://klasma.github.io/Logging_1784/tillsynsmail/A 7350-2025 tillsynsbegäran mail.docx", "A 7350-2025")</f>
        <v/>
      </c>
      <c r="Z22">
        <f>HYPERLINK("https://klasma.github.io/Logging_1784/fåglar/A 7350-2025 prioriterade fågelarter.docx", "A 7350-2025")</f>
        <v/>
      </c>
    </row>
    <row r="23" ht="15" customHeight="1">
      <c r="A23" t="inlineStr">
        <is>
          <t>A 5936-2025</t>
        </is>
      </c>
      <c r="B23" s="1" t="n">
        <v>45695</v>
      </c>
      <c r="C23" s="1" t="n">
        <v>46012</v>
      </c>
      <c r="D23" t="inlineStr">
        <is>
          <t>VÄRMLANDS LÄN</t>
        </is>
      </c>
      <c r="E23" t="inlineStr">
        <is>
          <t>ARVIKA</t>
        </is>
      </c>
      <c r="G23" t="n">
        <v>8.300000000000001</v>
      </c>
      <c r="H23" t="n">
        <v>3</v>
      </c>
      <c r="I23" t="n">
        <v>0</v>
      </c>
      <c r="J23" t="n">
        <v>2</v>
      </c>
      <c r="K23" t="n">
        <v>1</v>
      </c>
      <c r="L23" t="n">
        <v>0</v>
      </c>
      <c r="M23" t="n">
        <v>0</v>
      </c>
      <c r="N23" t="n">
        <v>0</v>
      </c>
      <c r="O23" t="n">
        <v>3</v>
      </c>
      <c r="P23" t="n">
        <v>1</v>
      </c>
      <c r="Q23" t="n">
        <v>3</v>
      </c>
      <c r="R23" s="2" t="inlineStr">
        <is>
          <t>Knärot
Mindre hackspett
Talltita</t>
        </is>
      </c>
      <c r="S23">
        <f>HYPERLINK("https://klasma.github.io/Logging_1784/artfynd/A 5936-2025 artfynd.xlsx", "A 5936-2025")</f>
        <v/>
      </c>
      <c r="T23">
        <f>HYPERLINK("https://klasma.github.io/Logging_1784/kartor/A 5936-2025 karta.png", "A 5936-2025")</f>
        <v/>
      </c>
      <c r="U23">
        <f>HYPERLINK("https://klasma.github.io/Logging_1784/knärot/A 5936-2025 karta knärot.png", "A 5936-2025")</f>
        <v/>
      </c>
      <c r="V23">
        <f>HYPERLINK("https://klasma.github.io/Logging_1784/klagomål/A 5936-2025 FSC-klagomål.docx", "A 5936-2025")</f>
        <v/>
      </c>
      <c r="W23">
        <f>HYPERLINK("https://klasma.github.io/Logging_1784/klagomålsmail/A 5936-2025 FSC-klagomål mail.docx", "A 5936-2025")</f>
        <v/>
      </c>
      <c r="X23">
        <f>HYPERLINK("https://klasma.github.io/Logging_1784/tillsyn/A 5936-2025 tillsynsbegäran.docx", "A 5936-2025")</f>
        <v/>
      </c>
      <c r="Y23">
        <f>HYPERLINK("https://klasma.github.io/Logging_1784/tillsynsmail/A 5936-2025 tillsynsbegäran mail.docx", "A 5936-2025")</f>
        <v/>
      </c>
      <c r="Z23">
        <f>HYPERLINK("https://klasma.github.io/Logging_1784/fåglar/A 5936-2025 prioriterade fågelarter.docx", "A 5936-2025")</f>
        <v/>
      </c>
    </row>
    <row r="24" ht="15" customHeight="1">
      <c r="A24" t="inlineStr">
        <is>
          <t>A 23084-2024</t>
        </is>
      </c>
      <c r="B24" s="1" t="n">
        <v>45450</v>
      </c>
      <c r="C24" s="1" t="n">
        <v>46012</v>
      </c>
      <c r="D24" t="inlineStr">
        <is>
          <t>VÄRMLANDS LÄN</t>
        </is>
      </c>
      <c r="E24" t="inlineStr">
        <is>
          <t>ARVIKA</t>
        </is>
      </c>
      <c r="F24" t="inlineStr">
        <is>
          <t>Bergvik skog väst AB</t>
        </is>
      </c>
      <c r="G24" t="n">
        <v>0.7</v>
      </c>
      <c r="H24" t="n">
        <v>2</v>
      </c>
      <c r="I24" t="n">
        <v>0</v>
      </c>
      <c r="J24" t="n">
        <v>1</v>
      </c>
      <c r="K24" t="n">
        <v>1</v>
      </c>
      <c r="L24" t="n">
        <v>0</v>
      </c>
      <c r="M24" t="n">
        <v>0</v>
      </c>
      <c r="N24" t="n">
        <v>0</v>
      </c>
      <c r="O24" t="n">
        <v>2</v>
      </c>
      <c r="P24" t="n">
        <v>1</v>
      </c>
      <c r="Q24" t="n">
        <v>3</v>
      </c>
      <c r="R24" s="2" t="inlineStr">
        <is>
          <t>Knärot
Vedskivlav
Tjäder</t>
        </is>
      </c>
      <c r="S24">
        <f>HYPERLINK("https://klasma.github.io/Logging_1784/artfynd/A 23084-2024 artfynd.xlsx", "A 23084-2024")</f>
        <v/>
      </c>
      <c r="T24">
        <f>HYPERLINK("https://klasma.github.io/Logging_1784/kartor/A 23084-2024 karta.png", "A 23084-2024")</f>
        <v/>
      </c>
      <c r="U24">
        <f>HYPERLINK("https://klasma.github.io/Logging_1784/knärot/A 23084-2024 karta knärot.png", "A 23084-2024")</f>
        <v/>
      </c>
      <c r="V24">
        <f>HYPERLINK("https://klasma.github.io/Logging_1784/klagomål/A 23084-2024 FSC-klagomål.docx", "A 23084-2024")</f>
        <v/>
      </c>
      <c r="W24">
        <f>HYPERLINK("https://klasma.github.io/Logging_1784/klagomålsmail/A 23084-2024 FSC-klagomål mail.docx", "A 23084-2024")</f>
        <v/>
      </c>
      <c r="X24">
        <f>HYPERLINK("https://klasma.github.io/Logging_1784/tillsyn/A 23084-2024 tillsynsbegäran.docx", "A 23084-2024")</f>
        <v/>
      </c>
      <c r="Y24">
        <f>HYPERLINK("https://klasma.github.io/Logging_1784/tillsynsmail/A 23084-2024 tillsynsbegäran mail.docx", "A 23084-2024")</f>
        <v/>
      </c>
      <c r="Z24">
        <f>HYPERLINK("https://klasma.github.io/Logging_1784/fåglar/A 23084-2024 prioriterade fågelarter.docx", "A 23084-2024")</f>
        <v/>
      </c>
    </row>
    <row r="25" ht="15" customHeight="1">
      <c r="A25" t="inlineStr">
        <is>
          <t>A 21248-2024</t>
        </is>
      </c>
      <c r="B25" s="1" t="n">
        <v>45440</v>
      </c>
      <c r="C25" s="1" t="n">
        <v>46012</v>
      </c>
      <c r="D25" t="inlineStr">
        <is>
          <t>VÄRMLANDS LÄN</t>
        </is>
      </c>
      <c r="E25" t="inlineStr">
        <is>
          <t>ARVIKA</t>
        </is>
      </c>
      <c r="F25" t="inlineStr">
        <is>
          <t>Bergvik skog väst AB</t>
        </is>
      </c>
      <c r="G25" t="n">
        <v>1.1</v>
      </c>
      <c r="H25" t="n">
        <v>2</v>
      </c>
      <c r="I25" t="n">
        <v>1</v>
      </c>
      <c r="J25" t="n">
        <v>1</v>
      </c>
      <c r="K25" t="n">
        <v>1</v>
      </c>
      <c r="L25" t="n">
        <v>0</v>
      </c>
      <c r="M25" t="n">
        <v>0</v>
      </c>
      <c r="N25" t="n">
        <v>0</v>
      </c>
      <c r="O25" t="n">
        <v>2</v>
      </c>
      <c r="P25" t="n">
        <v>1</v>
      </c>
      <c r="Q25" t="n">
        <v>3</v>
      </c>
      <c r="R25" s="2" t="inlineStr">
        <is>
          <t>Knärot
Talltita
Skinnlav</t>
        </is>
      </c>
      <c r="S25">
        <f>HYPERLINK("https://klasma.github.io/Logging_1784/artfynd/A 21248-2024 artfynd.xlsx", "A 21248-2024")</f>
        <v/>
      </c>
      <c r="T25">
        <f>HYPERLINK("https://klasma.github.io/Logging_1784/kartor/A 21248-2024 karta.png", "A 21248-2024")</f>
        <v/>
      </c>
      <c r="U25">
        <f>HYPERLINK("https://klasma.github.io/Logging_1784/knärot/A 21248-2024 karta knärot.png", "A 21248-2024")</f>
        <v/>
      </c>
      <c r="V25">
        <f>HYPERLINK("https://klasma.github.io/Logging_1784/klagomål/A 21248-2024 FSC-klagomål.docx", "A 21248-2024")</f>
        <v/>
      </c>
      <c r="W25">
        <f>HYPERLINK("https://klasma.github.io/Logging_1784/klagomålsmail/A 21248-2024 FSC-klagomål mail.docx", "A 21248-2024")</f>
        <v/>
      </c>
      <c r="X25">
        <f>HYPERLINK("https://klasma.github.io/Logging_1784/tillsyn/A 21248-2024 tillsynsbegäran.docx", "A 21248-2024")</f>
        <v/>
      </c>
      <c r="Y25">
        <f>HYPERLINK("https://klasma.github.io/Logging_1784/tillsynsmail/A 21248-2024 tillsynsbegäran mail.docx", "A 21248-2024")</f>
        <v/>
      </c>
      <c r="Z25">
        <f>HYPERLINK("https://klasma.github.io/Logging_1784/fåglar/A 21248-2024 prioriterade fågelarter.docx", "A 21248-2024")</f>
        <v/>
      </c>
    </row>
    <row r="26" ht="15" customHeight="1">
      <c r="A26" t="inlineStr">
        <is>
          <t>A 59095-2024</t>
        </is>
      </c>
      <c r="B26" s="1" t="n">
        <v>45637</v>
      </c>
      <c r="C26" s="1" t="n">
        <v>46012</v>
      </c>
      <c r="D26" t="inlineStr">
        <is>
          <t>VÄRMLANDS LÄN</t>
        </is>
      </c>
      <c r="E26" t="inlineStr">
        <is>
          <t>ARVIKA</t>
        </is>
      </c>
      <c r="G26" t="n">
        <v>1.4</v>
      </c>
      <c r="H26" t="n">
        <v>0</v>
      </c>
      <c r="I26" t="n">
        <v>2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1</v>
      </c>
      <c r="P26" t="n">
        <v>0</v>
      </c>
      <c r="Q26" t="n">
        <v>3</v>
      </c>
      <c r="R26" s="2" t="inlineStr">
        <is>
          <t>Grynig filtlav
Bårdlav
Stuplav</t>
        </is>
      </c>
      <c r="S26">
        <f>HYPERLINK("https://klasma.github.io/Logging_1784/artfynd/A 59095-2024 artfynd.xlsx", "A 59095-2024")</f>
        <v/>
      </c>
      <c r="T26">
        <f>HYPERLINK("https://klasma.github.io/Logging_1784/kartor/A 59095-2024 karta.png", "A 59095-2024")</f>
        <v/>
      </c>
      <c r="U26">
        <f>HYPERLINK("https://klasma.github.io/Logging_1784/knärot/A 59095-2024 karta knärot.png", "A 59095-2024")</f>
        <v/>
      </c>
      <c r="V26">
        <f>HYPERLINK("https://klasma.github.io/Logging_1784/klagomål/A 59095-2024 FSC-klagomål.docx", "A 59095-2024")</f>
        <v/>
      </c>
      <c r="W26">
        <f>HYPERLINK("https://klasma.github.io/Logging_1784/klagomålsmail/A 59095-2024 FSC-klagomål mail.docx", "A 59095-2024")</f>
        <v/>
      </c>
      <c r="X26">
        <f>HYPERLINK("https://klasma.github.io/Logging_1784/tillsyn/A 59095-2024 tillsynsbegäran.docx", "A 59095-2024")</f>
        <v/>
      </c>
      <c r="Y26">
        <f>HYPERLINK("https://klasma.github.io/Logging_1784/tillsynsmail/A 59095-2024 tillsynsbegäran mail.docx", "A 59095-2024")</f>
        <v/>
      </c>
    </row>
    <row r="27" ht="15" customHeight="1">
      <c r="A27" t="inlineStr">
        <is>
          <t>A 69928-2021</t>
        </is>
      </c>
      <c r="B27" s="1" t="n">
        <v>44533</v>
      </c>
      <c r="C27" s="1" t="n">
        <v>46012</v>
      </c>
      <c r="D27" t="inlineStr">
        <is>
          <t>VÄRMLANDS LÄN</t>
        </is>
      </c>
      <c r="E27" t="inlineStr">
        <is>
          <t>ARVIKA</t>
        </is>
      </c>
      <c r="G27" t="n">
        <v>1.9</v>
      </c>
      <c r="H27" t="n">
        <v>0</v>
      </c>
      <c r="I27" t="n">
        <v>1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1</v>
      </c>
      <c r="P27" t="n">
        <v>0</v>
      </c>
      <c r="Q27" t="n">
        <v>2</v>
      </c>
      <c r="R27" s="2" t="inlineStr">
        <is>
          <t>Orange taggsvamp
Rödgul trumpetsvamp</t>
        </is>
      </c>
      <c r="S27">
        <f>HYPERLINK("https://klasma.github.io/Logging_1784/artfynd/A 69928-2021 artfynd.xlsx", "A 69928-2021")</f>
        <v/>
      </c>
      <c r="T27">
        <f>HYPERLINK("https://klasma.github.io/Logging_1784/kartor/A 69928-2021 karta.png", "A 69928-2021")</f>
        <v/>
      </c>
      <c r="V27">
        <f>HYPERLINK("https://klasma.github.io/Logging_1784/klagomål/A 69928-2021 FSC-klagomål.docx", "A 69928-2021")</f>
        <v/>
      </c>
      <c r="W27">
        <f>HYPERLINK("https://klasma.github.io/Logging_1784/klagomålsmail/A 69928-2021 FSC-klagomål mail.docx", "A 69928-2021")</f>
        <v/>
      </c>
      <c r="X27">
        <f>HYPERLINK("https://klasma.github.io/Logging_1784/tillsyn/A 69928-2021 tillsynsbegäran.docx", "A 69928-2021")</f>
        <v/>
      </c>
      <c r="Y27">
        <f>HYPERLINK("https://klasma.github.io/Logging_1784/tillsynsmail/A 69928-2021 tillsynsbegäran mail.docx", "A 69928-2021")</f>
        <v/>
      </c>
    </row>
    <row r="28" ht="15" customHeight="1">
      <c r="A28" t="inlineStr">
        <is>
          <t>A 51769-2022</t>
        </is>
      </c>
      <c r="B28" s="1" t="n">
        <v>44872</v>
      </c>
      <c r="C28" s="1" t="n">
        <v>46012</v>
      </c>
      <c r="D28" t="inlineStr">
        <is>
          <t>VÄRMLANDS LÄN</t>
        </is>
      </c>
      <c r="E28" t="inlineStr">
        <is>
          <t>ARVIKA</t>
        </is>
      </c>
      <c r="F28" t="inlineStr">
        <is>
          <t>Kyrkan</t>
        </is>
      </c>
      <c r="G28" t="n">
        <v>1.9</v>
      </c>
      <c r="H28" t="n">
        <v>1</v>
      </c>
      <c r="I28" t="n">
        <v>1</v>
      </c>
      <c r="J28" t="n">
        <v>0</v>
      </c>
      <c r="K28" t="n">
        <v>1</v>
      </c>
      <c r="L28" t="n">
        <v>0</v>
      </c>
      <c r="M28" t="n">
        <v>0</v>
      </c>
      <c r="N28" t="n">
        <v>0</v>
      </c>
      <c r="O28" t="n">
        <v>1</v>
      </c>
      <c r="P28" t="n">
        <v>1</v>
      </c>
      <c r="Q28" t="n">
        <v>2</v>
      </c>
      <c r="R28" s="2" t="inlineStr">
        <is>
          <t>Knärot
Grönpyrola</t>
        </is>
      </c>
      <c r="S28">
        <f>HYPERLINK("https://klasma.github.io/Logging_1784/artfynd/A 51769-2022 artfynd.xlsx", "A 51769-2022")</f>
        <v/>
      </c>
      <c r="T28">
        <f>HYPERLINK("https://klasma.github.io/Logging_1784/kartor/A 51769-2022 karta.png", "A 51769-2022")</f>
        <v/>
      </c>
      <c r="U28">
        <f>HYPERLINK("https://klasma.github.io/Logging_1784/knärot/A 51769-2022 karta knärot.png", "A 51769-2022")</f>
        <v/>
      </c>
      <c r="V28">
        <f>HYPERLINK("https://klasma.github.io/Logging_1784/klagomål/A 51769-2022 FSC-klagomål.docx", "A 51769-2022")</f>
        <v/>
      </c>
      <c r="W28">
        <f>HYPERLINK("https://klasma.github.io/Logging_1784/klagomålsmail/A 51769-2022 FSC-klagomål mail.docx", "A 51769-2022")</f>
        <v/>
      </c>
      <c r="X28">
        <f>HYPERLINK("https://klasma.github.io/Logging_1784/tillsyn/A 51769-2022 tillsynsbegäran.docx", "A 51769-2022")</f>
        <v/>
      </c>
      <c r="Y28">
        <f>HYPERLINK("https://klasma.github.io/Logging_1784/tillsynsmail/A 51769-2022 tillsynsbegäran mail.docx", "A 51769-2022")</f>
        <v/>
      </c>
    </row>
    <row r="29" ht="15" customHeight="1">
      <c r="A29" t="inlineStr">
        <is>
          <t>A 66652-2021</t>
        </is>
      </c>
      <c r="B29" s="1" t="n">
        <v>44519</v>
      </c>
      <c r="C29" s="1" t="n">
        <v>46012</v>
      </c>
      <c r="D29" t="inlineStr">
        <is>
          <t>VÄRMLANDS LÄN</t>
        </is>
      </c>
      <c r="E29" t="inlineStr">
        <is>
          <t>ARVIKA</t>
        </is>
      </c>
      <c r="G29" t="n">
        <v>12.3</v>
      </c>
      <c r="H29" t="n">
        <v>0</v>
      </c>
      <c r="I29" t="n">
        <v>1</v>
      </c>
      <c r="J29" t="n">
        <v>1</v>
      </c>
      <c r="K29" t="n">
        <v>0</v>
      </c>
      <c r="L29" t="n">
        <v>0</v>
      </c>
      <c r="M29" t="n">
        <v>0</v>
      </c>
      <c r="N29" t="n">
        <v>0</v>
      </c>
      <c r="O29" t="n">
        <v>1</v>
      </c>
      <c r="P29" t="n">
        <v>0</v>
      </c>
      <c r="Q29" t="n">
        <v>2</v>
      </c>
      <c r="R29" s="2" t="inlineStr">
        <is>
          <t>Garnlav
Korallblylav</t>
        </is>
      </c>
      <c r="S29">
        <f>HYPERLINK("https://klasma.github.io/Logging_1784/artfynd/A 66652-2021 artfynd.xlsx", "A 66652-2021")</f>
        <v/>
      </c>
      <c r="T29">
        <f>HYPERLINK("https://klasma.github.io/Logging_1784/kartor/A 66652-2021 karta.png", "A 66652-2021")</f>
        <v/>
      </c>
      <c r="V29">
        <f>HYPERLINK("https://klasma.github.io/Logging_1784/klagomål/A 66652-2021 FSC-klagomål.docx", "A 66652-2021")</f>
        <v/>
      </c>
      <c r="W29">
        <f>HYPERLINK("https://klasma.github.io/Logging_1784/klagomålsmail/A 66652-2021 FSC-klagomål mail.docx", "A 66652-2021")</f>
        <v/>
      </c>
      <c r="X29">
        <f>HYPERLINK("https://klasma.github.io/Logging_1784/tillsyn/A 66652-2021 tillsynsbegäran.docx", "A 66652-2021")</f>
        <v/>
      </c>
      <c r="Y29">
        <f>HYPERLINK("https://klasma.github.io/Logging_1784/tillsynsmail/A 66652-2021 tillsynsbegäran mail.docx", "A 66652-2021")</f>
        <v/>
      </c>
    </row>
    <row r="30" ht="15" customHeight="1">
      <c r="A30" t="inlineStr">
        <is>
          <t>A 57149-2025</t>
        </is>
      </c>
      <c r="B30" s="1" t="n">
        <v>45979.4978587963</v>
      </c>
      <c r="C30" s="1" t="n">
        <v>46012</v>
      </c>
      <c r="D30" t="inlineStr">
        <is>
          <t>VÄRMLANDS LÄN</t>
        </is>
      </c>
      <c r="E30" t="inlineStr">
        <is>
          <t>ARVIKA</t>
        </is>
      </c>
      <c r="G30" t="n">
        <v>3</v>
      </c>
      <c r="H30" t="n">
        <v>2</v>
      </c>
      <c r="I30" t="n">
        <v>0</v>
      </c>
      <c r="J30" t="n">
        <v>1</v>
      </c>
      <c r="K30" t="n">
        <v>1</v>
      </c>
      <c r="L30" t="n">
        <v>0</v>
      </c>
      <c r="M30" t="n">
        <v>0</v>
      </c>
      <c r="N30" t="n">
        <v>0</v>
      </c>
      <c r="O30" t="n">
        <v>2</v>
      </c>
      <c r="P30" t="n">
        <v>1</v>
      </c>
      <c r="Q30" t="n">
        <v>2</v>
      </c>
      <c r="R30" s="2" t="inlineStr">
        <is>
          <t>Knärot
Spillkråka</t>
        </is>
      </c>
      <c r="S30">
        <f>HYPERLINK("https://klasma.github.io/Logging_1784/artfynd/A 57149-2025 artfynd.xlsx", "A 57149-2025")</f>
        <v/>
      </c>
      <c r="T30">
        <f>HYPERLINK("https://klasma.github.io/Logging_1784/kartor/A 57149-2025 karta.png", "A 57149-2025")</f>
        <v/>
      </c>
      <c r="U30">
        <f>HYPERLINK("https://klasma.github.io/Logging_1784/knärot/A 57149-2025 karta knärot.png", "A 57149-2025")</f>
        <v/>
      </c>
      <c r="V30">
        <f>HYPERLINK("https://klasma.github.io/Logging_1784/klagomål/A 57149-2025 FSC-klagomål.docx", "A 57149-2025")</f>
        <v/>
      </c>
      <c r="W30">
        <f>HYPERLINK("https://klasma.github.io/Logging_1784/klagomålsmail/A 57149-2025 FSC-klagomål mail.docx", "A 57149-2025")</f>
        <v/>
      </c>
      <c r="X30">
        <f>HYPERLINK("https://klasma.github.io/Logging_1784/tillsyn/A 57149-2025 tillsynsbegäran.docx", "A 57149-2025")</f>
        <v/>
      </c>
      <c r="Y30">
        <f>HYPERLINK("https://klasma.github.io/Logging_1784/tillsynsmail/A 57149-2025 tillsynsbegäran mail.docx", "A 57149-2025")</f>
        <v/>
      </c>
      <c r="Z30">
        <f>HYPERLINK("https://klasma.github.io/Logging_1784/fåglar/A 57149-2025 prioriterade fågelarter.docx", "A 57149-2025")</f>
        <v/>
      </c>
    </row>
    <row r="31" ht="15" customHeight="1">
      <c r="A31" t="inlineStr">
        <is>
          <t>A 45750-2021</t>
        </is>
      </c>
      <c r="B31" s="1" t="n">
        <v>44435</v>
      </c>
      <c r="C31" s="1" t="n">
        <v>46012</v>
      </c>
      <c r="D31" t="inlineStr">
        <is>
          <t>VÄRMLANDS LÄN</t>
        </is>
      </c>
      <c r="E31" t="inlineStr">
        <is>
          <t>ARVIKA</t>
        </is>
      </c>
      <c r="G31" t="n">
        <v>2.1</v>
      </c>
      <c r="H31" t="n">
        <v>1</v>
      </c>
      <c r="I31" t="n">
        <v>0</v>
      </c>
      <c r="J31" t="n">
        <v>2</v>
      </c>
      <c r="K31" t="n">
        <v>0</v>
      </c>
      <c r="L31" t="n">
        <v>0</v>
      </c>
      <c r="M31" t="n">
        <v>0</v>
      </c>
      <c r="N31" t="n">
        <v>0</v>
      </c>
      <c r="O31" t="n">
        <v>2</v>
      </c>
      <c r="P31" t="n">
        <v>0</v>
      </c>
      <c r="Q31" t="n">
        <v>2</v>
      </c>
      <c r="R31" s="2" t="inlineStr">
        <is>
          <t>Lunglav
Talltita</t>
        </is>
      </c>
      <c r="S31">
        <f>HYPERLINK("https://klasma.github.io/Logging_1784/artfynd/A 45750-2021 artfynd.xlsx", "A 45750-2021")</f>
        <v/>
      </c>
      <c r="T31">
        <f>HYPERLINK("https://klasma.github.io/Logging_1784/kartor/A 45750-2021 karta.png", "A 45750-2021")</f>
        <v/>
      </c>
      <c r="V31">
        <f>HYPERLINK("https://klasma.github.io/Logging_1784/klagomål/A 45750-2021 FSC-klagomål.docx", "A 45750-2021")</f>
        <v/>
      </c>
      <c r="W31">
        <f>HYPERLINK("https://klasma.github.io/Logging_1784/klagomålsmail/A 45750-2021 FSC-klagomål mail.docx", "A 45750-2021")</f>
        <v/>
      </c>
      <c r="X31">
        <f>HYPERLINK("https://klasma.github.io/Logging_1784/tillsyn/A 45750-2021 tillsynsbegäran.docx", "A 45750-2021")</f>
        <v/>
      </c>
      <c r="Y31">
        <f>HYPERLINK("https://klasma.github.io/Logging_1784/tillsynsmail/A 45750-2021 tillsynsbegäran mail.docx", "A 45750-2021")</f>
        <v/>
      </c>
      <c r="Z31">
        <f>HYPERLINK("https://klasma.github.io/Logging_1784/fåglar/A 45750-2021 prioriterade fågelarter.docx", "A 45750-2021")</f>
        <v/>
      </c>
    </row>
    <row r="32" ht="15" customHeight="1">
      <c r="A32" t="inlineStr">
        <is>
          <t>A 23083-2024</t>
        </is>
      </c>
      <c r="B32" s="1" t="n">
        <v>45450</v>
      </c>
      <c r="C32" s="1" t="n">
        <v>46012</v>
      </c>
      <c r="D32" t="inlineStr">
        <is>
          <t>VÄRMLANDS LÄN</t>
        </is>
      </c>
      <c r="E32" t="inlineStr">
        <is>
          <t>ARVIKA</t>
        </is>
      </c>
      <c r="F32" t="inlineStr">
        <is>
          <t>Bergvik skog väst AB</t>
        </is>
      </c>
      <c r="G32" t="n">
        <v>1.2</v>
      </c>
      <c r="H32" t="n">
        <v>1</v>
      </c>
      <c r="I32" t="n">
        <v>0</v>
      </c>
      <c r="J32" t="n">
        <v>1</v>
      </c>
      <c r="K32" t="n">
        <v>1</v>
      </c>
      <c r="L32" t="n">
        <v>0</v>
      </c>
      <c r="M32" t="n">
        <v>0</v>
      </c>
      <c r="N32" t="n">
        <v>0</v>
      </c>
      <c r="O32" t="n">
        <v>2</v>
      </c>
      <c r="P32" t="n">
        <v>1</v>
      </c>
      <c r="Q32" t="n">
        <v>2</v>
      </c>
      <c r="R32" s="2" t="inlineStr">
        <is>
          <t>Knärot
Gultoppig fingersvamp</t>
        </is>
      </c>
      <c r="S32">
        <f>HYPERLINK("https://klasma.github.io/Logging_1784/artfynd/A 23083-2024 artfynd.xlsx", "A 23083-2024")</f>
        <v/>
      </c>
      <c r="T32">
        <f>HYPERLINK("https://klasma.github.io/Logging_1784/kartor/A 23083-2024 karta.png", "A 23083-2024")</f>
        <v/>
      </c>
      <c r="U32">
        <f>HYPERLINK("https://klasma.github.io/Logging_1784/knärot/A 23083-2024 karta knärot.png", "A 23083-2024")</f>
        <v/>
      </c>
      <c r="V32">
        <f>HYPERLINK("https://klasma.github.io/Logging_1784/klagomål/A 23083-2024 FSC-klagomål.docx", "A 23083-2024")</f>
        <v/>
      </c>
      <c r="W32">
        <f>HYPERLINK("https://klasma.github.io/Logging_1784/klagomålsmail/A 23083-2024 FSC-klagomål mail.docx", "A 23083-2024")</f>
        <v/>
      </c>
      <c r="X32">
        <f>HYPERLINK("https://klasma.github.io/Logging_1784/tillsyn/A 23083-2024 tillsynsbegäran.docx", "A 23083-2024")</f>
        <v/>
      </c>
      <c r="Y32">
        <f>HYPERLINK("https://klasma.github.io/Logging_1784/tillsynsmail/A 23083-2024 tillsynsbegäran mail.docx", "A 23083-2024")</f>
        <v/>
      </c>
    </row>
    <row r="33" ht="15" customHeight="1">
      <c r="A33" t="inlineStr">
        <is>
          <t>A 43389-2023</t>
        </is>
      </c>
      <c r="B33" s="1" t="n">
        <v>45183</v>
      </c>
      <c r="C33" s="1" t="n">
        <v>46012</v>
      </c>
      <c r="D33" t="inlineStr">
        <is>
          <t>VÄRMLANDS LÄN</t>
        </is>
      </c>
      <c r="E33" t="inlineStr">
        <is>
          <t>ARVIKA</t>
        </is>
      </c>
      <c r="G33" t="n">
        <v>0.9</v>
      </c>
      <c r="H33" t="n">
        <v>1</v>
      </c>
      <c r="I33" t="n">
        <v>0</v>
      </c>
      <c r="J33" t="n">
        <v>0</v>
      </c>
      <c r="K33" t="n">
        <v>1</v>
      </c>
      <c r="L33" t="n">
        <v>1</v>
      </c>
      <c r="M33" t="n">
        <v>0</v>
      </c>
      <c r="N33" t="n">
        <v>0</v>
      </c>
      <c r="O33" t="n">
        <v>2</v>
      </c>
      <c r="P33" t="n">
        <v>2</v>
      </c>
      <c r="Q33" t="n">
        <v>2</v>
      </c>
      <c r="R33" s="2" t="inlineStr">
        <is>
          <t>Raggtaggsvamp
Knärot</t>
        </is>
      </c>
      <c r="S33">
        <f>HYPERLINK("https://klasma.github.io/Logging_1784/artfynd/A 43389-2023 artfynd.xlsx", "A 43389-2023")</f>
        <v/>
      </c>
      <c r="T33">
        <f>HYPERLINK("https://klasma.github.io/Logging_1784/kartor/A 43389-2023 karta.png", "A 43389-2023")</f>
        <v/>
      </c>
      <c r="U33">
        <f>HYPERLINK("https://klasma.github.io/Logging_1784/knärot/A 43389-2023 karta knärot.png", "A 43389-2023")</f>
        <v/>
      </c>
      <c r="V33">
        <f>HYPERLINK("https://klasma.github.io/Logging_1784/klagomål/A 43389-2023 FSC-klagomål.docx", "A 43389-2023")</f>
        <v/>
      </c>
      <c r="W33">
        <f>HYPERLINK("https://klasma.github.io/Logging_1784/klagomålsmail/A 43389-2023 FSC-klagomål mail.docx", "A 43389-2023")</f>
        <v/>
      </c>
      <c r="X33">
        <f>HYPERLINK("https://klasma.github.io/Logging_1784/tillsyn/A 43389-2023 tillsynsbegäran.docx", "A 43389-2023")</f>
        <v/>
      </c>
      <c r="Y33">
        <f>HYPERLINK("https://klasma.github.io/Logging_1784/tillsynsmail/A 43389-2023 tillsynsbegäran mail.docx", "A 43389-2023")</f>
        <v/>
      </c>
    </row>
    <row r="34" ht="15" customHeight="1">
      <c r="A34" t="inlineStr">
        <is>
          <t>A 8591-2023</t>
        </is>
      </c>
      <c r="B34" s="1" t="n">
        <v>44977</v>
      </c>
      <c r="C34" s="1" t="n">
        <v>46012</v>
      </c>
      <c r="D34" t="inlineStr">
        <is>
          <t>VÄRMLANDS LÄN</t>
        </is>
      </c>
      <c r="E34" t="inlineStr">
        <is>
          <t>ARVIKA</t>
        </is>
      </c>
      <c r="G34" t="n">
        <v>6</v>
      </c>
      <c r="H34" t="n">
        <v>1</v>
      </c>
      <c r="I34" t="n">
        <v>1</v>
      </c>
      <c r="J34" t="n">
        <v>0</v>
      </c>
      <c r="K34" t="n">
        <v>1</v>
      </c>
      <c r="L34" t="n">
        <v>0</v>
      </c>
      <c r="M34" t="n">
        <v>0</v>
      </c>
      <c r="N34" t="n">
        <v>0</v>
      </c>
      <c r="O34" t="n">
        <v>1</v>
      </c>
      <c r="P34" t="n">
        <v>1</v>
      </c>
      <c r="Q34" t="n">
        <v>2</v>
      </c>
      <c r="R34" s="2" t="inlineStr">
        <is>
          <t>Knärot
Fjällig taggsvamp s.str.</t>
        </is>
      </c>
      <c r="S34">
        <f>HYPERLINK("https://klasma.github.io/Logging_1784/artfynd/A 8591-2023 artfynd.xlsx", "A 8591-2023")</f>
        <v/>
      </c>
      <c r="T34">
        <f>HYPERLINK("https://klasma.github.io/Logging_1784/kartor/A 8591-2023 karta.png", "A 8591-2023")</f>
        <v/>
      </c>
      <c r="U34">
        <f>HYPERLINK("https://klasma.github.io/Logging_1784/knärot/A 8591-2023 karta knärot.png", "A 8591-2023")</f>
        <v/>
      </c>
      <c r="V34">
        <f>HYPERLINK("https://klasma.github.io/Logging_1784/klagomål/A 8591-2023 FSC-klagomål.docx", "A 8591-2023")</f>
        <v/>
      </c>
      <c r="W34">
        <f>HYPERLINK("https://klasma.github.io/Logging_1784/klagomålsmail/A 8591-2023 FSC-klagomål mail.docx", "A 8591-2023")</f>
        <v/>
      </c>
      <c r="X34">
        <f>HYPERLINK("https://klasma.github.io/Logging_1784/tillsyn/A 8591-2023 tillsynsbegäran.docx", "A 8591-2023")</f>
        <v/>
      </c>
      <c r="Y34">
        <f>HYPERLINK("https://klasma.github.io/Logging_1784/tillsynsmail/A 8591-2023 tillsynsbegäran mail.docx", "A 8591-2023")</f>
        <v/>
      </c>
    </row>
    <row r="35" ht="15" customHeight="1">
      <c r="A35" t="inlineStr">
        <is>
          <t>A 9032-2025</t>
        </is>
      </c>
      <c r="B35" s="1" t="n">
        <v>45713</v>
      </c>
      <c r="C35" s="1" t="n">
        <v>46012</v>
      </c>
      <c r="D35" t="inlineStr">
        <is>
          <t>VÄRMLANDS LÄN</t>
        </is>
      </c>
      <c r="E35" t="inlineStr">
        <is>
          <t>ARVIKA</t>
        </is>
      </c>
      <c r="G35" t="n">
        <v>3.2</v>
      </c>
      <c r="H35" t="n">
        <v>2</v>
      </c>
      <c r="I35" t="n">
        <v>0</v>
      </c>
      <c r="J35" t="n">
        <v>2</v>
      </c>
      <c r="K35" t="n">
        <v>0</v>
      </c>
      <c r="L35" t="n">
        <v>0</v>
      </c>
      <c r="M35" t="n">
        <v>0</v>
      </c>
      <c r="N35" t="n">
        <v>0</v>
      </c>
      <c r="O35" t="n">
        <v>2</v>
      </c>
      <c r="P35" t="n">
        <v>0</v>
      </c>
      <c r="Q35" t="n">
        <v>2</v>
      </c>
      <c r="R35" s="2" t="inlineStr">
        <is>
          <t>Spillkråka
Talltita</t>
        </is>
      </c>
      <c r="S35">
        <f>HYPERLINK("https://klasma.github.io/Logging_1784/artfynd/A 9032-2025 artfynd.xlsx", "A 9032-2025")</f>
        <v/>
      </c>
      <c r="T35">
        <f>HYPERLINK("https://klasma.github.io/Logging_1784/kartor/A 9032-2025 karta.png", "A 9032-2025")</f>
        <v/>
      </c>
      <c r="V35">
        <f>HYPERLINK("https://klasma.github.io/Logging_1784/klagomål/A 9032-2025 FSC-klagomål.docx", "A 9032-2025")</f>
        <v/>
      </c>
      <c r="W35">
        <f>HYPERLINK("https://klasma.github.io/Logging_1784/klagomålsmail/A 9032-2025 FSC-klagomål mail.docx", "A 9032-2025")</f>
        <v/>
      </c>
      <c r="X35">
        <f>HYPERLINK("https://klasma.github.io/Logging_1784/tillsyn/A 9032-2025 tillsynsbegäran.docx", "A 9032-2025")</f>
        <v/>
      </c>
      <c r="Y35">
        <f>HYPERLINK("https://klasma.github.io/Logging_1784/tillsynsmail/A 9032-2025 tillsynsbegäran mail.docx", "A 9032-2025")</f>
        <v/>
      </c>
      <c r="Z35">
        <f>HYPERLINK("https://klasma.github.io/Logging_1784/fåglar/A 9032-2025 prioriterade fågelarter.docx", "A 9032-2025")</f>
        <v/>
      </c>
    </row>
    <row r="36" ht="15" customHeight="1">
      <c r="A36" t="inlineStr">
        <is>
          <t>A 3340-2022</t>
        </is>
      </c>
      <c r="B36" s="1" t="n">
        <v>44585</v>
      </c>
      <c r="C36" s="1" t="n">
        <v>46012</v>
      </c>
      <c r="D36" t="inlineStr">
        <is>
          <t>VÄRMLANDS LÄN</t>
        </is>
      </c>
      <c r="E36" t="inlineStr">
        <is>
          <t>ARVIKA</t>
        </is>
      </c>
      <c r="G36" t="n">
        <v>5</v>
      </c>
      <c r="H36" t="n">
        <v>0</v>
      </c>
      <c r="I36" t="n">
        <v>2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2</v>
      </c>
      <c r="R36" s="2" t="inlineStr">
        <is>
          <t>Skinnlav
Stor aspticka</t>
        </is>
      </c>
      <c r="S36">
        <f>HYPERLINK("https://klasma.github.io/Logging_1784/artfynd/A 3340-2022 artfynd.xlsx", "A 3340-2022")</f>
        <v/>
      </c>
      <c r="T36">
        <f>HYPERLINK("https://klasma.github.io/Logging_1784/kartor/A 3340-2022 karta.png", "A 3340-2022")</f>
        <v/>
      </c>
      <c r="V36">
        <f>HYPERLINK("https://klasma.github.io/Logging_1784/klagomål/A 3340-2022 FSC-klagomål.docx", "A 3340-2022")</f>
        <v/>
      </c>
      <c r="W36">
        <f>HYPERLINK("https://klasma.github.io/Logging_1784/klagomålsmail/A 3340-2022 FSC-klagomål mail.docx", "A 3340-2022")</f>
        <v/>
      </c>
      <c r="X36">
        <f>HYPERLINK("https://klasma.github.io/Logging_1784/tillsyn/A 3340-2022 tillsynsbegäran.docx", "A 3340-2022")</f>
        <v/>
      </c>
      <c r="Y36">
        <f>HYPERLINK("https://klasma.github.io/Logging_1784/tillsynsmail/A 3340-2022 tillsynsbegäran mail.docx", "A 3340-2022")</f>
        <v/>
      </c>
    </row>
    <row r="37" ht="15" customHeight="1">
      <c r="A37" t="inlineStr">
        <is>
          <t>A 1506-2024</t>
        </is>
      </c>
      <c r="B37" s="1" t="n">
        <v>45306</v>
      </c>
      <c r="C37" s="1" t="n">
        <v>46012</v>
      </c>
      <c r="D37" t="inlineStr">
        <is>
          <t>VÄRMLANDS LÄN</t>
        </is>
      </c>
      <c r="E37" t="inlineStr">
        <is>
          <t>ARVIKA</t>
        </is>
      </c>
      <c r="G37" t="n">
        <v>11.3</v>
      </c>
      <c r="H37" t="n">
        <v>1</v>
      </c>
      <c r="I37" t="n">
        <v>1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2</v>
      </c>
      <c r="R37" s="2" t="inlineStr">
        <is>
          <t>Bronshjon
Mattlummer</t>
        </is>
      </c>
      <c r="S37">
        <f>HYPERLINK("https://klasma.github.io/Logging_1784/artfynd/A 1506-2024 artfynd.xlsx", "A 1506-2024")</f>
        <v/>
      </c>
      <c r="T37">
        <f>HYPERLINK("https://klasma.github.io/Logging_1784/kartor/A 1506-2024 karta.png", "A 1506-2024")</f>
        <v/>
      </c>
      <c r="V37">
        <f>HYPERLINK("https://klasma.github.io/Logging_1784/klagomål/A 1506-2024 FSC-klagomål.docx", "A 1506-2024")</f>
        <v/>
      </c>
      <c r="W37">
        <f>HYPERLINK("https://klasma.github.io/Logging_1784/klagomålsmail/A 1506-2024 FSC-klagomål mail.docx", "A 1506-2024")</f>
        <v/>
      </c>
      <c r="X37">
        <f>HYPERLINK("https://klasma.github.io/Logging_1784/tillsyn/A 1506-2024 tillsynsbegäran.docx", "A 1506-2024")</f>
        <v/>
      </c>
      <c r="Y37">
        <f>HYPERLINK("https://klasma.github.io/Logging_1784/tillsynsmail/A 1506-2024 tillsynsbegäran mail.docx", "A 1506-2024")</f>
        <v/>
      </c>
    </row>
    <row r="38" ht="15" customHeight="1">
      <c r="A38" t="inlineStr">
        <is>
          <t>A 45401-2023</t>
        </is>
      </c>
      <c r="B38" s="1" t="n">
        <v>45194</v>
      </c>
      <c r="C38" s="1" t="n">
        <v>46012</v>
      </c>
      <c r="D38" t="inlineStr">
        <is>
          <t>VÄRMLANDS LÄN</t>
        </is>
      </c>
      <c r="E38" t="inlineStr">
        <is>
          <t>ARVIKA</t>
        </is>
      </c>
      <c r="G38" t="n">
        <v>2.4</v>
      </c>
      <c r="H38" t="n">
        <v>1</v>
      </c>
      <c r="I38" t="n">
        <v>0</v>
      </c>
      <c r="J38" t="n">
        <v>1</v>
      </c>
      <c r="K38" t="n">
        <v>1</v>
      </c>
      <c r="L38" t="n">
        <v>0</v>
      </c>
      <c r="M38" t="n">
        <v>0</v>
      </c>
      <c r="N38" t="n">
        <v>0</v>
      </c>
      <c r="O38" t="n">
        <v>2</v>
      </c>
      <c r="P38" t="n">
        <v>1</v>
      </c>
      <c r="Q38" t="n">
        <v>2</v>
      </c>
      <c r="R38" s="2" t="inlineStr">
        <is>
          <t>Knärot
Skogsklocka</t>
        </is>
      </c>
      <c r="S38">
        <f>HYPERLINK("https://klasma.github.io/Logging_1784/artfynd/A 45401-2023 artfynd.xlsx", "A 45401-2023")</f>
        <v/>
      </c>
      <c r="T38">
        <f>HYPERLINK("https://klasma.github.io/Logging_1784/kartor/A 45401-2023 karta.png", "A 45401-2023")</f>
        <v/>
      </c>
      <c r="U38">
        <f>HYPERLINK("https://klasma.github.io/Logging_1784/knärot/A 45401-2023 karta knärot.png", "A 45401-2023")</f>
        <v/>
      </c>
      <c r="V38">
        <f>HYPERLINK("https://klasma.github.io/Logging_1784/klagomål/A 45401-2023 FSC-klagomål.docx", "A 45401-2023")</f>
        <v/>
      </c>
      <c r="W38">
        <f>HYPERLINK("https://klasma.github.io/Logging_1784/klagomålsmail/A 45401-2023 FSC-klagomål mail.docx", "A 45401-2023")</f>
        <v/>
      </c>
      <c r="X38">
        <f>HYPERLINK("https://klasma.github.io/Logging_1784/tillsyn/A 45401-2023 tillsynsbegäran.docx", "A 45401-2023")</f>
        <v/>
      </c>
      <c r="Y38">
        <f>HYPERLINK("https://klasma.github.io/Logging_1784/tillsynsmail/A 45401-2023 tillsynsbegäran mail.docx", "A 45401-2023")</f>
        <v/>
      </c>
    </row>
    <row r="39" ht="15" customHeight="1">
      <c r="A39" t="inlineStr">
        <is>
          <t>A 8038-2025</t>
        </is>
      </c>
      <c r="B39" s="1" t="n">
        <v>45707</v>
      </c>
      <c r="C39" s="1" t="n">
        <v>46012</v>
      </c>
      <c r="D39" t="inlineStr">
        <is>
          <t>VÄRMLANDS LÄN</t>
        </is>
      </c>
      <c r="E39" t="inlineStr">
        <is>
          <t>ARVIKA</t>
        </is>
      </c>
      <c r="F39" t="inlineStr">
        <is>
          <t>Övriga Aktiebolag</t>
        </is>
      </c>
      <c r="G39" t="n">
        <v>12.9</v>
      </c>
      <c r="H39" t="n">
        <v>2</v>
      </c>
      <c r="I39" t="n">
        <v>0</v>
      </c>
      <c r="J39" t="n">
        <v>2</v>
      </c>
      <c r="K39" t="n">
        <v>0</v>
      </c>
      <c r="L39" t="n">
        <v>0</v>
      </c>
      <c r="M39" t="n">
        <v>0</v>
      </c>
      <c r="N39" t="n">
        <v>0</v>
      </c>
      <c r="O39" t="n">
        <v>2</v>
      </c>
      <c r="P39" t="n">
        <v>0</v>
      </c>
      <c r="Q39" t="n">
        <v>2</v>
      </c>
      <c r="R39" s="2" t="inlineStr">
        <is>
          <t>Spillkråka
Talltita</t>
        </is>
      </c>
      <c r="S39">
        <f>HYPERLINK("https://klasma.github.io/Logging_1784/artfynd/A 8038-2025 artfynd.xlsx", "A 8038-2025")</f>
        <v/>
      </c>
      <c r="T39">
        <f>HYPERLINK("https://klasma.github.io/Logging_1784/kartor/A 8038-2025 karta.png", "A 8038-2025")</f>
        <v/>
      </c>
      <c r="V39">
        <f>HYPERLINK("https://klasma.github.io/Logging_1784/klagomål/A 8038-2025 FSC-klagomål.docx", "A 8038-2025")</f>
        <v/>
      </c>
      <c r="W39">
        <f>HYPERLINK("https://klasma.github.io/Logging_1784/klagomålsmail/A 8038-2025 FSC-klagomål mail.docx", "A 8038-2025")</f>
        <v/>
      </c>
      <c r="X39">
        <f>HYPERLINK("https://klasma.github.io/Logging_1784/tillsyn/A 8038-2025 tillsynsbegäran.docx", "A 8038-2025")</f>
        <v/>
      </c>
      <c r="Y39">
        <f>HYPERLINK("https://klasma.github.io/Logging_1784/tillsynsmail/A 8038-2025 tillsynsbegäran mail.docx", "A 8038-2025")</f>
        <v/>
      </c>
      <c r="Z39">
        <f>HYPERLINK("https://klasma.github.io/Logging_1784/fåglar/A 8038-2025 prioriterade fågelarter.docx", "A 8038-2025")</f>
        <v/>
      </c>
    </row>
    <row r="40" ht="15" customHeight="1">
      <c r="A40" t="inlineStr">
        <is>
          <t>A 54323-2021</t>
        </is>
      </c>
      <c r="B40" s="1" t="n">
        <v>44472</v>
      </c>
      <c r="C40" s="1" t="n">
        <v>46012</v>
      </c>
      <c r="D40" t="inlineStr">
        <is>
          <t>VÄRMLANDS LÄN</t>
        </is>
      </c>
      <c r="E40" t="inlineStr">
        <is>
          <t>ARVIKA</t>
        </is>
      </c>
      <c r="G40" t="n">
        <v>26.7</v>
      </c>
      <c r="H40" t="n">
        <v>0</v>
      </c>
      <c r="I40" t="n">
        <v>0</v>
      </c>
      <c r="J40" t="n">
        <v>2</v>
      </c>
      <c r="K40" t="n">
        <v>0</v>
      </c>
      <c r="L40" t="n">
        <v>0</v>
      </c>
      <c r="M40" t="n">
        <v>0</v>
      </c>
      <c r="N40" t="n">
        <v>0</v>
      </c>
      <c r="O40" t="n">
        <v>2</v>
      </c>
      <c r="P40" t="n">
        <v>0</v>
      </c>
      <c r="Q40" t="n">
        <v>2</v>
      </c>
      <c r="R40" s="2" t="inlineStr">
        <is>
          <t>Tallticka
Vedskivlav</t>
        </is>
      </c>
      <c r="S40">
        <f>HYPERLINK("https://klasma.github.io/Logging_1784/artfynd/A 54323-2021 artfynd.xlsx", "A 54323-2021")</f>
        <v/>
      </c>
      <c r="T40">
        <f>HYPERLINK("https://klasma.github.io/Logging_1784/kartor/A 54323-2021 karta.png", "A 54323-2021")</f>
        <v/>
      </c>
      <c r="V40">
        <f>HYPERLINK("https://klasma.github.io/Logging_1784/klagomål/A 54323-2021 FSC-klagomål.docx", "A 54323-2021")</f>
        <v/>
      </c>
      <c r="W40">
        <f>HYPERLINK("https://klasma.github.io/Logging_1784/klagomålsmail/A 54323-2021 FSC-klagomål mail.docx", "A 54323-2021")</f>
        <v/>
      </c>
      <c r="X40">
        <f>HYPERLINK("https://klasma.github.io/Logging_1784/tillsyn/A 54323-2021 tillsynsbegäran.docx", "A 54323-2021")</f>
        <v/>
      </c>
      <c r="Y40">
        <f>HYPERLINK("https://klasma.github.io/Logging_1784/tillsynsmail/A 54323-2021 tillsynsbegäran mail.docx", "A 54323-2021")</f>
        <v/>
      </c>
    </row>
    <row r="41" ht="15" customHeight="1">
      <c r="A41" t="inlineStr">
        <is>
          <t>A 64590-2021</t>
        </is>
      </c>
      <c r="B41" s="1" t="n">
        <v>44511</v>
      </c>
      <c r="C41" s="1" t="n">
        <v>46012</v>
      </c>
      <c r="D41" t="inlineStr">
        <is>
          <t>VÄRMLANDS LÄN</t>
        </is>
      </c>
      <c r="E41" t="inlineStr">
        <is>
          <t>ARVIKA</t>
        </is>
      </c>
      <c r="G41" t="n">
        <v>4.1</v>
      </c>
      <c r="H41" t="n">
        <v>1</v>
      </c>
      <c r="I41" t="n">
        <v>0</v>
      </c>
      <c r="J41" t="n">
        <v>1</v>
      </c>
      <c r="K41" t="n">
        <v>0</v>
      </c>
      <c r="L41" t="n">
        <v>0</v>
      </c>
      <c r="M41" t="n">
        <v>0</v>
      </c>
      <c r="N41" t="n">
        <v>0</v>
      </c>
      <c r="O41" t="n">
        <v>1</v>
      </c>
      <c r="P41" t="n">
        <v>0</v>
      </c>
      <c r="Q41" t="n">
        <v>1</v>
      </c>
      <c r="R41" s="2" t="inlineStr">
        <is>
          <t>Tretåig hackspett</t>
        </is>
      </c>
      <c r="S41">
        <f>HYPERLINK("https://klasma.github.io/Logging_1784/artfynd/A 64590-2021 artfynd.xlsx", "A 64590-2021")</f>
        <v/>
      </c>
      <c r="T41">
        <f>HYPERLINK("https://klasma.github.io/Logging_1784/kartor/A 64590-2021 karta.png", "A 64590-2021")</f>
        <v/>
      </c>
      <c r="V41">
        <f>HYPERLINK("https://klasma.github.io/Logging_1784/klagomål/A 64590-2021 FSC-klagomål.docx", "A 64590-2021")</f>
        <v/>
      </c>
      <c r="W41">
        <f>HYPERLINK("https://klasma.github.io/Logging_1784/klagomålsmail/A 64590-2021 FSC-klagomål mail.docx", "A 64590-2021")</f>
        <v/>
      </c>
      <c r="X41">
        <f>HYPERLINK("https://klasma.github.io/Logging_1784/tillsyn/A 64590-2021 tillsynsbegäran.docx", "A 64590-2021")</f>
        <v/>
      </c>
      <c r="Y41">
        <f>HYPERLINK("https://klasma.github.io/Logging_1784/tillsynsmail/A 64590-2021 tillsynsbegäran mail.docx", "A 64590-2021")</f>
        <v/>
      </c>
      <c r="Z41">
        <f>HYPERLINK("https://klasma.github.io/Logging_1784/fåglar/A 64590-2021 prioriterade fågelarter.docx", "A 64590-2021")</f>
        <v/>
      </c>
    </row>
    <row r="42" ht="15" customHeight="1">
      <c r="A42" t="inlineStr">
        <is>
          <t>A 37342-2021</t>
        </is>
      </c>
      <c r="B42" s="1" t="n">
        <v>44397</v>
      </c>
      <c r="C42" s="1" t="n">
        <v>46012</v>
      </c>
      <c r="D42" t="inlineStr">
        <is>
          <t>VÄRMLANDS LÄN</t>
        </is>
      </c>
      <c r="E42" t="inlineStr">
        <is>
          <t>ARVIKA</t>
        </is>
      </c>
      <c r="G42" t="n">
        <v>3.5</v>
      </c>
      <c r="H42" t="n">
        <v>1</v>
      </c>
      <c r="I42" t="n">
        <v>0</v>
      </c>
      <c r="J42" t="n">
        <v>0</v>
      </c>
      <c r="K42" t="n">
        <v>1</v>
      </c>
      <c r="L42" t="n">
        <v>0</v>
      </c>
      <c r="M42" t="n">
        <v>0</v>
      </c>
      <c r="N42" t="n">
        <v>0</v>
      </c>
      <c r="O42" t="n">
        <v>1</v>
      </c>
      <c r="P42" t="n">
        <v>1</v>
      </c>
      <c r="Q42" t="n">
        <v>1</v>
      </c>
      <c r="R42" s="2" t="inlineStr">
        <is>
          <t>Knärot</t>
        </is>
      </c>
      <c r="S42">
        <f>HYPERLINK("https://klasma.github.io/Logging_1784/artfynd/A 37342-2021 artfynd.xlsx", "A 37342-2021")</f>
        <v/>
      </c>
      <c r="T42">
        <f>HYPERLINK("https://klasma.github.io/Logging_1784/kartor/A 37342-2021 karta.png", "A 37342-2021")</f>
        <v/>
      </c>
      <c r="U42">
        <f>HYPERLINK("https://klasma.github.io/Logging_1784/knärot/A 37342-2021 karta knärot.png", "A 37342-2021")</f>
        <v/>
      </c>
      <c r="V42">
        <f>HYPERLINK("https://klasma.github.io/Logging_1784/klagomål/A 37342-2021 FSC-klagomål.docx", "A 37342-2021")</f>
        <v/>
      </c>
      <c r="W42">
        <f>HYPERLINK("https://klasma.github.io/Logging_1784/klagomålsmail/A 37342-2021 FSC-klagomål mail.docx", "A 37342-2021")</f>
        <v/>
      </c>
      <c r="X42">
        <f>HYPERLINK("https://klasma.github.io/Logging_1784/tillsyn/A 37342-2021 tillsynsbegäran.docx", "A 37342-2021")</f>
        <v/>
      </c>
      <c r="Y42">
        <f>HYPERLINK("https://klasma.github.io/Logging_1784/tillsynsmail/A 37342-2021 tillsynsbegäran mail.docx", "A 37342-2021")</f>
        <v/>
      </c>
    </row>
    <row r="43" ht="15" customHeight="1">
      <c r="A43" t="inlineStr">
        <is>
          <t>A 56872-2021</t>
        </is>
      </c>
      <c r="B43" s="1" t="n">
        <v>44481</v>
      </c>
      <c r="C43" s="1" t="n">
        <v>46012</v>
      </c>
      <c r="D43" t="inlineStr">
        <is>
          <t>VÄRMLANDS LÄN</t>
        </is>
      </c>
      <c r="E43" t="inlineStr">
        <is>
          <t>ARVIKA</t>
        </is>
      </c>
      <c r="G43" t="n">
        <v>1.4</v>
      </c>
      <c r="H43" t="n">
        <v>1</v>
      </c>
      <c r="I43" t="n">
        <v>0</v>
      </c>
      <c r="J43" t="n">
        <v>0</v>
      </c>
      <c r="K43" t="n">
        <v>1</v>
      </c>
      <c r="L43" t="n">
        <v>0</v>
      </c>
      <c r="M43" t="n">
        <v>0</v>
      </c>
      <c r="N43" t="n">
        <v>0</v>
      </c>
      <c r="O43" t="n">
        <v>1</v>
      </c>
      <c r="P43" t="n">
        <v>1</v>
      </c>
      <c r="Q43" t="n">
        <v>1</v>
      </c>
      <c r="R43" s="2" t="inlineStr">
        <is>
          <t>Knärot</t>
        </is>
      </c>
      <c r="S43">
        <f>HYPERLINK("https://klasma.github.io/Logging_1784/artfynd/A 56872-2021 artfynd.xlsx", "A 56872-2021")</f>
        <v/>
      </c>
      <c r="T43">
        <f>HYPERLINK("https://klasma.github.io/Logging_1784/kartor/A 56872-2021 karta.png", "A 56872-2021")</f>
        <v/>
      </c>
      <c r="U43">
        <f>HYPERLINK("https://klasma.github.io/Logging_1784/knärot/A 56872-2021 karta knärot.png", "A 56872-2021")</f>
        <v/>
      </c>
      <c r="V43">
        <f>HYPERLINK("https://klasma.github.io/Logging_1784/klagomål/A 56872-2021 FSC-klagomål.docx", "A 56872-2021")</f>
        <v/>
      </c>
      <c r="W43">
        <f>HYPERLINK("https://klasma.github.io/Logging_1784/klagomålsmail/A 56872-2021 FSC-klagomål mail.docx", "A 56872-2021")</f>
        <v/>
      </c>
      <c r="X43">
        <f>HYPERLINK("https://klasma.github.io/Logging_1784/tillsyn/A 56872-2021 tillsynsbegäran.docx", "A 56872-2021")</f>
        <v/>
      </c>
      <c r="Y43">
        <f>HYPERLINK("https://klasma.github.io/Logging_1784/tillsynsmail/A 56872-2021 tillsynsbegäran mail.docx", "A 56872-2021")</f>
        <v/>
      </c>
    </row>
    <row r="44" ht="15" customHeight="1">
      <c r="A44" t="inlineStr">
        <is>
          <t>A 16391-2023</t>
        </is>
      </c>
      <c r="B44" s="1" t="n">
        <v>45029.35077546296</v>
      </c>
      <c r="C44" s="1" t="n">
        <v>46012</v>
      </c>
      <c r="D44" t="inlineStr">
        <is>
          <t>VÄRMLANDS LÄN</t>
        </is>
      </c>
      <c r="E44" t="inlineStr">
        <is>
          <t>ARVIKA</t>
        </is>
      </c>
      <c r="G44" t="n">
        <v>0.9</v>
      </c>
      <c r="H44" t="n">
        <v>0</v>
      </c>
      <c r="I44" t="n">
        <v>0</v>
      </c>
      <c r="J44" t="n">
        <v>0</v>
      </c>
      <c r="K44" t="n">
        <v>0</v>
      </c>
      <c r="L44" t="n">
        <v>1</v>
      </c>
      <c r="M44" t="n">
        <v>0</v>
      </c>
      <c r="N44" t="n">
        <v>0</v>
      </c>
      <c r="O44" t="n">
        <v>1</v>
      </c>
      <c r="P44" t="n">
        <v>1</v>
      </c>
      <c r="Q44" t="n">
        <v>1</v>
      </c>
      <c r="R44" s="2" t="inlineStr">
        <is>
          <t>Kulfibbla</t>
        </is>
      </c>
      <c r="S44">
        <f>HYPERLINK("https://klasma.github.io/Logging_1784/artfynd/A 16391-2023 artfynd.xlsx", "A 16391-2023")</f>
        <v/>
      </c>
      <c r="T44">
        <f>HYPERLINK("https://klasma.github.io/Logging_1784/kartor/A 16391-2023 karta.png", "A 16391-2023")</f>
        <v/>
      </c>
      <c r="V44">
        <f>HYPERLINK("https://klasma.github.io/Logging_1784/klagomål/A 16391-2023 FSC-klagomål.docx", "A 16391-2023")</f>
        <v/>
      </c>
      <c r="W44">
        <f>HYPERLINK("https://klasma.github.io/Logging_1784/klagomålsmail/A 16391-2023 FSC-klagomål mail.docx", "A 16391-2023")</f>
        <v/>
      </c>
      <c r="X44">
        <f>HYPERLINK("https://klasma.github.io/Logging_1784/tillsyn/A 16391-2023 tillsynsbegäran.docx", "A 16391-2023")</f>
        <v/>
      </c>
      <c r="Y44">
        <f>HYPERLINK("https://klasma.github.io/Logging_1784/tillsynsmail/A 16391-2023 tillsynsbegäran mail.docx", "A 16391-2023")</f>
        <v/>
      </c>
    </row>
    <row r="45" ht="15" customHeight="1">
      <c r="A45" t="inlineStr">
        <is>
          <t>A 25477-2025</t>
        </is>
      </c>
      <c r="B45" s="1" t="n">
        <v>45802</v>
      </c>
      <c r="C45" s="1" t="n">
        <v>46012</v>
      </c>
      <c r="D45" t="inlineStr">
        <is>
          <t>VÄRMLANDS LÄN</t>
        </is>
      </c>
      <c r="E45" t="inlineStr">
        <is>
          <t>ARVIKA</t>
        </is>
      </c>
      <c r="G45" t="n">
        <v>0.9</v>
      </c>
      <c r="H45" t="n">
        <v>0</v>
      </c>
      <c r="I45" t="n">
        <v>1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1</v>
      </c>
      <c r="R45" s="2" t="inlineStr">
        <is>
          <t>Kamjordstjärna</t>
        </is>
      </c>
      <c r="S45">
        <f>HYPERLINK("https://klasma.github.io/Logging_1784/artfynd/A 25477-2025 artfynd.xlsx", "A 25477-2025")</f>
        <v/>
      </c>
      <c r="T45">
        <f>HYPERLINK("https://klasma.github.io/Logging_1784/kartor/A 25477-2025 karta.png", "A 25477-2025")</f>
        <v/>
      </c>
      <c r="V45">
        <f>HYPERLINK("https://klasma.github.io/Logging_1784/klagomål/A 25477-2025 FSC-klagomål.docx", "A 25477-2025")</f>
        <v/>
      </c>
      <c r="W45">
        <f>HYPERLINK("https://klasma.github.io/Logging_1784/klagomålsmail/A 25477-2025 FSC-klagomål mail.docx", "A 25477-2025")</f>
        <v/>
      </c>
      <c r="X45">
        <f>HYPERLINK("https://klasma.github.io/Logging_1784/tillsyn/A 25477-2025 tillsynsbegäran.docx", "A 25477-2025")</f>
        <v/>
      </c>
      <c r="Y45">
        <f>HYPERLINK("https://klasma.github.io/Logging_1784/tillsynsmail/A 25477-2025 tillsynsbegäran mail.docx", "A 25477-2025")</f>
        <v/>
      </c>
    </row>
    <row r="46" ht="15" customHeight="1">
      <c r="A46" t="inlineStr">
        <is>
          <t>A 36475-2024</t>
        </is>
      </c>
      <c r="B46" s="1" t="n">
        <v>45537</v>
      </c>
      <c r="C46" s="1" t="n">
        <v>46012</v>
      </c>
      <c r="D46" t="inlineStr">
        <is>
          <t>VÄRMLANDS LÄN</t>
        </is>
      </c>
      <c r="E46" t="inlineStr">
        <is>
          <t>ARVIKA</t>
        </is>
      </c>
      <c r="F46" t="inlineStr">
        <is>
          <t>Kommuner</t>
        </is>
      </c>
      <c r="G46" t="n">
        <v>2.2</v>
      </c>
      <c r="H46" t="n">
        <v>0</v>
      </c>
      <c r="I46" t="n">
        <v>0</v>
      </c>
      <c r="J46" t="n">
        <v>0</v>
      </c>
      <c r="K46" t="n">
        <v>1</v>
      </c>
      <c r="L46" t="n">
        <v>0</v>
      </c>
      <c r="M46" t="n">
        <v>0</v>
      </c>
      <c r="N46" t="n">
        <v>0</v>
      </c>
      <c r="O46" t="n">
        <v>1</v>
      </c>
      <c r="P46" t="n">
        <v>1</v>
      </c>
      <c r="Q46" t="n">
        <v>1</v>
      </c>
      <c r="R46" s="2" t="inlineStr">
        <is>
          <t>Slåttergubbemal</t>
        </is>
      </c>
      <c r="S46">
        <f>HYPERLINK("https://klasma.github.io/Logging_1784/artfynd/A 36475-2024 artfynd.xlsx", "A 36475-2024")</f>
        <v/>
      </c>
      <c r="T46">
        <f>HYPERLINK("https://klasma.github.io/Logging_1784/kartor/A 36475-2024 karta.png", "A 36475-2024")</f>
        <v/>
      </c>
      <c r="V46">
        <f>HYPERLINK("https://klasma.github.io/Logging_1784/klagomål/A 36475-2024 FSC-klagomål.docx", "A 36475-2024")</f>
        <v/>
      </c>
      <c r="W46">
        <f>HYPERLINK("https://klasma.github.io/Logging_1784/klagomålsmail/A 36475-2024 FSC-klagomål mail.docx", "A 36475-2024")</f>
        <v/>
      </c>
      <c r="X46">
        <f>HYPERLINK("https://klasma.github.io/Logging_1784/tillsyn/A 36475-2024 tillsynsbegäran.docx", "A 36475-2024")</f>
        <v/>
      </c>
      <c r="Y46">
        <f>HYPERLINK("https://klasma.github.io/Logging_1784/tillsynsmail/A 36475-2024 tillsynsbegäran mail.docx", "A 36475-2024")</f>
        <v/>
      </c>
    </row>
    <row r="47" ht="15" customHeight="1">
      <c r="A47" t="inlineStr">
        <is>
          <t>A 29432-2025</t>
        </is>
      </c>
      <c r="B47" s="1" t="n">
        <v>45824</v>
      </c>
      <c r="C47" s="1" t="n">
        <v>46012</v>
      </c>
      <c r="D47" t="inlineStr">
        <is>
          <t>VÄRMLANDS LÄN</t>
        </is>
      </c>
      <c r="E47" t="inlineStr">
        <is>
          <t>ARVIKA</t>
        </is>
      </c>
      <c r="F47" t="inlineStr">
        <is>
          <t>Bergvik skog väst AB</t>
        </is>
      </c>
      <c r="G47" t="n">
        <v>10.7</v>
      </c>
      <c r="H47" t="n">
        <v>1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1</v>
      </c>
      <c r="R47" s="2" t="inlineStr">
        <is>
          <t>Fläcknycklar</t>
        </is>
      </c>
      <c r="S47">
        <f>HYPERLINK("https://klasma.github.io/Logging_1784/artfynd/A 29432-2025 artfynd.xlsx", "A 29432-2025")</f>
        <v/>
      </c>
      <c r="T47">
        <f>HYPERLINK("https://klasma.github.io/Logging_1784/kartor/A 29432-2025 karta.png", "A 29432-2025")</f>
        <v/>
      </c>
      <c r="V47">
        <f>HYPERLINK("https://klasma.github.io/Logging_1784/klagomål/A 29432-2025 FSC-klagomål.docx", "A 29432-2025")</f>
        <v/>
      </c>
      <c r="W47">
        <f>HYPERLINK("https://klasma.github.io/Logging_1784/klagomålsmail/A 29432-2025 FSC-klagomål mail.docx", "A 29432-2025")</f>
        <v/>
      </c>
      <c r="X47">
        <f>HYPERLINK("https://klasma.github.io/Logging_1784/tillsyn/A 29432-2025 tillsynsbegäran.docx", "A 29432-2025")</f>
        <v/>
      </c>
      <c r="Y47">
        <f>HYPERLINK("https://klasma.github.io/Logging_1784/tillsynsmail/A 29432-2025 tillsynsbegäran mail.docx", "A 29432-2025")</f>
        <v/>
      </c>
    </row>
    <row r="48" ht="15" customHeight="1">
      <c r="A48" t="inlineStr">
        <is>
          <t>A 56676-2022</t>
        </is>
      </c>
      <c r="B48" s="1" t="n">
        <v>44893</v>
      </c>
      <c r="C48" s="1" t="n">
        <v>46012</v>
      </c>
      <c r="D48" t="inlineStr">
        <is>
          <t>VÄRMLANDS LÄN</t>
        </is>
      </c>
      <c r="E48" t="inlineStr">
        <is>
          <t>ARVIKA</t>
        </is>
      </c>
      <c r="F48" t="inlineStr">
        <is>
          <t>Övriga Aktiebolag</t>
        </is>
      </c>
      <c r="G48" t="n">
        <v>5.2</v>
      </c>
      <c r="H48" t="n">
        <v>1</v>
      </c>
      <c r="I48" t="n">
        <v>0</v>
      </c>
      <c r="J48" t="n">
        <v>0</v>
      </c>
      <c r="K48" t="n">
        <v>1</v>
      </c>
      <c r="L48" t="n">
        <v>0</v>
      </c>
      <c r="M48" t="n">
        <v>0</v>
      </c>
      <c r="N48" t="n">
        <v>0</v>
      </c>
      <c r="O48" t="n">
        <v>1</v>
      </c>
      <c r="P48" t="n">
        <v>1</v>
      </c>
      <c r="Q48" t="n">
        <v>1</v>
      </c>
      <c r="R48" s="2" t="inlineStr">
        <is>
          <t>Knärot</t>
        </is>
      </c>
      <c r="S48">
        <f>HYPERLINK("https://klasma.github.io/Logging_1784/artfynd/A 56676-2022 artfynd.xlsx", "A 56676-2022")</f>
        <v/>
      </c>
      <c r="T48">
        <f>HYPERLINK("https://klasma.github.io/Logging_1784/kartor/A 56676-2022 karta.png", "A 56676-2022")</f>
        <v/>
      </c>
      <c r="U48">
        <f>HYPERLINK("https://klasma.github.io/Logging_1784/knärot/A 56676-2022 karta knärot.png", "A 56676-2022")</f>
        <v/>
      </c>
      <c r="V48">
        <f>HYPERLINK("https://klasma.github.io/Logging_1784/klagomål/A 56676-2022 FSC-klagomål.docx", "A 56676-2022")</f>
        <v/>
      </c>
      <c r="W48">
        <f>HYPERLINK("https://klasma.github.io/Logging_1784/klagomålsmail/A 56676-2022 FSC-klagomål mail.docx", "A 56676-2022")</f>
        <v/>
      </c>
      <c r="X48">
        <f>HYPERLINK("https://klasma.github.io/Logging_1784/tillsyn/A 56676-2022 tillsynsbegäran.docx", "A 56676-2022")</f>
        <v/>
      </c>
      <c r="Y48">
        <f>HYPERLINK("https://klasma.github.io/Logging_1784/tillsynsmail/A 56676-2022 tillsynsbegäran mail.docx", "A 56676-2022")</f>
        <v/>
      </c>
    </row>
    <row r="49" ht="15" customHeight="1">
      <c r="A49" t="inlineStr">
        <is>
          <t>A 29160-2025</t>
        </is>
      </c>
      <c r="B49" s="1" t="n">
        <v>45821</v>
      </c>
      <c r="C49" s="1" t="n">
        <v>46012</v>
      </c>
      <c r="D49" t="inlineStr">
        <is>
          <t>VÄRMLANDS LÄN</t>
        </is>
      </c>
      <c r="E49" t="inlineStr">
        <is>
          <t>ARVIKA</t>
        </is>
      </c>
      <c r="F49" t="inlineStr">
        <is>
          <t>Bergvik skog väst AB</t>
        </is>
      </c>
      <c r="G49" t="n">
        <v>3.6</v>
      </c>
      <c r="H49" t="n">
        <v>1</v>
      </c>
      <c r="I49" t="n">
        <v>0</v>
      </c>
      <c r="J49" t="n">
        <v>1</v>
      </c>
      <c r="K49" t="n">
        <v>0</v>
      </c>
      <c r="L49" t="n">
        <v>0</v>
      </c>
      <c r="M49" t="n">
        <v>0</v>
      </c>
      <c r="N49" t="n">
        <v>0</v>
      </c>
      <c r="O49" t="n">
        <v>1</v>
      </c>
      <c r="P49" t="n">
        <v>0</v>
      </c>
      <c r="Q49" t="n">
        <v>1</v>
      </c>
      <c r="R49" s="2" t="inlineStr">
        <is>
          <t>Järpe</t>
        </is>
      </c>
      <c r="S49">
        <f>HYPERLINK("https://klasma.github.io/Logging_1784/artfynd/A 29160-2025 artfynd.xlsx", "A 29160-2025")</f>
        <v/>
      </c>
      <c r="T49">
        <f>HYPERLINK("https://klasma.github.io/Logging_1784/kartor/A 29160-2025 karta.png", "A 29160-2025")</f>
        <v/>
      </c>
      <c r="V49">
        <f>HYPERLINK("https://klasma.github.io/Logging_1784/klagomål/A 29160-2025 FSC-klagomål.docx", "A 29160-2025")</f>
        <v/>
      </c>
      <c r="W49">
        <f>HYPERLINK("https://klasma.github.io/Logging_1784/klagomålsmail/A 29160-2025 FSC-klagomål mail.docx", "A 29160-2025")</f>
        <v/>
      </c>
      <c r="X49">
        <f>HYPERLINK("https://klasma.github.io/Logging_1784/tillsyn/A 29160-2025 tillsynsbegäran.docx", "A 29160-2025")</f>
        <v/>
      </c>
      <c r="Y49">
        <f>HYPERLINK("https://klasma.github.io/Logging_1784/tillsynsmail/A 29160-2025 tillsynsbegäran mail.docx", "A 29160-2025")</f>
        <v/>
      </c>
      <c r="Z49">
        <f>HYPERLINK("https://klasma.github.io/Logging_1784/fåglar/A 29160-2025 prioriterade fågelarter.docx", "A 29160-2025")</f>
        <v/>
      </c>
    </row>
    <row r="50" ht="15" customHeight="1">
      <c r="A50" t="inlineStr">
        <is>
          <t>A 30071-2025</t>
        </is>
      </c>
      <c r="B50" s="1" t="n">
        <v>45826</v>
      </c>
      <c r="C50" s="1" t="n">
        <v>46012</v>
      </c>
      <c r="D50" t="inlineStr">
        <is>
          <t>VÄRMLANDS LÄN</t>
        </is>
      </c>
      <c r="E50" t="inlineStr">
        <is>
          <t>ARVIKA</t>
        </is>
      </c>
      <c r="F50" t="inlineStr">
        <is>
          <t>Bergvik skog väst AB</t>
        </is>
      </c>
      <c r="G50" t="n">
        <v>5.7</v>
      </c>
      <c r="H50" t="n">
        <v>0</v>
      </c>
      <c r="I50" t="n">
        <v>1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1</v>
      </c>
      <c r="R50" s="2" t="inlineStr">
        <is>
          <t>Svart trolldruva</t>
        </is>
      </c>
      <c r="S50">
        <f>HYPERLINK("https://klasma.github.io/Logging_1784/artfynd/A 30071-2025 artfynd.xlsx", "A 30071-2025")</f>
        <v/>
      </c>
      <c r="T50">
        <f>HYPERLINK("https://klasma.github.io/Logging_1784/kartor/A 30071-2025 karta.png", "A 30071-2025")</f>
        <v/>
      </c>
      <c r="V50">
        <f>HYPERLINK("https://klasma.github.io/Logging_1784/klagomål/A 30071-2025 FSC-klagomål.docx", "A 30071-2025")</f>
        <v/>
      </c>
      <c r="W50">
        <f>HYPERLINK("https://klasma.github.io/Logging_1784/klagomålsmail/A 30071-2025 FSC-klagomål mail.docx", "A 30071-2025")</f>
        <v/>
      </c>
      <c r="X50">
        <f>HYPERLINK("https://klasma.github.io/Logging_1784/tillsyn/A 30071-2025 tillsynsbegäran.docx", "A 30071-2025")</f>
        <v/>
      </c>
      <c r="Y50">
        <f>HYPERLINK("https://klasma.github.io/Logging_1784/tillsynsmail/A 30071-2025 tillsynsbegäran mail.docx", "A 30071-2025")</f>
        <v/>
      </c>
    </row>
    <row r="51" ht="15" customHeight="1">
      <c r="A51" t="inlineStr">
        <is>
          <t>A 31588-2025</t>
        </is>
      </c>
      <c r="B51" s="1" t="n">
        <v>45833</v>
      </c>
      <c r="C51" s="1" t="n">
        <v>46012</v>
      </c>
      <c r="D51" t="inlineStr">
        <is>
          <t>VÄRMLANDS LÄN</t>
        </is>
      </c>
      <c r="E51" t="inlineStr">
        <is>
          <t>ARVIKA</t>
        </is>
      </c>
      <c r="F51" t="inlineStr">
        <is>
          <t>Bergvik skog väst AB</t>
        </is>
      </c>
      <c r="G51" t="n">
        <v>6.3</v>
      </c>
      <c r="H51" t="n">
        <v>1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1</v>
      </c>
      <c r="R51" s="2" t="inlineStr">
        <is>
          <t>Fläcknycklar</t>
        </is>
      </c>
      <c r="S51">
        <f>HYPERLINK("https://klasma.github.io/Logging_1784/artfynd/A 31588-2025 artfynd.xlsx", "A 31588-2025")</f>
        <v/>
      </c>
      <c r="T51">
        <f>HYPERLINK("https://klasma.github.io/Logging_1784/kartor/A 31588-2025 karta.png", "A 31588-2025")</f>
        <v/>
      </c>
      <c r="V51">
        <f>HYPERLINK("https://klasma.github.io/Logging_1784/klagomål/A 31588-2025 FSC-klagomål.docx", "A 31588-2025")</f>
        <v/>
      </c>
      <c r="W51">
        <f>HYPERLINK("https://klasma.github.io/Logging_1784/klagomålsmail/A 31588-2025 FSC-klagomål mail.docx", "A 31588-2025")</f>
        <v/>
      </c>
      <c r="X51">
        <f>HYPERLINK("https://klasma.github.io/Logging_1784/tillsyn/A 31588-2025 tillsynsbegäran.docx", "A 31588-2025")</f>
        <v/>
      </c>
      <c r="Y51">
        <f>HYPERLINK("https://klasma.github.io/Logging_1784/tillsynsmail/A 31588-2025 tillsynsbegäran mail.docx", "A 31588-2025")</f>
        <v/>
      </c>
    </row>
    <row r="52" ht="15" customHeight="1">
      <c r="A52" t="inlineStr">
        <is>
          <t>A 14342-2025</t>
        </is>
      </c>
      <c r="B52" s="1" t="n">
        <v>45741</v>
      </c>
      <c r="C52" s="1" t="n">
        <v>46012</v>
      </c>
      <c r="D52" t="inlineStr">
        <is>
          <t>VÄRMLANDS LÄN</t>
        </is>
      </c>
      <c r="E52" t="inlineStr">
        <is>
          <t>ARVIKA</t>
        </is>
      </c>
      <c r="G52" t="n">
        <v>5.8</v>
      </c>
      <c r="H52" t="n">
        <v>0</v>
      </c>
      <c r="I52" t="n">
        <v>0</v>
      </c>
      <c r="J52" t="n">
        <v>1</v>
      </c>
      <c r="K52" t="n">
        <v>0</v>
      </c>
      <c r="L52" t="n">
        <v>0</v>
      </c>
      <c r="M52" t="n">
        <v>0</v>
      </c>
      <c r="N52" t="n">
        <v>0</v>
      </c>
      <c r="O52" t="n">
        <v>1</v>
      </c>
      <c r="P52" t="n">
        <v>0</v>
      </c>
      <c r="Q52" t="n">
        <v>1</v>
      </c>
      <c r="R52" s="2" t="inlineStr">
        <is>
          <t>Motaggsvamp</t>
        </is>
      </c>
      <c r="S52">
        <f>HYPERLINK("https://klasma.github.io/Logging_1784/artfynd/A 14342-2025 artfynd.xlsx", "A 14342-2025")</f>
        <v/>
      </c>
      <c r="T52">
        <f>HYPERLINK("https://klasma.github.io/Logging_1784/kartor/A 14342-2025 karta.png", "A 14342-2025")</f>
        <v/>
      </c>
      <c r="V52">
        <f>HYPERLINK("https://klasma.github.io/Logging_1784/klagomål/A 14342-2025 FSC-klagomål.docx", "A 14342-2025")</f>
        <v/>
      </c>
      <c r="W52">
        <f>HYPERLINK("https://klasma.github.io/Logging_1784/klagomålsmail/A 14342-2025 FSC-klagomål mail.docx", "A 14342-2025")</f>
        <v/>
      </c>
      <c r="X52">
        <f>HYPERLINK("https://klasma.github.io/Logging_1784/tillsyn/A 14342-2025 tillsynsbegäran.docx", "A 14342-2025")</f>
        <v/>
      </c>
      <c r="Y52">
        <f>HYPERLINK("https://klasma.github.io/Logging_1784/tillsynsmail/A 14342-2025 tillsynsbegäran mail.docx", "A 14342-2025")</f>
        <v/>
      </c>
    </row>
    <row r="53" ht="15" customHeight="1">
      <c r="A53" t="inlineStr">
        <is>
          <t>A 8165-2025</t>
        </is>
      </c>
      <c r="B53" s="1" t="n">
        <v>45708.35282407407</v>
      </c>
      <c r="C53" s="1" t="n">
        <v>46012</v>
      </c>
      <c r="D53" t="inlineStr">
        <is>
          <t>VÄRMLANDS LÄN</t>
        </is>
      </c>
      <c r="E53" t="inlineStr">
        <is>
          <t>ARVIKA</t>
        </is>
      </c>
      <c r="G53" t="n">
        <v>6.3</v>
      </c>
      <c r="H53" t="n">
        <v>1</v>
      </c>
      <c r="I53" t="n">
        <v>0</v>
      </c>
      <c r="J53" t="n">
        <v>0</v>
      </c>
      <c r="K53" t="n">
        <v>1</v>
      </c>
      <c r="L53" t="n">
        <v>0</v>
      </c>
      <c r="M53" t="n">
        <v>0</v>
      </c>
      <c r="N53" t="n">
        <v>0</v>
      </c>
      <c r="O53" t="n">
        <v>1</v>
      </c>
      <c r="P53" t="n">
        <v>1</v>
      </c>
      <c r="Q53" t="n">
        <v>1</v>
      </c>
      <c r="R53" s="2" t="inlineStr">
        <is>
          <t>Knärot</t>
        </is>
      </c>
      <c r="S53">
        <f>HYPERLINK("https://klasma.github.io/Logging_1784/artfynd/A 8165-2025 artfynd.xlsx", "A 8165-2025")</f>
        <v/>
      </c>
      <c r="T53">
        <f>HYPERLINK("https://klasma.github.io/Logging_1784/kartor/A 8165-2025 karta.png", "A 8165-2025")</f>
        <v/>
      </c>
      <c r="U53">
        <f>HYPERLINK("https://klasma.github.io/Logging_1784/knärot/A 8165-2025 karta knärot.png", "A 8165-2025")</f>
        <v/>
      </c>
      <c r="V53">
        <f>HYPERLINK("https://klasma.github.io/Logging_1784/klagomål/A 8165-2025 FSC-klagomål.docx", "A 8165-2025")</f>
        <v/>
      </c>
      <c r="W53">
        <f>HYPERLINK("https://klasma.github.io/Logging_1784/klagomålsmail/A 8165-2025 FSC-klagomål mail.docx", "A 8165-2025")</f>
        <v/>
      </c>
      <c r="X53">
        <f>HYPERLINK("https://klasma.github.io/Logging_1784/tillsyn/A 8165-2025 tillsynsbegäran.docx", "A 8165-2025")</f>
        <v/>
      </c>
      <c r="Y53">
        <f>HYPERLINK("https://klasma.github.io/Logging_1784/tillsynsmail/A 8165-2025 tillsynsbegäran mail.docx", "A 8165-2025")</f>
        <v/>
      </c>
    </row>
    <row r="54" ht="15" customHeight="1">
      <c r="A54" t="inlineStr">
        <is>
          <t>A 10814-2023</t>
        </is>
      </c>
      <c r="B54" s="1" t="n">
        <v>44990.38050925926</v>
      </c>
      <c r="C54" s="1" t="n">
        <v>46012</v>
      </c>
      <c r="D54" t="inlineStr">
        <is>
          <t>VÄRMLANDS LÄN</t>
        </is>
      </c>
      <c r="E54" t="inlineStr">
        <is>
          <t>ARVIKA</t>
        </is>
      </c>
      <c r="G54" t="n">
        <v>5.6</v>
      </c>
      <c r="H54" t="n">
        <v>0</v>
      </c>
      <c r="I54" t="n">
        <v>0</v>
      </c>
      <c r="J54" t="n">
        <v>0</v>
      </c>
      <c r="K54" t="n">
        <v>0</v>
      </c>
      <c r="L54" t="n">
        <v>1</v>
      </c>
      <c r="M54" t="n">
        <v>0</v>
      </c>
      <c r="N54" t="n">
        <v>0</v>
      </c>
      <c r="O54" t="n">
        <v>1</v>
      </c>
      <c r="P54" t="n">
        <v>1</v>
      </c>
      <c r="Q54" t="n">
        <v>1</v>
      </c>
      <c r="R54" s="2" t="inlineStr">
        <is>
          <t>Ryl</t>
        </is>
      </c>
      <c r="S54">
        <f>HYPERLINK("https://klasma.github.io/Logging_1784/artfynd/A 10814-2023 artfynd.xlsx", "A 10814-2023")</f>
        <v/>
      </c>
      <c r="T54">
        <f>HYPERLINK("https://klasma.github.io/Logging_1784/kartor/A 10814-2023 karta.png", "A 10814-2023")</f>
        <v/>
      </c>
      <c r="V54">
        <f>HYPERLINK("https://klasma.github.io/Logging_1784/klagomål/A 10814-2023 FSC-klagomål.docx", "A 10814-2023")</f>
        <v/>
      </c>
      <c r="W54">
        <f>HYPERLINK("https://klasma.github.io/Logging_1784/klagomålsmail/A 10814-2023 FSC-klagomål mail.docx", "A 10814-2023")</f>
        <v/>
      </c>
      <c r="X54">
        <f>HYPERLINK("https://klasma.github.io/Logging_1784/tillsyn/A 10814-2023 tillsynsbegäran.docx", "A 10814-2023")</f>
        <v/>
      </c>
      <c r="Y54">
        <f>HYPERLINK("https://klasma.github.io/Logging_1784/tillsynsmail/A 10814-2023 tillsynsbegäran mail.docx", "A 10814-2023")</f>
        <v/>
      </c>
    </row>
    <row r="55" ht="15" customHeight="1">
      <c r="A55" t="inlineStr">
        <is>
          <t>A 59300-2025</t>
        </is>
      </c>
      <c r="B55" s="1" t="n">
        <v>45988.86268518519</v>
      </c>
      <c r="C55" s="1" t="n">
        <v>46012</v>
      </c>
      <c r="D55" t="inlineStr">
        <is>
          <t>VÄRMLANDS LÄN</t>
        </is>
      </c>
      <c r="E55" t="inlineStr">
        <is>
          <t>ARVIKA</t>
        </is>
      </c>
      <c r="G55" t="n">
        <v>1.1</v>
      </c>
      <c r="H55" t="n">
        <v>1</v>
      </c>
      <c r="I55" t="n">
        <v>0</v>
      </c>
      <c r="J55" t="n">
        <v>1</v>
      </c>
      <c r="K55" t="n">
        <v>0</v>
      </c>
      <c r="L55" t="n">
        <v>0</v>
      </c>
      <c r="M55" t="n">
        <v>0</v>
      </c>
      <c r="N55" t="n">
        <v>0</v>
      </c>
      <c r="O55" t="n">
        <v>1</v>
      </c>
      <c r="P55" t="n">
        <v>0</v>
      </c>
      <c r="Q55" t="n">
        <v>1</v>
      </c>
      <c r="R55" s="2" t="inlineStr">
        <is>
          <t>Brun gräsfjäril</t>
        </is>
      </c>
      <c r="S55">
        <f>HYPERLINK("https://klasma.github.io/Logging_1784/artfynd/A 59300-2025 artfynd.xlsx", "A 59300-2025")</f>
        <v/>
      </c>
      <c r="T55">
        <f>HYPERLINK("https://klasma.github.io/Logging_1784/kartor/A 59300-2025 karta.png", "A 59300-2025")</f>
        <v/>
      </c>
      <c r="V55">
        <f>HYPERLINK("https://klasma.github.io/Logging_1784/klagomål/A 59300-2025 FSC-klagomål.docx", "A 59300-2025")</f>
        <v/>
      </c>
      <c r="W55">
        <f>HYPERLINK("https://klasma.github.io/Logging_1784/klagomålsmail/A 59300-2025 FSC-klagomål mail.docx", "A 59300-2025")</f>
        <v/>
      </c>
      <c r="X55">
        <f>HYPERLINK("https://klasma.github.io/Logging_1784/tillsyn/A 59300-2025 tillsynsbegäran.docx", "A 59300-2025")</f>
        <v/>
      </c>
      <c r="Y55">
        <f>HYPERLINK("https://klasma.github.io/Logging_1784/tillsynsmail/A 59300-2025 tillsynsbegäran mail.docx", "A 59300-2025")</f>
        <v/>
      </c>
    </row>
    <row r="56" ht="15" customHeight="1">
      <c r="A56" t="inlineStr">
        <is>
          <t>A 51537-2025</t>
        </is>
      </c>
      <c r="B56" s="1" t="n">
        <v>45950.6937962963</v>
      </c>
      <c r="C56" s="1" t="n">
        <v>46012</v>
      </c>
      <c r="D56" t="inlineStr">
        <is>
          <t>VÄRMLANDS LÄN</t>
        </is>
      </c>
      <c r="E56" t="inlineStr">
        <is>
          <t>ARVIKA</t>
        </is>
      </c>
      <c r="G56" t="n">
        <v>1.7</v>
      </c>
      <c r="H56" t="n">
        <v>1</v>
      </c>
      <c r="I56" t="n">
        <v>0</v>
      </c>
      <c r="J56" t="n">
        <v>0</v>
      </c>
      <c r="K56" t="n">
        <v>1</v>
      </c>
      <c r="L56" t="n">
        <v>0</v>
      </c>
      <c r="M56" t="n">
        <v>0</v>
      </c>
      <c r="N56" t="n">
        <v>0</v>
      </c>
      <c r="O56" t="n">
        <v>1</v>
      </c>
      <c r="P56" t="n">
        <v>1</v>
      </c>
      <c r="Q56" t="n">
        <v>1</v>
      </c>
      <c r="R56" s="2" t="inlineStr">
        <is>
          <t>Knärot</t>
        </is>
      </c>
      <c r="S56">
        <f>HYPERLINK("https://klasma.github.io/Logging_1784/artfynd/A 51537-2025 artfynd.xlsx", "A 51537-2025")</f>
        <v/>
      </c>
      <c r="T56">
        <f>HYPERLINK("https://klasma.github.io/Logging_1784/kartor/A 51537-2025 karta.png", "A 51537-2025")</f>
        <v/>
      </c>
      <c r="U56">
        <f>HYPERLINK("https://klasma.github.io/Logging_1784/knärot/A 51537-2025 karta knärot.png", "A 51537-2025")</f>
        <v/>
      </c>
      <c r="V56">
        <f>HYPERLINK("https://klasma.github.io/Logging_1784/klagomål/A 51537-2025 FSC-klagomål.docx", "A 51537-2025")</f>
        <v/>
      </c>
      <c r="W56">
        <f>HYPERLINK("https://klasma.github.io/Logging_1784/klagomålsmail/A 51537-2025 FSC-klagomål mail.docx", "A 51537-2025")</f>
        <v/>
      </c>
      <c r="X56">
        <f>HYPERLINK("https://klasma.github.io/Logging_1784/tillsyn/A 51537-2025 tillsynsbegäran.docx", "A 51537-2025")</f>
        <v/>
      </c>
      <c r="Y56">
        <f>HYPERLINK("https://klasma.github.io/Logging_1784/tillsynsmail/A 51537-2025 tillsynsbegäran mail.docx", "A 51537-2025")</f>
        <v/>
      </c>
    </row>
    <row r="57" ht="15" customHeight="1">
      <c r="A57" t="inlineStr">
        <is>
          <t>A 14768-2025</t>
        </is>
      </c>
      <c r="B57" s="1" t="n">
        <v>45742.68377314815</v>
      </c>
      <c r="C57" s="1" t="n">
        <v>46012</v>
      </c>
      <c r="D57" t="inlineStr">
        <is>
          <t>VÄRMLANDS LÄN</t>
        </is>
      </c>
      <c r="E57" t="inlineStr">
        <is>
          <t>ARVIKA</t>
        </is>
      </c>
      <c r="G57" t="n">
        <v>11.7</v>
      </c>
      <c r="H57" t="n">
        <v>1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1</v>
      </c>
      <c r="R57" s="2" t="inlineStr">
        <is>
          <t>Kungsfågel</t>
        </is>
      </c>
      <c r="S57">
        <f>HYPERLINK("https://klasma.github.io/Logging_1784/artfynd/A 14768-2025 artfynd.xlsx", "A 14768-2025")</f>
        <v/>
      </c>
      <c r="T57">
        <f>HYPERLINK("https://klasma.github.io/Logging_1784/kartor/A 14768-2025 karta.png", "A 14768-2025")</f>
        <v/>
      </c>
      <c r="V57">
        <f>HYPERLINK("https://klasma.github.io/Logging_1784/klagomål/A 14768-2025 FSC-klagomål.docx", "A 14768-2025")</f>
        <v/>
      </c>
      <c r="W57">
        <f>HYPERLINK("https://klasma.github.io/Logging_1784/klagomålsmail/A 14768-2025 FSC-klagomål mail.docx", "A 14768-2025")</f>
        <v/>
      </c>
      <c r="X57">
        <f>HYPERLINK("https://klasma.github.io/Logging_1784/tillsyn/A 14768-2025 tillsynsbegäran.docx", "A 14768-2025")</f>
        <v/>
      </c>
      <c r="Y57">
        <f>HYPERLINK("https://klasma.github.io/Logging_1784/tillsynsmail/A 14768-2025 tillsynsbegäran mail.docx", "A 14768-2025")</f>
        <v/>
      </c>
      <c r="Z57">
        <f>HYPERLINK("https://klasma.github.io/Logging_1784/fåglar/A 14768-2025 prioriterade fågelarter.docx", "A 14768-2025")</f>
        <v/>
      </c>
    </row>
    <row r="58" ht="15" customHeight="1">
      <c r="A58" t="inlineStr">
        <is>
          <t>A 19301-2025</t>
        </is>
      </c>
      <c r="B58" s="1" t="n">
        <v>45769</v>
      </c>
      <c r="C58" s="1" t="n">
        <v>46012</v>
      </c>
      <c r="D58" t="inlineStr">
        <is>
          <t>VÄRMLANDS LÄN</t>
        </is>
      </c>
      <c r="E58" t="inlineStr">
        <is>
          <t>ARVIKA</t>
        </is>
      </c>
      <c r="F58" t="inlineStr">
        <is>
          <t>Bergvik skog väst AB</t>
        </is>
      </c>
      <c r="G58" t="n">
        <v>3.1</v>
      </c>
      <c r="H58" t="n">
        <v>1</v>
      </c>
      <c r="I58" t="n">
        <v>0</v>
      </c>
      <c r="J58" t="n">
        <v>0</v>
      </c>
      <c r="K58" t="n">
        <v>1</v>
      </c>
      <c r="L58" t="n">
        <v>0</v>
      </c>
      <c r="M58" t="n">
        <v>0</v>
      </c>
      <c r="N58" t="n">
        <v>0</v>
      </c>
      <c r="O58" t="n">
        <v>1</v>
      </c>
      <c r="P58" t="n">
        <v>1</v>
      </c>
      <c r="Q58" t="n">
        <v>1</v>
      </c>
      <c r="R58" s="2" t="inlineStr">
        <is>
          <t>Lappuggla</t>
        </is>
      </c>
      <c r="S58">
        <f>HYPERLINK("https://klasma.github.io/Logging_1784/artfynd/A 19301-2025 artfynd.xlsx", "A 19301-2025")</f>
        <v/>
      </c>
      <c r="T58">
        <f>HYPERLINK("https://klasma.github.io/Logging_1784/kartor/A 19301-2025 karta.png", "A 19301-2025")</f>
        <v/>
      </c>
      <c r="V58">
        <f>HYPERLINK("https://klasma.github.io/Logging_1784/klagomål/A 19301-2025 FSC-klagomål.docx", "A 19301-2025")</f>
        <v/>
      </c>
      <c r="W58">
        <f>HYPERLINK("https://klasma.github.io/Logging_1784/klagomålsmail/A 19301-2025 FSC-klagomål mail.docx", "A 19301-2025")</f>
        <v/>
      </c>
      <c r="X58">
        <f>HYPERLINK("https://klasma.github.io/Logging_1784/tillsyn/A 19301-2025 tillsynsbegäran.docx", "A 19301-2025")</f>
        <v/>
      </c>
      <c r="Y58">
        <f>HYPERLINK("https://klasma.github.io/Logging_1784/tillsynsmail/A 19301-2025 tillsynsbegäran mail.docx", "A 19301-2025")</f>
        <v/>
      </c>
      <c r="Z58">
        <f>HYPERLINK("https://klasma.github.io/Logging_1784/fåglar/A 19301-2025 prioriterade fågelarter.docx", "A 19301-2025")</f>
        <v/>
      </c>
    </row>
    <row r="59" ht="15" customHeight="1">
      <c r="A59" t="inlineStr">
        <is>
          <t>A 33758-2021</t>
        </is>
      </c>
      <c r="B59" s="1" t="n">
        <v>44378</v>
      </c>
      <c r="C59" s="1" t="n">
        <v>46012</v>
      </c>
      <c r="D59" t="inlineStr">
        <is>
          <t>VÄRMLANDS LÄN</t>
        </is>
      </c>
      <c r="E59" t="inlineStr">
        <is>
          <t>ARVIKA</t>
        </is>
      </c>
      <c r="G59" t="n">
        <v>0.7</v>
      </c>
      <c r="H59" t="n">
        <v>1</v>
      </c>
      <c r="I59" t="n">
        <v>0</v>
      </c>
      <c r="J59" t="n">
        <v>0</v>
      </c>
      <c r="K59" t="n">
        <v>1</v>
      </c>
      <c r="L59" t="n">
        <v>0</v>
      </c>
      <c r="M59" t="n">
        <v>0</v>
      </c>
      <c r="N59" t="n">
        <v>0</v>
      </c>
      <c r="O59" t="n">
        <v>1</v>
      </c>
      <c r="P59" t="n">
        <v>1</v>
      </c>
      <c r="Q59" t="n">
        <v>1</v>
      </c>
      <c r="R59" s="2" t="inlineStr">
        <is>
          <t>Knärot</t>
        </is>
      </c>
      <c r="S59">
        <f>HYPERLINK("https://klasma.github.io/Logging_1784/artfynd/A 33758-2021 artfynd.xlsx", "A 33758-2021")</f>
        <v/>
      </c>
      <c r="T59">
        <f>HYPERLINK("https://klasma.github.io/Logging_1784/kartor/A 33758-2021 karta.png", "A 33758-2021")</f>
        <v/>
      </c>
      <c r="U59">
        <f>HYPERLINK("https://klasma.github.io/Logging_1784/knärot/A 33758-2021 karta knärot.png", "A 33758-2021")</f>
        <v/>
      </c>
      <c r="V59">
        <f>HYPERLINK("https://klasma.github.io/Logging_1784/klagomål/A 33758-2021 FSC-klagomål.docx", "A 33758-2021")</f>
        <v/>
      </c>
      <c r="W59">
        <f>HYPERLINK("https://klasma.github.io/Logging_1784/klagomålsmail/A 33758-2021 FSC-klagomål mail.docx", "A 33758-2021")</f>
        <v/>
      </c>
      <c r="X59">
        <f>HYPERLINK("https://klasma.github.io/Logging_1784/tillsyn/A 33758-2021 tillsynsbegäran.docx", "A 33758-2021")</f>
        <v/>
      </c>
      <c r="Y59">
        <f>HYPERLINK("https://klasma.github.io/Logging_1784/tillsynsmail/A 33758-2021 tillsynsbegäran mail.docx", "A 33758-2021")</f>
        <v/>
      </c>
    </row>
    <row r="60" ht="15" customHeight="1">
      <c r="A60" t="inlineStr">
        <is>
          <t>A 47699-2022</t>
        </is>
      </c>
      <c r="B60" s="1" t="n">
        <v>44854</v>
      </c>
      <c r="C60" s="1" t="n">
        <v>46012</v>
      </c>
      <c r="D60" t="inlineStr">
        <is>
          <t>VÄRMLANDS LÄN</t>
        </is>
      </c>
      <c r="E60" t="inlineStr">
        <is>
          <t>ARVIKA</t>
        </is>
      </c>
      <c r="G60" t="n">
        <v>20</v>
      </c>
      <c r="H60" t="n">
        <v>1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1</v>
      </c>
      <c r="R60" s="2" t="inlineStr">
        <is>
          <t>Blåsippa</t>
        </is>
      </c>
      <c r="S60">
        <f>HYPERLINK("https://klasma.github.io/Logging_1784/artfynd/A 47699-2022 artfynd.xlsx", "A 47699-2022")</f>
        <v/>
      </c>
      <c r="T60">
        <f>HYPERLINK("https://klasma.github.io/Logging_1784/kartor/A 47699-2022 karta.png", "A 47699-2022")</f>
        <v/>
      </c>
      <c r="V60">
        <f>HYPERLINK("https://klasma.github.io/Logging_1784/klagomål/A 47699-2022 FSC-klagomål.docx", "A 47699-2022")</f>
        <v/>
      </c>
      <c r="W60">
        <f>HYPERLINK("https://klasma.github.io/Logging_1784/klagomålsmail/A 47699-2022 FSC-klagomål mail.docx", "A 47699-2022")</f>
        <v/>
      </c>
      <c r="X60">
        <f>HYPERLINK("https://klasma.github.io/Logging_1784/tillsyn/A 47699-2022 tillsynsbegäran.docx", "A 47699-2022")</f>
        <v/>
      </c>
      <c r="Y60">
        <f>HYPERLINK("https://klasma.github.io/Logging_1784/tillsynsmail/A 47699-2022 tillsynsbegäran mail.docx", "A 47699-2022")</f>
        <v/>
      </c>
    </row>
    <row r="61" ht="15" customHeight="1">
      <c r="A61" t="inlineStr">
        <is>
          <t>A 60586-2025</t>
        </is>
      </c>
      <c r="B61" s="1" t="n">
        <v>45996</v>
      </c>
      <c r="C61" s="1" t="n">
        <v>46012</v>
      </c>
      <c r="D61" t="inlineStr">
        <is>
          <t>VÄRMLANDS LÄN</t>
        </is>
      </c>
      <c r="E61" t="inlineStr">
        <is>
          <t>ARVIKA</t>
        </is>
      </c>
      <c r="G61" t="n">
        <v>8.6</v>
      </c>
      <c r="H61" t="n">
        <v>0</v>
      </c>
      <c r="I61" t="n">
        <v>1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1</v>
      </c>
      <c r="R61" s="2" t="inlineStr">
        <is>
          <t>Bollvitmossa</t>
        </is>
      </c>
      <c r="S61">
        <f>HYPERLINK("https://klasma.github.io/Logging_1784/artfynd/A 60586-2025 artfynd.xlsx", "A 60586-2025")</f>
        <v/>
      </c>
      <c r="T61">
        <f>HYPERLINK("https://klasma.github.io/Logging_1784/kartor/A 60586-2025 karta.png", "A 60586-2025")</f>
        <v/>
      </c>
      <c r="V61">
        <f>HYPERLINK("https://klasma.github.io/Logging_1784/klagomål/A 60586-2025 FSC-klagomål.docx", "A 60586-2025")</f>
        <v/>
      </c>
      <c r="W61">
        <f>HYPERLINK("https://klasma.github.io/Logging_1784/klagomålsmail/A 60586-2025 FSC-klagomål mail.docx", "A 60586-2025")</f>
        <v/>
      </c>
      <c r="X61">
        <f>HYPERLINK("https://klasma.github.io/Logging_1784/tillsyn/A 60586-2025 tillsynsbegäran.docx", "A 60586-2025")</f>
        <v/>
      </c>
      <c r="Y61">
        <f>HYPERLINK("https://klasma.github.io/Logging_1784/tillsynsmail/A 60586-2025 tillsynsbegäran mail.docx", "A 60586-2025")</f>
        <v/>
      </c>
    </row>
    <row r="62" ht="15" customHeight="1">
      <c r="A62" t="inlineStr">
        <is>
          <t>A 14030-2024</t>
        </is>
      </c>
      <c r="B62" s="1" t="n">
        <v>45392</v>
      </c>
      <c r="C62" s="1" t="n">
        <v>46012</v>
      </c>
      <c r="D62" t="inlineStr">
        <is>
          <t>VÄRMLANDS LÄN</t>
        </is>
      </c>
      <c r="E62" t="inlineStr">
        <is>
          <t>ARVIKA</t>
        </is>
      </c>
      <c r="F62" t="inlineStr">
        <is>
          <t>Kyrkan</t>
        </is>
      </c>
      <c r="G62" t="n">
        <v>32.2</v>
      </c>
      <c r="H62" t="n">
        <v>1</v>
      </c>
      <c r="I62" t="n">
        <v>0</v>
      </c>
      <c r="J62" t="n">
        <v>0</v>
      </c>
      <c r="K62" t="n">
        <v>1</v>
      </c>
      <c r="L62" t="n">
        <v>0</v>
      </c>
      <c r="M62" t="n">
        <v>0</v>
      </c>
      <c r="N62" t="n">
        <v>0</v>
      </c>
      <c r="O62" t="n">
        <v>1</v>
      </c>
      <c r="P62" t="n">
        <v>1</v>
      </c>
      <c r="Q62" t="n">
        <v>1</v>
      </c>
      <c r="R62" s="2" t="inlineStr">
        <is>
          <t>Knärot</t>
        </is>
      </c>
      <c r="S62">
        <f>HYPERLINK("https://klasma.github.io/Logging_1784/artfynd/A 14030-2024 artfynd.xlsx", "A 14030-2024")</f>
        <v/>
      </c>
      <c r="T62">
        <f>HYPERLINK("https://klasma.github.io/Logging_1784/kartor/A 14030-2024 karta.png", "A 14030-2024")</f>
        <v/>
      </c>
      <c r="U62">
        <f>HYPERLINK("https://klasma.github.io/Logging_1784/knärot/A 14030-2024 karta knärot.png", "A 14030-2024")</f>
        <v/>
      </c>
      <c r="V62">
        <f>HYPERLINK("https://klasma.github.io/Logging_1784/klagomål/A 14030-2024 FSC-klagomål.docx", "A 14030-2024")</f>
        <v/>
      </c>
      <c r="W62">
        <f>HYPERLINK("https://klasma.github.io/Logging_1784/klagomålsmail/A 14030-2024 FSC-klagomål mail.docx", "A 14030-2024")</f>
        <v/>
      </c>
      <c r="X62">
        <f>HYPERLINK("https://klasma.github.io/Logging_1784/tillsyn/A 14030-2024 tillsynsbegäran.docx", "A 14030-2024")</f>
        <v/>
      </c>
      <c r="Y62">
        <f>HYPERLINK("https://klasma.github.io/Logging_1784/tillsynsmail/A 14030-2024 tillsynsbegäran mail.docx", "A 14030-2024")</f>
        <v/>
      </c>
    </row>
    <row r="63" ht="15" customHeight="1">
      <c r="A63" t="inlineStr">
        <is>
          <t>A 9060-2025</t>
        </is>
      </c>
      <c r="B63" s="1" t="n">
        <v>45713</v>
      </c>
      <c r="C63" s="1" t="n">
        <v>46012</v>
      </c>
      <c r="D63" t="inlineStr">
        <is>
          <t>VÄRMLANDS LÄN</t>
        </is>
      </c>
      <c r="E63" t="inlineStr">
        <is>
          <t>ARVIKA</t>
        </is>
      </c>
      <c r="G63" t="n">
        <v>5.8</v>
      </c>
      <c r="H63" t="n">
        <v>1</v>
      </c>
      <c r="I63" t="n">
        <v>0</v>
      </c>
      <c r="J63" t="n">
        <v>1</v>
      </c>
      <c r="K63" t="n">
        <v>0</v>
      </c>
      <c r="L63" t="n">
        <v>0</v>
      </c>
      <c r="M63" t="n">
        <v>0</v>
      </c>
      <c r="N63" t="n">
        <v>0</v>
      </c>
      <c r="O63" t="n">
        <v>1</v>
      </c>
      <c r="P63" t="n">
        <v>0</v>
      </c>
      <c r="Q63" t="n">
        <v>1</v>
      </c>
      <c r="R63" s="2" t="inlineStr">
        <is>
          <t>Tretåig hackspett</t>
        </is>
      </c>
      <c r="S63">
        <f>HYPERLINK("https://klasma.github.io/Logging_1784/artfynd/A 9060-2025 artfynd.xlsx", "A 9060-2025")</f>
        <v/>
      </c>
      <c r="T63">
        <f>HYPERLINK("https://klasma.github.io/Logging_1784/kartor/A 9060-2025 karta.png", "A 9060-2025")</f>
        <v/>
      </c>
      <c r="V63">
        <f>HYPERLINK("https://klasma.github.io/Logging_1784/klagomål/A 9060-2025 FSC-klagomål.docx", "A 9060-2025")</f>
        <v/>
      </c>
      <c r="W63">
        <f>HYPERLINK("https://klasma.github.io/Logging_1784/klagomålsmail/A 9060-2025 FSC-klagomål mail.docx", "A 9060-2025")</f>
        <v/>
      </c>
      <c r="X63">
        <f>HYPERLINK("https://klasma.github.io/Logging_1784/tillsyn/A 9060-2025 tillsynsbegäran.docx", "A 9060-2025")</f>
        <v/>
      </c>
      <c r="Y63">
        <f>HYPERLINK("https://klasma.github.io/Logging_1784/tillsynsmail/A 9060-2025 tillsynsbegäran mail.docx", "A 9060-2025")</f>
        <v/>
      </c>
      <c r="Z63">
        <f>HYPERLINK("https://klasma.github.io/Logging_1784/fåglar/A 9060-2025 prioriterade fågelarter.docx", "A 9060-2025")</f>
        <v/>
      </c>
    </row>
    <row r="64" ht="15" customHeight="1">
      <c r="A64" t="inlineStr">
        <is>
          <t>A 17079-2022</t>
        </is>
      </c>
      <c r="B64" s="1" t="n">
        <v>44677</v>
      </c>
      <c r="C64" s="1" t="n">
        <v>46012</v>
      </c>
      <c r="D64" t="inlineStr">
        <is>
          <t>VÄRMLANDS LÄN</t>
        </is>
      </c>
      <c r="E64" t="inlineStr">
        <is>
          <t>ARVIKA</t>
        </is>
      </c>
      <c r="F64" t="inlineStr">
        <is>
          <t>Bergvik skog väst AB</t>
        </is>
      </c>
      <c r="G64" t="n">
        <v>6</v>
      </c>
      <c r="H64" t="n">
        <v>0</v>
      </c>
      <c r="I64" t="n">
        <v>0</v>
      </c>
      <c r="J64" t="n">
        <v>1</v>
      </c>
      <c r="K64" t="n">
        <v>0</v>
      </c>
      <c r="L64" t="n">
        <v>0</v>
      </c>
      <c r="M64" t="n">
        <v>0</v>
      </c>
      <c r="N64" t="n">
        <v>0</v>
      </c>
      <c r="O64" t="n">
        <v>1</v>
      </c>
      <c r="P64" t="n">
        <v>0</v>
      </c>
      <c r="Q64" t="n">
        <v>1</v>
      </c>
      <c r="R64" s="2" t="inlineStr">
        <is>
          <t>Skogsklocka</t>
        </is>
      </c>
      <c r="S64">
        <f>HYPERLINK("https://klasma.github.io/Logging_1784/artfynd/A 17079-2022 artfynd.xlsx", "A 17079-2022")</f>
        <v/>
      </c>
      <c r="T64">
        <f>HYPERLINK("https://klasma.github.io/Logging_1784/kartor/A 17079-2022 karta.png", "A 17079-2022")</f>
        <v/>
      </c>
      <c r="V64">
        <f>HYPERLINK("https://klasma.github.io/Logging_1784/klagomål/A 17079-2022 FSC-klagomål.docx", "A 17079-2022")</f>
        <v/>
      </c>
      <c r="W64">
        <f>HYPERLINK("https://klasma.github.io/Logging_1784/klagomålsmail/A 17079-2022 FSC-klagomål mail.docx", "A 17079-2022")</f>
        <v/>
      </c>
      <c r="X64">
        <f>HYPERLINK("https://klasma.github.io/Logging_1784/tillsyn/A 17079-2022 tillsynsbegäran.docx", "A 17079-2022")</f>
        <v/>
      </c>
      <c r="Y64">
        <f>HYPERLINK("https://klasma.github.io/Logging_1784/tillsynsmail/A 17079-2022 tillsynsbegäran mail.docx", "A 17079-2022")</f>
        <v/>
      </c>
    </row>
    <row r="65" ht="15" customHeight="1">
      <c r="A65" t="inlineStr">
        <is>
          <t>A 19026-2024</t>
        </is>
      </c>
      <c r="B65" s="1" t="n">
        <v>45427</v>
      </c>
      <c r="C65" s="1" t="n">
        <v>46012</v>
      </c>
      <c r="D65" t="inlineStr">
        <is>
          <t>VÄRMLANDS LÄN</t>
        </is>
      </c>
      <c r="E65" t="inlineStr">
        <is>
          <t>ARVIKA</t>
        </is>
      </c>
      <c r="F65" t="inlineStr">
        <is>
          <t>Bergvik skog väst AB</t>
        </is>
      </c>
      <c r="G65" t="n">
        <v>1.1</v>
      </c>
      <c r="H65" t="n">
        <v>0</v>
      </c>
      <c r="I65" t="n">
        <v>1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1</v>
      </c>
      <c r="R65" s="2" t="inlineStr">
        <is>
          <t>Blomkålssvamp</t>
        </is>
      </c>
      <c r="S65">
        <f>HYPERLINK("https://klasma.github.io/Logging_1784/artfynd/A 19026-2024 artfynd.xlsx", "A 19026-2024")</f>
        <v/>
      </c>
      <c r="T65">
        <f>HYPERLINK("https://klasma.github.io/Logging_1784/kartor/A 19026-2024 karta.png", "A 19026-2024")</f>
        <v/>
      </c>
      <c r="V65">
        <f>HYPERLINK("https://klasma.github.io/Logging_1784/klagomål/A 19026-2024 FSC-klagomål.docx", "A 19026-2024")</f>
        <v/>
      </c>
      <c r="W65">
        <f>HYPERLINK("https://klasma.github.io/Logging_1784/klagomålsmail/A 19026-2024 FSC-klagomål mail.docx", "A 19026-2024")</f>
        <v/>
      </c>
      <c r="X65">
        <f>HYPERLINK("https://klasma.github.io/Logging_1784/tillsyn/A 19026-2024 tillsynsbegäran.docx", "A 19026-2024")</f>
        <v/>
      </c>
      <c r="Y65">
        <f>HYPERLINK("https://klasma.github.io/Logging_1784/tillsynsmail/A 19026-2024 tillsynsbegäran mail.docx", "A 19026-2024")</f>
        <v/>
      </c>
    </row>
    <row r="66" ht="15" customHeight="1">
      <c r="A66" t="inlineStr">
        <is>
          <t>A 43388-2023</t>
        </is>
      </c>
      <c r="B66" s="1" t="n">
        <v>45183</v>
      </c>
      <c r="C66" s="1" t="n">
        <v>46012</v>
      </c>
      <c r="D66" t="inlineStr">
        <is>
          <t>VÄRMLANDS LÄN</t>
        </is>
      </c>
      <c r="E66" t="inlineStr">
        <is>
          <t>ARVIKA</t>
        </is>
      </c>
      <c r="G66" t="n">
        <v>0.7</v>
      </c>
      <c r="H66" t="n">
        <v>1</v>
      </c>
      <c r="I66" t="n">
        <v>0</v>
      </c>
      <c r="J66" t="n">
        <v>0</v>
      </c>
      <c r="K66" t="n">
        <v>1</v>
      </c>
      <c r="L66" t="n">
        <v>0</v>
      </c>
      <c r="M66" t="n">
        <v>0</v>
      </c>
      <c r="N66" t="n">
        <v>0</v>
      </c>
      <c r="O66" t="n">
        <v>1</v>
      </c>
      <c r="P66" t="n">
        <v>1</v>
      </c>
      <c r="Q66" t="n">
        <v>1</v>
      </c>
      <c r="R66" s="2" t="inlineStr">
        <is>
          <t>Knärot</t>
        </is>
      </c>
      <c r="S66">
        <f>HYPERLINK("https://klasma.github.io/Logging_1784/artfynd/A 43388-2023 artfynd.xlsx", "A 43388-2023")</f>
        <v/>
      </c>
      <c r="T66">
        <f>HYPERLINK("https://klasma.github.io/Logging_1784/kartor/A 43388-2023 karta.png", "A 43388-2023")</f>
        <v/>
      </c>
      <c r="U66">
        <f>HYPERLINK("https://klasma.github.io/Logging_1784/knärot/A 43388-2023 karta knärot.png", "A 43388-2023")</f>
        <v/>
      </c>
      <c r="V66">
        <f>HYPERLINK("https://klasma.github.io/Logging_1784/klagomål/A 43388-2023 FSC-klagomål.docx", "A 43388-2023")</f>
        <v/>
      </c>
      <c r="W66">
        <f>HYPERLINK("https://klasma.github.io/Logging_1784/klagomålsmail/A 43388-2023 FSC-klagomål mail.docx", "A 43388-2023")</f>
        <v/>
      </c>
      <c r="X66">
        <f>HYPERLINK("https://klasma.github.io/Logging_1784/tillsyn/A 43388-2023 tillsynsbegäran.docx", "A 43388-2023")</f>
        <v/>
      </c>
      <c r="Y66">
        <f>HYPERLINK("https://klasma.github.io/Logging_1784/tillsynsmail/A 43388-2023 tillsynsbegäran mail.docx", "A 43388-2023")</f>
        <v/>
      </c>
    </row>
    <row r="67" ht="15" customHeight="1">
      <c r="A67" t="inlineStr">
        <is>
          <t>A 21252-2024</t>
        </is>
      </c>
      <c r="B67" s="1" t="n">
        <v>45440</v>
      </c>
      <c r="C67" s="1" t="n">
        <v>46012</v>
      </c>
      <c r="D67" t="inlineStr">
        <is>
          <t>VÄRMLANDS LÄN</t>
        </is>
      </c>
      <c r="E67" t="inlineStr">
        <is>
          <t>ARVIKA</t>
        </is>
      </c>
      <c r="F67" t="inlineStr">
        <is>
          <t>Bergvik skog väst AB</t>
        </is>
      </c>
      <c r="G67" t="n">
        <v>0.7</v>
      </c>
      <c r="H67" t="n">
        <v>1</v>
      </c>
      <c r="I67" t="n">
        <v>0</v>
      </c>
      <c r="J67" t="n">
        <v>0</v>
      </c>
      <c r="K67" t="n">
        <v>1</v>
      </c>
      <c r="L67" t="n">
        <v>0</v>
      </c>
      <c r="M67" t="n">
        <v>0</v>
      </c>
      <c r="N67" t="n">
        <v>0</v>
      </c>
      <c r="O67" t="n">
        <v>1</v>
      </c>
      <c r="P67" t="n">
        <v>1</v>
      </c>
      <c r="Q67" t="n">
        <v>1</v>
      </c>
      <c r="R67" s="2" t="inlineStr">
        <is>
          <t>Knärot</t>
        </is>
      </c>
      <c r="S67">
        <f>HYPERLINK("https://klasma.github.io/Logging_1784/artfynd/A 21252-2024 artfynd.xlsx", "A 21252-2024")</f>
        <v/>
      </c>
      <c r="T67">
        <f>HYPERLINK("https://klasma.github.io/Logging_1784/kartor/A 21252-2024 karta.png", "A 21252-2024")</f>
        <v/>
      </c>
      <c r="U67">
        <f>HYPERLINK("https://klasma.github.io/Logging_1784/knärot/A 21252-2024 karta knärot.png", "A 21252-2024")</f>
        <v/>
      </c>
      <c r="V67">
        <f>HYPERLINK("https://klasma.github.io/Logging_1784/klagomål/A 21252-2024 FSC-klagomål.docx", "A 21252-2024")</f>
        <v/>
      </c>
      <c r="W67">
        <f>HYPERLINK("https://klasma.github.io/Logging_1784/klagomålsmail/A 21252-2024 FSC-klagomål mail.docx", "A 21252-2024")</f>
        <v/>
      </c>
      <c r="X67">
        <f>HYPERLINK("https://klasma.github.io/Logging_1784/tillsyn/A 21252-2024 tillsynsbegäran.docx", "A 21252-2024")</f>
        <v/>
      </c>
      <c r="Y67">
        <f>HYPERLINK("https://klasma.github.io/Logging_1784/tillsynsmail/A 21252-2024 tillsynsbegäran mail.docx", "A 21252-2024")</f>
        <v/>
      </c>
    </row>
    <row r="68" ht="15" customHeight="1">
      <c r="A68" t="inlineStr">
        <is>
          <t>A 61004-2023</t>
        </is>
      </c>
      <c r="B68" s="1" t="n">
        <v>45261</v>
      </c>
      <c r="C68" s="1" t="n">
        <v>46012</v>
      </c>
      <c r="D68" t="inlineStr">
        <is>
          <t>VÄRMLANDS LÄN</t>
        </is>
      </c>
      <c r="E68" t="inlineStr">
        <is>
          <t>ARVIKA</t>
        </is>
      </c>
      <c r="G68" t="n">
        <v>3.6</v>
      </c>
      <c r="H68" t="n">
        <v>1</v>
      </c>
      <c r="I68" t="n">
        <v>0</v>
      </c>
      <c r="J68" t="n">
        <v>0</v>
      </c>
      <c r="K68" t="n">
        <v>1</v>
      </c>
      <c r="L68" t="n">
        <v>0</v>
      </c>
      <c r="M68" t="n">
        <v>0</v>
      </c>
      <c r="N68" t="n">
        <v>0</v>
      </c>
      <c r="O68" t="n">
        <v>1</v>
      </c>
      <c r="P68" t="n">
        <v>1</v>
      </c>
      <c r="Q68" t="n">
        <v>1</v>
      </c>
      <c r="R68" s="2" t="inlineStr">
        <is>
          <t>Knärot</t>
        </is>
      </c>
      <c r="S68">
        <f>HYPERLINK("https://klasma.github.io/Logging_1784/artfynd/A 61004-2023 artfynd.xlsx", "A 61004-2023")</f>
        <v/>
      </c>
      <c r="T68">
        <f>HYPERLINK("https://klasma.github.io/Logging_1784/kartor/A 61004-2023 karta.png", "A 61004-2023")</f>
        <v/>
      </c>
      <c r="U68">
        <f>HYPERLINK("https://klasma.github.io/Logging_1784/knärot/A 61004-2023 karta knärot.png", "A 61004-2023")</f>
        <v/>
      </c>
      <c r="V68">
        <f>HYPERLINK("https://klasma.github.io/Logging_1784/klagomål/A 61004-2023 FSC-klagomål.docx", "A 61004-2023")</f>
        <v/>
      </c>
      <c r="W68">
        <f>HYPERLINK("https://klasma.github.io/Logging_1784/klagomålsmail/A 61004-2023 FSC-klagomål mail.docx", "A 61004-2023")</f>
        <v/>
      </c>
      <c r="X68">
        <f>HYPERLINK("https://klasma.github.io/Logging_1784/tillsyn/A 61004-2023 tillsynsbegäran.docx", "A 61004-2023")</f>
        <v/>
      </c>
      <c r="Y68">
        <f>HYPERLINK("https://klasma.github.io/Logging_1784/tillsynsmail/A 61004-2023 tillsynsbegäran mail.docx", "A 61004-2023")</f>
        <v/>
      </c>
    </row>
    <row r="69" ht="15" customHeight="1">
      <c r="A69" t="inlineStr">
        <is>
          <t>A 48464-2023</t>
        </is>
      </c>
      <c r="B69" s="1" t="n">
        <v>45206</v>
      </c>
      <c r="C69" s="1" t="n">
        <v>46012</v>
      </c>
      <c r="D69" t="inlineStr">
        <is>
          <t>VÄRMLANDS LÄN</t>
        </is>
      </c>
      <c r="E69" t="inlineStr">
        <is>
          <t>ARVIKA</t>
        </is>
      </c>
      <c r="G69" t="n">
        <v>7.9</v>
      </c>
      <c r="H69" t="n">
        <v>1</v>
      </c>
      <c r="I69" t="n">
        <v>0</v>
      </c>
      <c r="J69" t="n">
        <v>0</v>
      </c>
      <c r="K69" t="n">
        <v>1</v>
      </c>
      <c r="L69" t="n">
        <v>0</v>
      </c>
      <c r="M69" t="n">
        <v>0</v>
      </c>
      <c r="N69" t="n">
        <v>0</v>
      </c>
      <c r="O69" t="n">
        <v>1</v>
      </c>
      <c r="P69" t="n">
        <v>1</v>
      </c>
      <c r="Q69" t="n">
        <v>1</v>
      </c>
      <c r="R69" s="2" t="inlineStr">
        <is>
          <t>Knärot</t>
        </is>
      </c>
      <c r="S69">
        <f>HYPERLINK("https://klasma.github.io/Logging_1784/artfynd/A 48464-2023 artfynd.xlsx", "A 48464-2023")</f>
        <v/>
      </c>
      <c r="T69">
        <f>HYPERLINK("https://klasma.github.io/Logging_1784/kartor/A 48464-2023 karta.png", "A 48464-2023")</f>
        <v/>
      </c>
      <c r="U69">
        <f>HYPERLINK("https://klasma.github.io/Logging_1784/knärot/A 48464-2023 karta knärot.png", "A 48464-2023")</f>
        <v/>
      </c>
      <c r="V69">
        <f>HYPERLINK("https://klasma.github.io/Logging_1784/klagomål/A 48464-2023 FSC-klagomål.docx", "A 48464-2023")</f>
        <v/>
      </c>
      <c r="W69">
        <f>HYPERLINK("https://klasma.github.io/Logging_1784/klagomålsmail/A 48464-2023 FSC-klagomål mail.docx", "A 48464-2023")</f>
        <v/>
      </c>
      <c r="X69">
        <f>HYPERLINK("https://klasma.github.io/Logging_1784/tillsyn/A 48464-2023 tillsynsbegäran.docx", "A 48464-2023")</f>
        <v/>
      </c>
      <c r="Y69">
        <f>HYPERLINK("https://klasma.github.io/Logging_1784/tillsynsmail/A 48464-2023 tillsynsbegäran mail.docx", "A 48464-2023")</f>
        <v/>
      </c>
    </row>
    <row r="70" ht="15" customHeight="1">
      <c r="A70" t="inlineStr">
        <is>
          <t>A 9055-2025</t>
        </is>
      </c>
      <c r="B70" s="1" t="n">
        <v>45713</v>
      </c>
      <c r="C70" s="1" t="n">
        <v>46012</v>
      </c>
      <c r="D70" t="inlineStr">
        <is>
          <t>VÄRMLANDS LÄN</t>
        </is>
      </c>
      <c r="E70" t="inlineStr">
        <is>
          <t>ARVIKA</t>
        </is>
      </c>
      <c r="G70" t="n">
        <v>2.4</v>
      </c>
      <c r="H70" t="n">
        <v>1</v>
      </c>
      <c r="I70" t="n">
        <v>0</v>
      </c>
      <c r="J70" t="n">
        <v>1</v>
      </c>
      <c r="K70" t="n">
        <v>0</v>
      </c>
      <c r="L70" t="n">
        <v>0</v>
      </c>
      <c r="M70" t="n">
        <v>0</v>
      </c>
      <c r="N70" t="n">
        <v>0</v>
      </c>
      <c r="O70" t="n">
        <v>1</v>
      </c>
      <c r="P70" t="n">
        <v>0</v>
      </c>
      <c r="Q70" t="n">
        <v>1</v>
      </c>
      <c r="R70" s="2" t="inlineStr">
        <is>
          <t>Spillkråka</t>
        </is>
      </c>
      <c r="S70">
        <f>HYPERLINK("https://klasma.github.io/Logging_1784/artfynd/A 9055-2025 artfynd.xlsx", "A 9055-2025")</f>
        <v/>
      </c>
      <c r="T70">
        <f>HYPERLINK("https://klasma.github.io/Logging_1784/kartor/A 9055-2025 karta.png", "A 9055-2025")</f>
        <v/>
      </c>
      <c r="V70">
        <f>HYPERLINK("https://klasma.github.io/Logging_1784/klagomål/A 9055-2025 FSC-klagomål.docx", "A 9055-2025")</f>
        <v/>
      </c>
      <c r="W70">
        <f>HYPERLINK("https://klasma.github.io/Logging_1784/klagomålsmail/A 9055-2025 FSC-klagomål mail.docx", "A 9055-2025")</f>
        <v/>
      </c>
      <c r="X70">
        <f>HYPERLINK("https://klasma.github.io/Logging_1784/tillsyn/A 9055-2025 tillsynsbegäran.docx", "A 9055-2025")</f>
        <v/>
      </c>
      <c r="Y70">
        <f>HYPERLINK("https://klasma.github.io/Logging_1784/tillsynsmail/A 9055-2025 tillsynsbegäran mail.docx", "A 9055-2025")</f>
        <v/>
      </c>
      <c r="Z70">
        <f>HYPERLINK("https://klasma.github.io/Logging_1784/fåglar/A 9055-2025 prioriterade fågelarter.docx", "A 9055-2025")</f>
        <v/>
      </c>
    </row>
    <row r="71" ht="15" customHeight="1">
      <c r="A71" t="inlineStr">
        <is>
          <t>A 5779-2025</t>
        </is>
      </c>
      <c r="B71" s="1" t="n">
        <v>45694.62826388889</v>
      </c>
      <c r="C71" s="1" t="n">
        <v>46012</v>
      </c>
      <c r="D71" t="inlineStr">
        <is>
          <t>VÄRMLANDS LÄN</t>
        </is>
      </c>
      <c r="E71" t="inlineStr">
        <is>
          <t>ARVIKA</t>
        </is>
      </c>
      <c r="F71" t="inlineStr">
        <is>
          <t>Bergvik skog väst AB</t>
        </is>
      </c>
      <c r="G71" t="n">
        <v>10.8</v>
      </c>
      <c r="H71" t="n">
        <v>1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1</v>
      </c>
      <c r="R71" s="2" t="inlineStr">
        <is>
          <t>Blåsippa</t>
        </is>
      </c>
      <c r="S71">
        <f>HYPERLINK("https://klasma.github.io/Logging_1784/artfynd/A 5779-2025 artfynd.xlsx", "A 5779-2025")</f>
        <v/>
      </c>
      <c r="T71">
        <f>HYPERLINK("https://klasma.github.io/Logging_1784/kartor/A 5779-2025 karta.png", "A 5779-2025")</f>
        <v/>
      </c>
      <c r="V71">
        <f>HYPERLINK("https://klasma.github.io/Logging_1784/klagomål/A 5779-2025 FSC-klagomål.docx", "A 5779-2025")</f>
        <v/>
      </c>
      <c r="W71">
        <f>HYPERLINK("https://klasma.github.io/Logging_1784/klagomålsmail/A 5779-2025 FSC-klagomål mail.docx", "A 5779-2025")</f>
        <v/>
      </c>
      <c r="X71">
        <f>HYPERLINK("https://klasma.github.io/Logging_1784/tillsyn/A 5779-2025 tillsynsbegäran.docx", "A 5779-2025")</f>
        <v/>
      </c>
      <c r="Y71">
        <f>HYPERLINK("https://klasma.github.io/Logging_1784/tillsynsmail/A 5779-2025 tillsynsbegäran mail.docx", "A 5779-2025")</f>
        <v/>
      </c>
    </row>
    <row r="72" ht="15" customHeight="1">
      <c r="A72" t="inlineStr">
        <is>
          <t>A 15988-2025</t>
        </is>
      </c>
      <c r="B72" s="1" t="n">
        <v>45749</v>
      </c>
      <c r="C72" s="1" t="n">
        <v>46012</v>
      </c>
      <c r="D72" t="inlineStr">
        <is>
          <t>VÄRMLANDS LÄN</t>
        </is>
      </c>
      <c r="E72" t="inlineStr">
        <is>
          <t>ARVIKA</t>
        </is>
      </c>
      <c r="G72" t="n">
        <v>6.5</v>
      </c>
      <c r="H72" t="n">
        <v>1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1</v>
      </c>
      <c r="R72" s="2" t="inlineStr">
        <is>
          <t>Göktyta</t>
        </is>
      </c>
      <c r="S72">
        <f>HYPERLINK("https://klasma.github.io/Logging_1784/artfynd/A 15988-2025 artfynd.xlsx", "A 15988-2025")</f>
        <v/>
      </c>
      <c r="T72">
        <f>HYPERLINK("https://klasma.github.io/Logging_1784/kartor/A 15988-2025 karta.png", "A 15988-2025")</f>
        <v/>
      </c>
      <c r="V72">
        <f>HYPERLINK("https://klasma.github.io/Logging_1784/klagomål/A 15988-2025 FSC-klagomål.docx", "A 15988-2025")</f>
        <v/>
      </c>
      <c r="W72">
        <f>HYPERLINK("https://klasma.github.io/Logging_1784/klagomålsmail/A 15988-2025 FSC-klagomål mail.docx", "A 15988-2025")</f>
        <v/>
      </c>
      <c r="X72">
        <f>HYPERLINK("https://klasma.github.io/Logging_1784/tillsyn/A 15988-2025 tillsynsbegäran.docx", "A 15988-2025")</f>
        <v/>
      </c>
      <c r="Y72">
        <f>HYPERLINK("https://klasma.github.io/Logging_1784/tillsynsmail/A 15988-2025 tillsynsbegäran mail.docx", "A 15988-2025")</f>
        <v/>
      </c>
      <c r="Z72">
        <f>HYPERLINK("https://klasma.github.io/Logging_1784/fåglar/A 15988-2025 prioriterade fågelarter.docx", "A 15988-2025")</f>
        <v/>
      </c>
    </row>
    <row r="73" ht="15" customHeight="1">
      <c r="A73" t="inlineStr">
        <is>
          <t>A 74218-2021</t>
        </is>
      </c>
      <c r="B73" s="1" t="n">
        <v>44558</v>
      </c>
      <c r="C73" s="1" t="n">
        <v>46012</v>
      </c>
      <c r="D73" t="inlineStr">
        <is>
          <t>VÄRMLANDS LÄN</t>
        </is>
      </c>
      <c r="E73" t="inlineStr">
        <is>
          <t>ARVIKA</t>
        </is>
      </c>
      <c r="G73" t="n">
        <v>10</v>
      </c>
      <c r="H73" t="n">
        <v>1</v>
      </c>
      <c r="I73" t="n">
        <v>0</v>
      </c>
      <c r="J73" t="n">
        <v>1</v>
      </c>
      <c r="K73" t="n">
        <v>0</v>
      </c>
      <c r="L73" t="n">
        <v>0</v>
      </c>
      <c r="M73" t="n">
        <v>0</v>
      </c>
      <c r="N73" t="n">
        <v>0</v>
      </c>
      <c r="O73" t="n">
        <v>1</v>
      </c>
      <c r="P73" t="n">
        <v>0</v>
      </c>
      <c r="Q73" t="n">
        <v>1</v>
      </c>
      <c r="R73" s="2" t="inlineStr">
        <is>
          <t>Talltita</t>
        </is>
      </c>
      <c r="S73">
        <f>HYPERLINK("https://klasma.github.io/Logging_1784/artfynd/A 74218-2021 artfynd.xlsx", "A 74218-2021")</f>
        <v/>
      </c>
      <c r="T73">
        <f>HYPERLINK("https://klasma.github.io/Logging_1784/kartor/A 74218-2021 karta.png", "A 74218-2021")</f>
        <v/>
      </c>
      <c r="V73">
        <f>HYPERLINK("https://klasma.github.io/Logging_1784/klagomål/A 74218-2021 FSC-klagomål.docx", "A 74218-2021")</f>
        <v/>
      </c>
      <c r="W73">
        <f>HYPERLINK("https://klasma.github.io/Logging_1784/klagomålsmail/A 74218-2021 FSC-klagomål mail.docx", "A 74218-2021")</f>
        <v/>
      </c>
      <c r="X73">
        <f>HYPERLINK("https://klasma.github.io/Logging_1784/tillsyn/A 74218-2021 tillsynsbegäran.docx", "A 74218-2021")</f>
        <v/>
      </c>
      <c r="Y73">
        <f>HYPERLINK("https://klasma.github.io/Logging_1784/tillsynsmail/A 74218-2021 tillsynsbegäran mail.docx", "A 74218-2021")</f>
        <v/>
      </c>
      <c r="Z73">
        <f>HYPERLINK("https://klasma.github.io/Logging_1784/fåglar/A 74218-2021 prioriterade fågelarter.docx", "A 74218-2021")</f>
        <v/>
      </c>
    </row>
    <row r="74" ht="15" customHeight="1">
      <c r="A74" t="inlineStr">
        <is>
          <t>A 48010-2024</t>
        </is>
      </c>
      <c r="B74" s="1" t="n">
        <v>45589</v>
      </c>
      <c r="C74" s="1" t="n">
        <v>46012</v>
      </c>
      <c r="D74" t="inlineStr">
        <is>
          <t>VÄRMLANDS LÄN</t>
        </is>
      </c>
      <c r="E74" t="inlineStr">
        <is>
          <t>ARVIKA</t>
        </is>
      </c>
      <c r="G74" t="n">
        <v>6.7</v>
      </c>
      <c r="H74" t="n">
        <v>1</v>
      </c>
      <c r="I74" t="n">
        <v>0</v>
      </c>
      <c r="J74" t="n">
        <v>0</v>
      </c>
      <c r="K74" t="n">
        <v>1</v>
      </c>
      <c r="L74" t="n">
        <v>0</v>
      </c>
      <c r="M74" t="n">
        <v>0</v>
      </c>
      <c r="N74" t="n">
        <v>0</v>
      </c>
      <c r="O74" t="n">
        <v>1</v>
      </c>
      <c r="P74" t="n">
        <v>1</v>
      </c>
      <c r="Q74" t="n">
        <v>1</v>
      </c>
      <c r="R74" s="2" t="inlineStr">
        <is>
          <t>Knärot</t>
        </is>
      </c>
      <c r="S74">
        <f>HYPERLINK("https://klasma.github.io/Logging_1784/artfynd/A 48010-2024 artfynd.xlsx", "A 48010-2024")</f>
        <v/>
      </c>
      <c r="T74">
        <f>HYPERLINK("https://klasma.github.io/Logging_1784/kartor/A 48010-2024 karta.png", "A 48010-2024")</f>
        <v/>
      </c>
      <c r="U74">
        <f>HYPERLINK("https://klasma.github.io/Logging_1784/knärot/A 48010-2024 karta knärot.png", "A 48010-2024")</f>
        <v/>
      </c>
      <c r="V74">
        <f>HYPERLINK("https://klasma.github.io/Logging_1784/klagomål/A 48010-2024 FSC-klagomål.docx", "A 48010-2024")</f>
        <v/>
      </c>
      <c r="W74">
        <f>HYPERLINK("https://klasma.github.io/Logging_1784/klagomålsmail/A 48010-2024 FSC-klagomål mail.docx", "A 48010-2024")</f>
        <v/>
      </c>
      <c r="X74">
        <f>HYPERLINK("https://klasma.github.io/Logging_1784/tillsyn/A 48010-2024 tillsynsbegäran.docx", "A 48010-2024")</f>
        <v/>
      </c>
      <c r="Y74">
        <f>HYPERLINK("https://klasma.github.io/Logging_1784/tillsynsmail/A 48010-2024 tillsynsbegäran mail.docx", "A 48010-2024")</f>
        <v/>
      </c>
    </row>
    <row r="75" ht="15" customHeight="1">
      <c r="A75" t="inlineStr">
        <is>
          <t>A 19137-2022</t>
        </is>
      </c>
      <c r="B75" s="1" t="n">
        <v>44691.61575231481</v>
      </c>
      <c r="C75" s="1" t="n">
        <v>46012</v>
      </c>
      <c r="D75" t="inlineStr">
        <is>
          <t>VÄRMLANDS LÄN</t>
        </is>
      </c>
      <c r="E75" t="inlineStr">
        <is>
          <t>ARVIKA</t>
        </is>
      </c>
      <c r="G75" t="n">
        <v>9.5</v>
      </c>
      <c r="H75" t="n">
        <v>1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1</v>
      </c>
      <c r="R75" s="2" t="inlineStr">
        <is>
          <t>Fläcknycklar</t>
        </is>
      </c>
      <c r="S75">
        <f>HYPERLINK("https://klasma.github.io/Logging_1784/artfynd/A 19137-2022 artfynd.xlsx", "A 19137-2022")</f>
        <v/>
      </c>
      <c r="T75">
        <f>HYPERLINK("https://klasma.github.io/Logging_1784/kartor/A 19137-2022 karta.png", "A 19137-2022")</f>
        <v/>
      </c>
      <c r="V75">
        <f>HYPERLINK("https://klasma.github.io/Logging_1784/klagomål/A 19137-2022 FSC-klagomål.docx", "A 19137-2022")</f>
        <v/>
      </c>
      <c r="W75">
        <f>HYPERLINK("https://klasma.github.io/Logging_1784/klagomålsmail/A 19137-2022 FSC-klagomål mail.docx", "A 19137-2022")</f>
        <v/>
      </c>
      <c r="X75">
        <f>HYPERLINK("https://klasma.github.io/Logging_1784/tillsyn/A 19137-2022 tillsynsbegäran.docx", "A 19137-2022")</f>
        <v/>
      </c>
      <c r="Y75">
        <f>HYPERLINK("https://klasma.github.io/Logging_1784/tillsynsmail/A 19137-2022 tillsynsbegäran mail.docx", "A 19137-2022")</f>
        <v/>
      </c>
    </row>
    <row r="76" ht="15" customHeight="1">
      <c r="A76" t="inlineStr">
        <is>
          <t>A 8846-2022</t>
        </is>
      </c>
      <c r="B76" s="1" t="n">
        <v>44614</v>
      </c>
      <c r="C76" s="1" t="n">
        <v>46012</v>
      </c>
      <c r="D76" t="inlineStr">
        <is>
          <t>VÄRMLANDS LÄN</t>
        </is>
      </c>
      <c r="E76" t="inlineStr">
        <is>
          <t>ARVIKA</t>
        </is>
      </c>
      <c r="G76" t="n">
        <v>8.6</v>
      </c>
      <c r="H76" t="n">
        <v>0</v>
      </c>
      <c r="I76" t="n">
        <v>1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1</v>
      </c>
      <c r="R76" s="2" t="inlineStr">
        <is>
          <t>Tibast</t>
        </is>
      </c>
      <c r="S76">
        <f>HYPERLINK("https://klasma.github.io/Logging_1784/artfynd/A 8846-2022 artfynd.xlsx", "A 8846-2022")</f>
        <v/>
      </c>
      <c r="T76">
        <f>HYPERLINK("https://klasma.github.io/Logging_1784/kartor/A 8846-2022 karta.png", "A 8846-2022")</f>
        <v/>
      </c>
      <c r="V76">
        <f>HYPERLINK("https://klasma.github.io/Logging_1784/klagomål/A 8846-2022 FSC-klagomål.docx", "A 8846-2022")</f>
        <v/>
      </c>
      <c r="W76">
        <f>HYPERLINK("https://klasma.github.io/Logging_1784/klagomålsmail/A 8846-2022 FSC-klagomål mail.docx", "A 8846-2022")</f>
        <v/>
      </c>
      <c r="X76">
        <f>HYPERLINK("https://klasma.github.io/Logging_1784/tillsyn/A 8846-2022 tillsynsbegäran.docx", "A 8846-2022")</f>
        <v/>
      </c>
      <c r="Y76">
        <f>HYPERLINK("https://klasma.github.io/Logging_1784/tillsynsmail/A 8846-2022 tillsynsbegäran mail.docx", "A 8846-2022")</f>
        <v/>
      </c>
    </row>
    <row r="77" ht="15" customHeight="1">
      <c r="A77" t="inlineStr">
        <is>
          <t>A 6966-2025</t>
        </is>
      </c>
      <c r="B77" s="1" t="n">
        <v>45701</v>
      </c>
      <c r="C77" s="1" t="n">
        <v>46012</v>
      </c>
      <c r="D77" t="inlineStr">
        <is>
          <t>VÄRMLANDS LÄN</t>
        </is>
      </c>
      <c r="E77" t="inlineStr">
        <is>
          <t>ARVIKA</t>
        </is>
      </c>
      <c r="G77" t="n">
        <v>1.9</v>
      </c>
      <c r="H77" t="n">
        <v>1</v>
      </c>
      <c r="I77" t="n">
        <v>0</v>
      </c>
      <c r="J77" t="n">
        <v>0</v>
      </c>
      <c r="K77" t="n">
        <v>1</v>
      </c>
      <c r="L77" t="n">
        <v>0</v>
      </c>
      <c r="M77" t="n">
        <v>0</v>
      </c>
      <c r="N77" t="n">
        <v>0</v>
      </c>
      <c r="O77" t="n">
        <v>1</v>
      </c>
      <c r="P77" t="n">
        <v>1</v>
      </c>
      <c r="Q77" t="n">
        <v>1</v>
      </c>
      <c r="R77" s="2" t="inlineStr">
        <is>
          <t>Knärot</t>
        </is>
      </c>
      <c r="S77">
        <f>HYPERLINK("https://klasma.github.io/Logging_1784/artfynd/A 6966-2025 artfynd.xlsx", "A 6966-2025")</f>
        <v/>
      </c>
      <c r="T77">
        <f>HYPERLINK("https://klasma.github.io/Logging_1784/kartor/A 6966-2025 karta.png", "A 6966-2025")</f>
        <v/>
      </c>
      <c r="U77">
        <f>HYPERLINK("https://klasma.github.io/Logging_1784/knärot/A 6966-2025 karta knärot.png", "A 6966-2025")</f>
        <v/>
      </c>
      <c r="V77">
        <f>HYPERLINK("https://klasma.github.io/Logging_1784/klagomål/A 6966-2025 FSC-klagomål.docx", "A 6966-2025")</f>
        <v/>
      </c>
      <c r="W77">
        <f>HYPERLINK("https://klasma.github.io/Logging_1784/klagomålsmail/A 6966-2025 FSC-klagomål mail.docx", "A 6966-2025")</f>
        <v/>
      </c>
      <c r="X77">
        <f>HYPERLINK("https://klasma.github.io/Logging_1784/tillsyn/A 6966-2025 tillsynsbegäran.docx", "A 6966-2025")</f>
        <v/>
      </c>
      <c r="Y77">
        <f>HYPERLINK("https://klasma.github.io/Logging_1784/tillsynsmail/A 6966-2025 tillsynsbegäran mail.docx", "A 6966-2025")</f>
        <v/>
      </c>
    </row>
    <row r="78" ht="15" customHeight="1">
      <c r="A78" t="inlineStr">
        <is>
          <t>A 8525-2023</t>
        </is>
      </c>
      <c r="B78" s="1" t="n">
        <v>44977</v>
      </c>
      <c r="C78" s="1" t="n">
        <v>46012</v>
      </c>
      <c r="D78" t="inlineStr">
        <is>
          <t>VÄRMLANDS LÄN</t>
        </is>
      </c>
      <c r="E78" t="inlineStr">
        <is>
          <t>ARVIKA</t>
        </is>
      </c>
      <c r="G78" t="n">
        <v>2.2</v>
      </c>
      <c r="H78" t="n">
        <v>1</v>
      </c>
      <c r="I78" t="n">
        <v>0</v>
      </c>
      <c r="J78" t="n">
        <v>0</v>
      </c>
      <c r="K78" t="n">
        <v>1</v>
      </c>
      <c r="L78" t="n">
        <v>0</v>
      </c>
      <c r="M78" t="n">
        <v>0</v>
      </c>
      <c r="N78" t="n">
        <v>0</v>
      </c>
      <c r="O78" t="n">
        <v>1</v>
      </c>
      <c r="P78" t="n">
        <v>1</v>
      </c>
      <c r="Q78" t="n">
        <v>1</v>
      </c>
      <c r="R78" s="2" t="inlineStr">
        <is>
          <t>Knärot</t>
        </is>
      </c>
      <c r="S78">
        <f>HYPERLINK("https://klasma.github.io/Logging_1784/artfynd/A 8525-2023 artfynd.xlsx", "A 8525-2023")</f>
        <v/>
      </c>
      <c r="T78">
        <f>HYPERLINK("https://klasma.github.io/Logging_1784/kartor/A 8525-2023 karta.png", "A 8525-2023")</f>
        <v/>
      </c>
      <c r="U78">
        <f>HYPERLINK("https://klasma.github.io/Logging_1784/knärot/A 8525-2023 karta knärot.png", "A 8525-2023")</f>
        <v/>
      </c>
      <c r="V78">
        <f>HYPERLINK("https://klasma.github.io/Logging_1784/klagomål/A 8525-2023 FSC-klagomål.docx", "A 8525-2023")</f>
        <v/>
      </c>
      <c r="W78">
        <f>HYPERLINK("https://klasma.github.io/Logging_1784/klagomålsmail/A 8525-2023 FSC-klagomål mail.docx", "A 8525-2023")</f>
        <v/>
      </c>
      <c r="X78">
        <f>HYPERLINK("https://klasma.github.io/Logging_1784/tillsyn/A 8525-2023 tillsynsbegäran.docx", "A 8525-2023")</f>
        <v/>
      </c>
      <c r="Y78">
        <f>HYPERLINK("https://klasma.github.io/Logging_1784/tillsynsmail/A 8525-2023 tillsynsbegäran mail.docx", "A 8525-2023")</f>
        <v/>
      </c>
    </row>
    <row r="79" ht="15" customHeight="1">
      <c r="A79" t="inlineStr">
        <is>
          <t>A 24022-2021</t>
        </is>
      </c>
      <c r="B79" s="1" t="n">
        <v>44336.29990740741</v>
      </c>
      <c r="C79" s="1" t="n">
        <v>46012</v>
      </c>
      <c r="D79" t="inlineStr">
        <is>
          <t>VÄRMLANDS LÄN</t>
        </is>
      </c>
      <c r="E79" t="inlineStr">
        <is>
          <t>ARVIKA</t>
        </is>
      </c>
      <c r="G79" t="n">
        <v>6.8</v>
      </c>
      <c r="H79" t="n">
        <v>1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1</v>
      </c>
      <c r="R79" s="2" t="inlineStr">
        <is>
          <t>Skogsödla</t>
        </is>
      </c>
      <c r="S79">
        <f>HYPERLINK("https://klasma.github.io/Logging_1784/artfynd/A 24022-2021 artfynd.xlsx", "A 24022-2021")</f>
        <v/>
      </c>
      <c r="T79">
        <f>HYPERLINK("https://klasma.github.io/Logging_1784/kartor/A 24022-2021 karta.png", "A 24022-2021")</f>
        <v/>
      </c>
      <c r="V79">
        <f>HYPERLINK("https://klasma.github.io/Logging_1784/klagomål/A 24022-2021 FSC-klagomål.docx", "A 24022-2021")</f>
        <v/>
      </c>
      <c r="W79">
        <f>HYPERLINK("https://klasma.github.io/Logging_1784/klagomålsmail/A 24022-2021 FSC-klagomål mail.docx", "A 24022-2021")</f>
        <v/>
      </c>
      <c r="X79">
        <f>HYPERLINK("https://klasma.github.io/Logging_1784/tillsyn/A 24022-2021 tillsynsbegäran.docx", "A 24022-2021")</f>
        <v/>
      </c>
      <c r="Y79">
        <f>HYPERLINK("https://klasma.github.io/Logging_1784/tillsynsmail/A 24022-2021 tillsynsbegäran mail.docx", "A 24022-2021")</f>
        <v/>
      </c>
    </row>
    <row r="80" ht="15" customHeight="1">
      <c r="A80" t="inlineStr">
        <is>
          <t>A 47141-2023</t>
        </is>
      </c>
      <c r="B80" s="1" t="n">
        <v>45201</v>
      </c>
      <c r="C80" s="1" t="n">
        <v>46012</v>
      </c>
      <c r="D80" t="inlineStr">
        <is>
          <t>VÄRMLANDS LÄN</t>
        </is>
      </c>
      <c r="E80" t="inlineStr">
        <is>
          <t>ARVIKA</t>
        </is>
      </c>
      <c r="G80" t="n">
        <v>3.7</v>
      </c>
      <c r="H80" t="n">
        <v>1</v>
      </c>
      <c r="I80" t="n">
        <v>0</v>
      </c>
      <c r="J80" t="n">
        <v>0</v>
      </c>
      <c r="K80" t="n">
        <v>1</v>
      </c>
      <c r="L80" t="n">
        <v>0</v>
      </c>
      <c r="M80" t="n">
        <v>0</v>
      </c>
      <c r="N80" t="n">
        <v>0</v>
      </c>
      <c r="O80" t="n">
        <v>1</v>
      </c>
      <c r="P80" t="n">
        <v>1</v>
      </c>
      <c r="Q80" t="n">
        <v>1</v>
      </c>
      <c r="R80" s="2" t="inlineStr">
        <is>
          <t>Knärot</t>
        </is>
      </c>
      <c r="S80">
        <f>HYPERLINK("https://klasma.github.io/Logging_1784/artfynd/A 47141-2023 artfynd.xlsx", "A 47141-2023")</f>
        <v/>
      </c>
      <c r="T80">
        <f>HYPERLINK("https://klasma.github.io/Logging_1784/kartor/A 47141-2023 karta.png", "A 47141-2023")</f>
        <v/>
      </c>
      <c r="U80">
        <f>HYPERLINK("https://klasma.github.io/Logging_1784/knärot/A 47141-2023 karta knärot.png", "A 47141-2023")</f>
        <v/>
      </c>
      <c r="V80">
        <f>HYPERLINK("https://klasma.github.io/Logging_1784/klagomål/A 47141-2023 FSC-klagomål.docx", "A 47141-2023")</f>
        <v/>
      </c>
      <c r="W80">
        <f>HYPERLINK("https://klasma.github.io/Logging_1784/klagomålsmail/A 47141-2023 FSC-klagomål mail.docx", "A 47141-2023")</f>
        <v/>
      </c>
      <c r="X80">
        <f>HYPERLINK("https://klasma.github.io/Logging_1784/tillsyn/A 47141-2023 tillsynsbegäran.docx", "A 47141-2023")</f>
        <v/>
      </c>
      <c r="Y80">
        <f>HYPERLINK("https://klasma.github.io/Logging_1784/tillsynsmail/A 47141-2023 tillsynsbegäran mail.docx", "A 47141-2023")</f>
        <v/>
      </c>
    </row>
    <row r="81" ht="15" customHeight="1">
      <c r="A81" t="inlineStr">
        <is>
          <t>A 48827-2022</t>
        </is>
      </c>
      <c r="B81" s="1" t="n">
        <v>44859.64771990741</v>
      </c>
      <c r="C81" s="1" t="n">
        <v>46012</v>
      </c>
      <c r="D81" t="inlineStr">
        <is>
          <t>VÄRMLANDS LÄN</t>
        </is>
      </c>
      <c r="E81" t="inlineStr">
        <is>
          <t>ARVIKA</t>
        </is>
      </c>
      <c r="G81" t="n">
        <v>1.4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48833-2022</t>
        </is>
      </c>
      <c r="B82" s="1" t="n">
        <v>44859</v>
      </c>
      <c r="C82" s="1" t="n">
        <v>46012</v>
      </c>
      <c r="D82" t="inlineStr">
        <is>
          <t>VÄRMLANDS LÄN</t>
        </is>
      </c>
      <c r="E82" t="inlineStr">
        <is>
          <t>ARVIKA</t>
        </is>
      </c>
      <c r="G82" t="n">
        <v>1.1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7727-2021</t>
        </is>
      </c>
      <c r="B83" s="1" t="n">
        <v>44242</v>
      </c>
      <c r="C83" s="1" t="n">
        <v>46012</v>
      </c>
      <c r="D83" t="inlineStr">
        <is>
          <t>VÄRMLANDS LÄN</t>
        </is>
      </c>
      <c r="E83" t="inlineStr">
        <is>
          <t>ARVIKA</t>
        </is>
      </c>
      <c r="G83" t="n">
        <v>0.3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23643-2021</t>
        </is>
      </c>
      <c r="B84" s="1" t="n">
        <v>44334</v>
      </c>
      <c r="C84" s="1" t="n">
        <v>46012</v>
      </c>
      <c r="D84" t="inlineStr">
        <is>
          <t>VÄRMLANDS LÄN</t>
        </is>
      </c>
      <c r="E84" t="inlineStr">
        <is>
          <t>ARVIKA</t>
        </is>
      </c>
      <c r="F84" t="inlineStr">
        <is>
          <t>Bergvik skog väst AB</t>
        </is>
      </c>
      <c r="G84" t="n">
        <v>1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30479-2021</t>
        </is>
      </c>
      <c r="B85" s="1" t="n">
        <v>44364</v>
      </c>
      <c r="C85" s="1" t="n">
        <v>46012</v>
      </c>
      <c r="D85" t="inlineStr">
        <is>
          <t>VÄRMLANDS LÄN</t>
        </is>
      </c>
      <c r="E85" t="inlineStr">
        <is>
          <t>ARVIKA</t>
        </is>
      </c>
      <c r="G85" t="n">
        <v>3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19486-2021</t>
        </is>
      </c>
      <c r="B86" s="1" t="n">
        <v>44312.32493055556</v>
      </c>
      <c r="C86" s="1" t="n">
        <v>46012</v>
      </c>
      <c r="D86" t="inlineStr">
        <is>
          <t>VÄRMLANDS LÄN</t>
        </is>
      </c>
      <c r="E86" t="inlineStr">
        <is>
          <t>ARVIKA</t>
        </is>
      </c>
      <c r="G86" t="n">
        <v>1.4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64576-2021</t>
        </is>
      </c>
      <c r="B87" s="1" t="n">
        <v>44511.66700231482</v>
      </c>
      <c r="C87" s="1" t="n">
        <v>46012</v>
      </c>
      <c r="D87" t="inlineStr">
        <is>
          <t>VÄRMLANDS LÄN</t>
        </is>
      </c>
      <c r="E87" t="inlineStr">
        <is>
          <t>ARVIKA</t>
        </is>
      </c>
      <c r="G87" t="n">
        <v>2.5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15912-2021</t>
        </is>
      </c>
      <c r="B88" s="1" t="n">
        <v>44287</v>
      </c>
      <c r="C88" s="1" t="n">
        <v>46012</v>
      </c>
      <c r="D88" t="inlineStr">
        <is>
          <t>VÄRMLANDS LÄN</t>
        </is>
      </c>
      <c r="E88" t="inlineStr">
        <is>
          <t>ARVIKA</t>
        </is>
      </c>
      <c r="G88" t="n">
        <v>0.8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31996-2021</t>
        </is>
      </c>
      <c r="B89" s="1" t="n">
        <v>44370</v>
      </c>
      <c r="C89" s="1" t="n">
        <v>46012</v>
      </c>
      <c r="D89" t="inlineStr">
        <is>
          <t>VÄRMLANDS LÄN</t>
        </is>
      </c>
      <c r="E89" t="inlineStr">
        <is>
          <t>ARVIKA</t>
        </is>
      </c>
      <c r="F89" t="inlineStr">
        <is>
          <t>Bergvik skog väst AB</t>
        </is>
      </c>
      <c r="G89" t="n">
        <v>1.7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35517-2021</t>
        </is>
      </c>
      <c r="B90" s="1" t="n">
        <v>44385</v>
      </c>
      <c r="C90" s="1" t="n">
        <v>46012</v>
      </c>
      <c r="D90" t="inlineStr">
        <is>
          <t>VÄRMLANDS LÄN</t>
        </is>
      </c>
      <c r="E90" t="inlineStr">
        <is>
          <t>ARVIKA</t>
        </is>
      </c>
      <c r="F90" t="inlineStr">
        <is>
          <t>Bergvik skog väst AB</t>
        </is>
      </c>
      <c r="G90" t="n">
        <v>0.9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2214-2021</t>
        </is>
      </c>
      <c r="B91" s="1" t="n">
        <v>44211</v>
      </c>
      <c r="C91" s="1" t="n">
        <v>46012</v>
      </c>
      <c r="D91" t="inlineStr">
        <is>
          <t>VÄRMLANDS LÄN</t>
        </is>
      </c>
      <c r="E91" t="inlineStr">
        <is>
          <t>ARVIKA</t>
        </is>
      </c>
      <c r="G91" t="n">
        <v>0.7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60502-2021</t>
        </is>
      </c>
      <c r="B92" s="1" t="n">
        <v>44496</v>
      </c>
      <c r="C92" s="1" t="n">
        <v>46012</v>
      </c>
      <c r="D92" t="inlineStr">
        <is>
          <t>VÄRMLANDS LÄN</t>
        </is>
      </c>
      <c r="E92" t="inlineStr">
        <is>
          <t>ARVIKA</t>
        </is>
      </c>
      <c r="G92" t="n">
        <v>2.9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28547-2022</t>
        </is>
      </c>
      <c r="B93" s="1" t="n">
        <v>44748.41724537037</v>
      </c>
      <c r="C93" s="1" t="n">
        <v>46012</v>
      </c>
      <c r="D93" t="inlineStr">
        <is>
          <t>VÄRMLANDS LÄN</t>
        </is>
      </c>
      <c r="E93" t="inlineStr">
        <is>
          <t>ARVIKA</t>
        </is>
      </c>
      <c r="F93" t="inlineStr">
        <is>
          <t>Bergvik skog väst AB</t>
        </is>
      </c>
      <c r="G93" t="n">
        <v>2.4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22565-2021</t>
        </is>
      </c>
      <c r="B94" s="1" t="n">
        <v>44322</v>
      </c>
      <c r="C94" s="1" t="n">
        <v>46012</v>
      </c>
      <c r="D94" t="inlineStr">
        <is>
          <t>VÄRMLANDS LÄN</t>
        </is>
      </c>
      <c r="E94" t="inlineStr">
        <is>
          <t>ARVIKA</t>
        </is>
      </c>
      <c r="G94" t="n">
        <v>3.1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22971-2021</t>
        </is>
      </c>
      <c r="B95" s="1" t="n">
        <v>44328</v>
      </c>
      <c r="C95" s="1" t="n">
        <v>46012</v>
      </c>
      <c r="D95" t="inlineStr">
        <is>
          <t>VÄRMLANDS LÄN</t>
        </is>
      </c>
      <c r="E95" t="inlineStr">
        <is>
          <t>ARVIKA</t>
        </is>
      </c>
      <c r="G95" t="n">
        <v>0.5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36643-2021</t>
        </is>
      </c>
      <c r="B96" s="1" t="n">
        <v>44392.32012731482</v>
      </c>
      <c r="C96" s="1" t="n">
        <v>46012</v>
      </c>
      <c r="D96" t="inlineStr">
        <is>
          <t>VÄRMLANDS LÄN</t>
        </is>
      </c>
      <c r="E96" t="inlineStr">
        <is>
          <t>ARVIKA</t>
        </is>
      </c>
      <c r="G96" t="n">
        <v>1.5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10750-2021</t>
        </is>
      </c>
      <c r="B97" s="1" t="n">
        <v>44259</v>
      </c>
      <c r="C97" s="1" t="n">
        <v>46012</v>
      </c>
      <c r="D97" t="inlineStr">
        <is>
          <t>VÄRMLANDS LÄN</t>
        </is>
      </c>
      <c r="E97" t="inlineStr">
        <is>
          <t>ARVIKA</t>
        </is>
      </c>
      <c r="F97" t="inlineStr">
        <is>
          <t>Bergvik skog väst AB</t>
        </is>
      </c>
      <c r="G97" t="n">
        <v>0.5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37085-2022</t>
        </is>
      </c>
      <c r="B98" s="1" t="n">
        <v>44806</v>
      </c>
      <c r="C98" s="1" t="n">
        <v>46012</v>
      </c>
      <c r="D98" t="inlineStr">
        <is>
          <t>VÄRMLANDS LÄN</t>
        </is>
      </c>
      <c r="E98" t="inlineStr">
        <is>
          <t>ARVIKA</t>
        </is>
      </c>
      <c r="G98" t="n">
        <v>0.4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40001-2021</t>
        </is>
      </c>
      <c r="B99" s="1" t="n">
        <v>44417</v>
      </c>
      <c r="C99" s="1" t="n">
        <v>46012</v>
      </c>
      <c r="D99" t="inlineStr">
        <is>
          <t>VÄRMLANDS LÄN</t>
        </is>
      </c>
      <c r="E99" t="inlineStr">
        <is>
          <t>ARVIKA</t>
        </is>
      </c>
      <c r="G99" t="n">
        <v>1.9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62603-2021</t>
        </is>
      </c>
      <c r="B100" s="1" t="n">
        <v>44503.67972222222</v>
      </c>
      <c r="C100" s="1" t="n">
        <v>46012</v>
      </c>
      <c r="D100" t="inlineStr">
        <is>
          <t>VÄRMLANDS LÄN</t>
        </is>
      </c>
      <c r="E100" t="inlineStr">
        <is>
          <t>ARVIKA</t>
        </is>
      </c>
      <c r="G100" t="n">
        <v>1.2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62612-2021</t>
        </is>
      </c>
      <c r="B101" s="1" t="n">
        <v>44503.69513888889</v>
      </c>
      <c r="C101" s="1" t="n">
        <v>46012</v>
      </c>
      <c r="D101" t="inlineStr">
        <is>
          <t>VÄRMLANDS LÄN</t>
        </is>
      </c>
      <c r="E101" t="inlineStr">
        <is>
          <t>ARVIKA</t>
        </is>
      </c>
      <c r="G101" t="n">
        <v>0.7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46091-2022</t>
        </is>
      </c>
      <c r="B102" s="1" t="n">
        <v>44847</v>
      </c>
      <c r="C102" s="1" t="n">
        <v>46012</v>
      </c>
      <c r="D102" t="inlineStr">
        <is>
          <t>VÄRMLANDS LÄN</t>
        </is>
      </c>
      <c r="E102" t="inlineStr">
        <is>
          <t>ARVIKA</t>
        </is>
      </c>
      <c r="F102" t="inlineStr">
        <is>
          <t>Bergvik skog väst AB</t>
        </is>
      </c>
      <c r="G102" t="n">
        <v>20.9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69367-2020</t>
        </is>
      </c>
      <c r="B103" s="1" t="n">
        <v>44193</v>
      </c>
      <c r="C103" s="1" t="n">
        <v>46012</v>
      </c>
      <c r="D103" t="inlineStr">
        <is>
          <t>VÄRMLANDS LÄN</t>
        </is>
      </c>
      <c r="E103" t="inlineStr">
        <is>
          <t>ARVIKA</t>
        </is>
      </c>
      <c r="G103" t="n">
        <v>1.5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16867-2021</t>
        </is>
      </c>
      <c r="B104" s="1" t="n">
        <v>44295.43234953703</v>
      </c>
      <c r="C104" s="1" t="n">
        <v>46012</v>
      </c>
      <c r="D104" t="inlineStr">
        <is>
          <t>VÄRMLANDS LÄN</t>
        </is>
      </c>
      <c r="E104" t="inlineStr">
        <is>
          <t>ARVIKA</t>
        </is>
      </c>
      <c r="G104" t="n">
        <v>1.8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8614-2022</t>
        </is>
      </c>
      <c r="B105" s="1" t="n">
        <v>44613</v>
      </c>
      <c r="C105" s="1" t="n">
        <v>46012</v>
      </c>
      <c r="D105" t="inlineStr">
        <is>
          <t>VÄRMLANDS LÄN</t>
        </is>
      </c>
      <c r="E105" t="inlineStr">
        <is>
          <t>ARVIKA</t>
        </is>
      </c>
      <c r="G105" t="n">
        <v>1.4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38894-2021</t>
        </is>
      </c>
      <c r="B106" s="1" t="n">
        <v>44411</v>
      </c>
      <c r="C106" s="1" t="n">
        <v>46012</v>
      </c>
      <c r="D106" t="inlineStr">
        <is>
          <t>VÄRMLANDS LÄN</t>
        </is>
      </c>
      <c r="E106" t="inlineStr">
        <is>
          <t>ARVIKA</t>
        </is>
      </c>
      <c r="G106" t="n">
        <v>1.5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9319-2022</t>
        </is>
      </c>
      <c r="B107" s="1" t="n">
        <v>44616</v>
      </c>
      <c r="C107" s="1" t="n">
        <v>46012</v>
      </c>
      <c r="D107" t="inlineStr">
        <is>
          <t>VÄRMLANDS LÄN</t>
        </is>
      </c>
      <c r="E107" t="inlineStr">
        <is>
          <t>ARVIKA</t>
        </is>
      </c>
      <c r="G107" t="n">
        <v>0.6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40743-2021</t>
        </is>
      </c>
      <c r="B108" s="1" t="n">
        <v>44420</v>
      </c>
      <c r="C108" s="1" t="n">
        <v>46012</v>
      </c>
      <c r="D108" t="inlineStr">
        <is>
          <t>VÄRMLANDS LÄN</t>
        </is>
      </c>
      <c r="E108" t="inlineStr">
        <is>
          <t>ARVIKA</t>
        </is>
      </c>
      <c r="G108" t="n">
        <v>1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25454-2021</t>
        </is>
      </c>
      <c r="B109" s="1" t="n">
        <v>44342</v>
      </c>
      <c r="C109" s="1" t="n">
        <v>46012</v>
      </c>
      <c r="D109" t="inlineStr">
        <is>
          <t>VÄRMLANDS LÄN</t>
        </is>
      </c>
      <c r="E109" t="inlineStr">
        <is>
          <t>ARVIKA</t>
        </is>
      </c>
      <c r="G109" t="n">
        <v>1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44425-2021</t>
        </is>
      </c>
      <c r="B110" s="1" t="n">
        <v>44435</v>
      </c>
      <c r="C110" s="1" t="n">
        <v>46012</v>
      </c>
      <c r="D110" t="inlineStr">
        <is>
          <t>VÄRMLANDS LÄN</t>
        </is>
      </c>
      <c r="E110" t="inlineStr">
        <is>
          <t>ARVIKA</t>
        </is>
      </c>
      <c r="G110" t="n">
        <v>0.7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35667-2022</t>
        </is>
      </c>
      <c r="B111" s="1" t="n">
        <v>44799</v>
      </c>
      <c r="C111" s="1" t="n">
        <v>46012</v>
      </c>
      <c r="D111" t="inlineStr">
        <is>
          <t>VÄRMLANDS LÄN</t>
        </is>
      </c>
      <c r="E111" t="inlineStr">
        <is>
          <t>ARVIKA</t>
        </is>
      </c>
      <c r="G111" t="n">
        <v>0.9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4740-2022</t>
        </is>
      </c>
      <c r="B112" s="1" t="n">
        <v>44592.56819444444</v>
      </c>
      <c r="C112" s="1" t="n">
        <v>46012</v>
      </c>
      <c r="D112" t="inlineStr">
        <is>
          <t>VÄRMLANDS LÄN</t>
        </is>
      </c>
      <c r="E112" t="inlineStr">
        <is>
          <t>ARVIKA</t>
        </is>
      </c>
      <c r="G112" t="n">
        <v>0.6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49012-2022</t>
        </is>
      </c>
      <c r="B113" s="1" t="n">
        <v>44855</v>
      </c>
      <c r="C113" s="1" t="n">
        <v>46012</v>
      </c>
      <c r="D113" t="inlineStr">
        <is>
          <t>VÄRMLANDS LÄN</t>
        </is>
      </c>
      <c r="E113" t="inlineStr">
        <is>
          <t>ARVIKA</t>
        </is>
      </c>
      <c r="G113" t="n">
        <v>2.6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42070-2021</t>
        </is>
      </c>
      <c r="B114" s="1" t="n">
        <v>44426</v>
      </c>
      <c r="C114" s="1" t="n">
        <v>46012</v>
      </c>
      <c r="D114" t="inlineStr">
        <is>
          <t>VÄRMLANDS LÄN</t>
        </is>
      </c>
      <c r="E114" t="inlineStr">
        <is>
          <t>ARVIKA</t>
        </is>
      </c>
      <c r="G114" t="n">
        <v>1.5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29521-2022</t>
        </is>
      </c>
      <c r="B115" s="1" t="n">
        <v>44753.66822916667</v>
      </c>
      <c r="C115" s="1" t="n">
        <v>46012</v>
      </c>
      <c r="D115" t="inlineStr">
        <is>
          <t>VÄRMLANDS LÄN</t>
        </is>
      </c>
      <c r="E115" t="inlineStr">
        <is>
          <t>ARVIKA</t>
        </is>
      </c>
      <c r="F115" t="inlineStr">
        <is>
          <t>Bergvik skog väst AB</t>
        </is>
      </c>
      <c r="G115" t="n">
        <v>1.7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44331-2021</t>
        </is>
      </c>
      <c r="B116" s="1" t="n">
        <v>44435.40436342593</v>
      </c>
      <c r="C116" s="1" t="n">
        <v>46012</v>
      </c>
      <c r="D116" t="inlineStr">
        <is>
          <t>VÄRMLANDS LÄN</t>
        </is>
      </c>
      <c r="E116" t="inlineStr">
        <is>
          <t>ARVIKA</t>
        </is>
      </c>
      <c r="G116" t="n">
        <v>1.8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38831-2021</t>
        </is>
      </c>
      <c r="B117" s="1" t="n">
        <v>44411</v>
      </c>
      <c r="C117" s="1" t="n">
        <v>46012</v>
      </c>
      <c r="D117" t="inlineStr">
        <is>
          <t>VÄRMLANDS LÄN</t>
        </is>
      </c>
      <c r="E117" t="inlineStr">
        <is>
          <t>ARVIKA</t>
        </is>
      </c>
      <c r="G117" t="n">
        <v>1.1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48794-2022</t>
        </is>
      </c>
      <c r="B118" s="1" t="n">
        <v>44859</v>
      </c>
      <c r="C118" s="1" t="n">
        <v>46012</v>
      </c>
      <c r="D118" t="inlineStr">
        <is>
          <t>VÄRMLANDS LÄN</t>
        </is>
      </c>
      <c r="E118" t="inlineStr">
        <is>
          <t>ARVIKA</t>
        </is>
      </c>
      <c r="F118" t="inlineStr">
        <is>
          <t>Bergvik skog väst AB</t>
        </is>
      </c>
      <c r="G118" t="n">
        <v>1.9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22600-2022</t>
        </is>
      </c>
      <c r="B119" s="1" t="n">
        <v>44714.36386574074</v>
      </c>
      <c r="C119" s="1" t="n">
        <v>46012</v>
      </c>
      <c r="D119" t="inlineStr">
        <is>
          <t>VÄRMLANDS LÄN</t>
        </is>
      </c>
      <c r="E119" t="inlineStr">
        <is>
          <t>ARVIKA</t>
        </is>
      </c>
      <c r="G119" t="n">
        <v>0.7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15306-2022</t>
        </is>
      </c>
      <c r="B120" s="1" t="n">
        <v>44659.45706018519</v>
      </c>
      <c r="C120" s="1" t="n">
        <v>46012</v>
      </c>
      <c r="D120" t="inlineStr">
        <is>
          <t>VÄRMLANDS LÄN</t>
        </is>
      </c>
      <c r="E120" t="inlineStr">
        <is>
          <t>ARVIKA</t>
        </is>
      </c>
      <c r="G120" t="n">
        <v>1.8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1059-2021</t>
        </is>
      </c>
      <c r="B121" s="1" t="n">
        <v>44207</v>
      </c>
      <c r="C121" s="1" t="n">
        <v>46012</v>
      </c>
      <c r="D121" t="inlineStr">
        <is>
          <t>VÄRMLANDS LÄN</t>
        </is>
      </c>
      <c r="E121" t="inlineStr">
        <is>
          <t>ARVIKA</t>
        </is>
      </c>
      <c r="G121" t="n">
        <v>5.9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21348-2022</t>
        </is>
      </c>
      <c r="B122" s="1" t="n">
        <v>44705</v>
      </c>
      <c r="C122" s="1" t="n">
        <v>46012</v>
      </c>
      <c r="D122" t="inlineStr">
        <is>
          <t>VÄRMLANDS LÄN</t>
        </is>
      </c>
      <c r="E122" t="inlineStr">
        <is>
          <t>ARVIKA</t>
        </is>
      </c>
      <c r="G122" t="n">
        <v>1.3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40455-2021</t>
        </is>
      </c>
      <c r="B123" s="1" t="n">
        <v>44419.8887962963</v>
      </c>
      <c r="C123" s="1" t="n">
        <v>46012</v>
      </c>
      <c r="D123" t="inlineStr">
        <is>
          <t>VÄRMLANDS LÄN</t>
        </is>
      </c>
      <c r="E123" t="inlineStr">
        <is>
          <t>ARVIKA</t>
        </is>
      </c>
      <c r="G123" t="n">
        <v>0.5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50560-2022</t>
        </is>
      </c>
      <c r="B124" s="1" t="n">
        <v>44866.62820601852</v>
      </c>
      <c r="C124" s="1" t="n">
        <v>46012</v>
      </c>
      <c r="D124" t="inlineStr">
        <is>
          <t>VÄRMLANDS LÄN</t>
        </is>
      </c>
      <c r="E124" t="inlineStr">
        <is>
          <t>ARVIKA</t>
        </is>
      </c>
      <c r="G124" t="n">
        <v>2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50954-2021</t>
        </is>
      </c>
      <c r="B125" s="1" t="n">
        <v>44460</v>
      </c>
      <c r="C125" s="1" t="n">
        <v>46012</v>
      </c>
      <c r="D125" t="inlineStr">
        <is>
          <t>VÄRMLANDS LÄN</t>
        </is>
      </c>
      <c r="E125" t="inlineStr">
        <is>
          <t>ARVIKA</t>
        </is>
      </c>
      <c r="G125" t="n">
        <v>1.3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69529-2021</t>
        </is>
      </c>
      <c r="B126" s="1" t="n">
        <v>44531</v>
      </c>
      <c r="C126" s="1" t="n">
        <v>46012</v>
      </c>
      <c r="D126" t="inlineStr">
        <is>
          <t>VÄRMLANDS LÄN</t>
        </is>
      </c>
      <c r="E126" t="inlineStr">
        <is>
          <t>ARVIKA</t>
        </is>
      </c>
      <c r="G126" t="n">
        <v>1.9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65102-2021</t>
        </is>
      </c>
      <c r="B127" s="1" t="n">
        <v>44514</v>
      </c>
      <c r="C127" s="1" t="n">
        <v>46012</v>
      </c>
      <c r="D127" t="inlineStr">
        <is>
          <t>VÄRMLANDS LÄN</t>
        </is>
      </c>
      <c r="E127" t="inlineStr">
        <is>
          <t>ARVIKA</t>
        </is>
      </c>
      <c r="G127" t="n">
        <v>1.4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9236-2022</t>
        </is>
      </c>
      <c r="B128" s="1" t="n">
        <v>44616</v>
      </c>
      <c r="C128" s="1" t="n">
        <v>46012</v>
      </c>
      <c r="D128" t="inlineStr">
        <is>
          <t>VÄRMLANDS LÄN</t>
        </is>
      </c>
      <c r="E128" t="inlineStr">
        <is>
          <t>ARVIKA</t>
        </is>
      </c>
      <c r="F128" t="inlineStr">
        <is>
          <t>Bergvik skog väst AB</t>
        </is>
      </c>
      <c r="G128" t="n">
        <v>0.5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9657-2022</t>
        </is>
      </c>
      <c r="B129" s="1" t="n">
        <v>44617</v>
      </c>
      <c r="C129" s="1" t="n">
        <v>46012</v>
      </c>
      <c r="D129" t="inlineStr">
        <is>
          <t>VÄRMLANDS LÄN</t>
        </is>
      </c>
      <c r="E129" t="inlineStr">
        <is>
          <t>ARVIKA</t>
        </is>
      </c>
      <c r="F129" t="inlineStr">
        <is>
          <t>Bergvik skog väst AB</t>
        </is>
      </c>
      <c r="G129" t="n">
        <v>8.800000000000001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22757-2021</t>
        </is>
      </c>
      <c r="B130" s="1" t="n">
        <v>44327</v>
      </c>
      <c r="C130" s="1" t="n">
        <v>46012</v>
      </c>
      <c r="D130" t="inlineStr">
        <is>
          <t>VÄRMLANDS LÄN</t>
        </is>
      </c>
      <c r="E130" t="inlineStr">
        <is>
          <t>ARVIKA</t>
        </is>
      </c>
      <c r="G130" t="n">
        <v>2.5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55787-2022</t>
        </is>
      </c>
      <c r="B131" s="1" t="n">
        <v>44888.62709490741</v>
      </c>
      <c r="C131" s="1" t="n">
        <v>46012</v>
      </c>
      <c r="D131" t="inlineStr">
        <is>
          <t>VÄRMLANDS LÄN</t>
        </is>
      </c>
      <c r="E131" t="inlineStr">
        <is>
          <t>ARVIKA</t>
        </is>
      </c>
      <c r="G131" t="n">
        <v>3.5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53390-2021</t>
        </is>
      </c>
      <c r="B132" s="1" t="n">
        <v>44468</v>
      </c>
      <c r="C132" s="1" t="n">
        <v>46012</v>
      </c>
      <c r="D132" t="inlineStr">
        <is>
          <t>VÄRMLANDS LÄN</t>
        </is>
      </c>
      <c r="E132" t="inlineStr">
        <is>
          <t>ARVIKA</t>
        </is>
      </c>
      <c r="G132" t="n">
        <v>2.5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69719-2021</t>
        </is>
      </c>
      <c r="B133" s="1" t="n">
        <v>44532</v>
      </c>
      <c r="C133" s="1" t="n">
        <v>46012</v>
      </c>
      <c r="D133" t="inlineStr">
        <is>
          <t>VÄRMLANDS LÄN</t>
        </is>
      </c>
      <c r="E133" t="inlineStr">
        <is>
          <t>ARVIKA</t>
        </is>
      </c>
      <c r="G133" t="n">
        <v>0.5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37413-2022</t>
        </is>
      </c>
      <c r="B134" s="1" t="n">
        <v>44808</v>
      </c>
      <c r="C134" s="1" t="n">
        <v>46012</v>
      </c>
      <c r="D134" t="inlineStr">
        <is>
          <t>VÄRMLANDS LÄN</t>
        </is>
      </c>
      <c r="E134" t="inlineStr">
        <is>
          <t>ARVIKA</t>
        </is>
      </c>
      <c r="G134" t="n">
        <v>4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8578-2022</t>
        </is>
      </c>
      <c r="B135" s="1" t="n">
        <v>44613</v>
      </c>
      <c r="C135" s="1" t="n">
        <v>46012</v>
      </c>
      <c r="D135" t="inlineStr">
        <is>
          <t>VÄRMLANDS LÄN</t>
        </is>
      </c>
      <c r="E135" t="inlineStr">
        <is>
          <t>ARVIKA</t>
        </is>
      </c>
      <c r="G135" t="n">
        <v>1.4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36458-2022</t>
        </is>
      </c>
      <c r="B136" s="1" t="n">
        <v>44804.41418981482</v>
      </c>
      <c r="C136" s="1" t="n">
        <v>46012</v>
      </c>
      <c r="D136" t="inlineStr">
        <is>
          <t>VÄRMLANDS LÄN</t>
        </is>
      </c>
      <c r="E136" t="inlineStr">
        <is>
          <t>ARVIKA</t>
        </is>
      </c>
      <c r="G136" t="n">
        <v>0.6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7725-2021</t>
        </is>
      </c>
      <c r="B137" s="1" t="n">
        <v>44242</v>
      </c>
      <c r="C137" s="1" t="n">
        <v>46012</v>
      </c>
      <c r="D137" t="inlineStr">
        <is>
          <t>VÄRMLANDS LÄN</t>
        </is>
      </c>
      <c r="E137" t="inlineStr">
        <is>
          <t>ARVIKA</t>
        </is>
      </c>
      <c r="G137" t="n">
        <v>0.1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50229-2021</t>
        </is>
      </c>
      <c r="B138" s="1" t="n">
        <v>44457.77009259259</v>
      </c>
      <c r="C138" s="1" t="n">
        <v>46012</v>
      </c>
      <c r="D138" t="inlineStr">
        <is>
          <t>VÄRMLANDS LÄN</t>
        </is>
      </c>
      <c r="E138" t="inlineStr">
        <is>
          <t>ARVIKA</t>
        </is>
      </c>
      <c r="G138" t="n">
        <v>1.3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10846-2022</t>
        </is>
      </c>
      <c r="B139" s="1" t="n">
        <v>44627.60471064815</v>
      </c>
      <c r="C139" s="1" t="n">
        <v>46012</v>
      </c>
      <c r="D139" t="inlineStr">
        <is>
          <t>VÄRMLANDS LÄN</t>
        </is>
      </c>
      <c r="E139" t="inlineStr">
        <is>
          <t>ARVIKA</t>
        </is>
      </c>
      <c r="G139" t="n">
        <v>0.5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40688-2021</t>
        </is>
      </c>
      <c r="B140" s="1" t="n">
        <v>44420.60023148148</v>
      </c>
      <c r="C140" s="1" t="n">
        <v>46012</v>
      </c>
      <c r="D140" t="inlineStr">
        <is>
          <t>VÄRMLANDS LÄN</t>
        </is>
      </c>
      <c r="E140" t="inlineStr">
        <is>
          <t>ARVIKA</t>
        </is>
      </c>
      <c r="F140" t="inlineStr">
        <is>
          <t>Bergvik skog väst AB</t>
        </is>
      </c>
      <c r="G140" t="n">
        <v>4.7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1453-2022</t>
        </is>
      </c>
      <c r="B141" s="1" t="n">
        <v>44573</v>
      </c>
      <c r="C141" s="1" t="n">
        <v>46012</v>
      </c>
      <c r="D141" t="inlineStr">
        <is>
          <t>VÄRMLANDS LÄN</t>
        </is>
      </c>
      <c r="E141" t="inlineStr">
        <is>
          <t>ARVIKA</t>
        </is>
      </c>
      <c r="G141" t="n">
        <v>1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2653-2022</t>
        </is>
      </c>
      <c r="B142" s="1" t="n">
        <v>44580</v>
      </c>
      <c r="C142" s="1" t="n">
        <v>46012</v>
      </c>
      <c r="D142" t="inlineStr">
        <is>
          <t>VÄRMLANDS LÄN</t>
        </is>
      </c>
      <c r="E142" t="inlineStr">
        <is>
          <t>ARVIKA</t>
        </is>
      </c>
      <c r="F142" t="inlineStr">
        <is>
          <t>Bergvik skog väst AB</t>
        </is>
      </c>
      <c r="G142" t="n">
        <v>0.7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8207-2022</t>
        </is>
      </c>
      <c r="B143" s="1" t="n">
        <v>44609</v>
      </c>
      <c r="C143" s="1" t="n">
        <v>46012</v>
      </c>
      <c r="D143" t="inlineStr">
        <is>
          <t>VÄRMLANDS LÄN</t>
        </is>
      </c>
      <c r="E143" t="inlineStr">
        <is>
          <t>ARVIKA</t>
        </is>
      </c>
      <c r="F143" t="inlineStr">
        <is>
          <t>Bergvik skog väst AB</t>
        </is>
      </c>
      <c r="G143" t="n">
        <v>0.7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68572-2021</t>
        </is>
      </c>
      <c r="B144" s="1" t="n">
        <v>44529</v>
      </c>
      <c r="C144" s="1" t="n">
        <v>46012</v>
      </c>
      <c r="D144" t="inlineStr">
        <is>
          <t>VÄRMLANDS LÄN</t>
        </is>
      </c>
      <c r="E144" t="inlineStr">
        <is>
          <t>ARVIKA</t>
        </is>
      </c>
      <c r="G144" t="n">
        <v>5.4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8634-2022</t>
        </is>
      </c>
      <c r="B145" s="1" t="n">
        <v>44613.62538194445</v>
      </c>
      <c r="C145" s="1" t="n">
        <v>46012</v>
      </c>
      <c r="D145" t="inlineStr">
        <is>
          <t>VÄRMLANDS LÄN</t>
        </is>
      </c>
      <c r="E145" t="inlineStr">
        <is>
          <t>ARVIKA</t>
        </is>
      </c>
      <c r="F145" t="inlineStr">
        <is>
          <t>Bergvik skog väst AB</t>
        </is>
      </c>
      <c r="G145" t="n">
        <v>1.3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41329-2021</t>
        </is>
      </c>
      <c r="B146" s="1" t="n">
        <v>44424</v>
      </c>
      <c r="C146" s="1" t="n">
        <v>46012</v>
      </c>
      <c r="D146" t="inlineStr">
        <is>
          <t>VÄRMLANDS LÄN</t>
        </is>
      </c>
      <c r="E146" t="inlineStr">
        <is>
          <t>ARVIKA</t>
        </is>
      </c>
      <c r="G146" t="n">
        <v>8.6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15981-2021</t>
        </is>
      </c>
      <c r="B147" s="1" t="n">
        <v>44287</v>
      </c>
      <c r="C147" s="1" t="n">
        <v>46012</v>
      </c>
      <c r="D147" t="inlineStr">
        <is>
          <t>VÄRMLANDS LÄN</t>
        </is>
      </c>
      <c r="E147" t="inlineStr">
        <is>
          <t>ARVIKA</t>
        </is>
      </c>
      <c r="G147" t="n">
        <v>3.3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13025-2021</t>
        </is>
      </c>
      <c r="B148" s="1" t="n">
        <v>44271</v>
      </c>
      <c r="C148" s="1" t="n">
        <v>46012</v>
      </c>
      <c r="D148" t="inlineStr">
        <is>
          <t>VÄRMLANDS LÄN</t>
        </is>
      </c>
      <c r="E148" t="inlineStr">
        <is>
          <t>ARVIKA</t>
        </is>
      </c>
      <c r="G148" t="n">
        <v>3.9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51514-2021</t>
        </is>
      </c>
      <c r="B149" s="1" t="n">
        <v>44462.37420138889</v>
      </c>
      <c r="C149" s="1" t="n">
        <v>46012</v>
      </c>
      <c r="D149" t="inlineStr">
        <is>
          <t>VÄRMLANDS LÄN</t>
        </is>
      </c>
      <c r="E149" t="inlineStr">
        <is>
          <t>ARVIKA</t>
        </is>
      </c>
      <c r="G149" t="n">
        <v>2.4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30733-2021</t>
        </is>
      </c>
      <c r="B150" s="1" t="n">
        <v>44365</v>
      </c>
      <c r="C150" s="1" t="n">
        <v>46012</v>
      </c>
      <c r="D150" t="inlineStr">
        <is>
          <t>VÄRMLANDS LÄN</t>
        </is>
      </c>
      <c r="E150" t="inlineStr">
        <is>
          <t>ARVIKA</t>
        </is>
      </c>
      <c r="G150" t="n">
        <v>1.3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30746-2021</t>
        </is>
      </c>
      <c r="B151" s="1" t="n">
        <v>44365</v>
      </c>
      <c r="C151" s="1" t="n">
        <v>46012</v>
      </c>
      <c r="D151" t="inlineStr">
        <is>
          <t>VÄRMLANDS LÄN</t>
        </is>
      </c>
      <c r="E151" t="inlineStr">
        <is>
          <t>ARVIKA</t>
        </is>
      </c>
      <c r="G151" t="n">
        <v>1.3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24130-2022</t>
        </is>
      </c>
      <c r="B152" s="1" t="n">
        <v>44725.449375</v>
      </c>
      <c r="C152" s="1" t="n">
        <v>46012</v>
      </c>
      <c r="D152" t="inlineStr">
        <is>
          <t>VÄRMLANDS LÄN</t>
        </is>
      </c>
      <c r="E152" t="inlineStr">
        <is>
          <t>ARVIKA</t>
        </is>
      </c>
      <c r="G152" t="n">
        <v>0.7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20346-2021</t>
        </is>
      </c>
      <c r="B153" s="1" t="n">
        <v>44315</v>
      </c>
      <c r="C153" s="1" t="n">
        <v>46012</v>
      </c>
      <c r="D153" t="inlineStr">
        <is>
          <t>VÄRMLANDS LÄN</t>
        </is>
      </c>
      <c r="E153" t="inlineStr">
        <is>
          <t>ARVIKA</t>
        </is>
      </c>
      <c r="G153" t="n">
        <v>1.6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24137-2022</t>
        </is>
      </c>
      <c r="B154" s="1" t="n">
        <v>44725.4570949074</v>
      </c>
      <c r="C154" s="1" t="n">
        <v>46012</v>
      </c>
      <c r="D154" t="inlineStr">
        <is>
          <t>VÄRMLANDS LÄN</t>
        </is>
      </c>
      <c r="E154" t="inlineStr">
        <is>
          <t>ARVIKA</t>
        </is>
      </c>
      <c r="G154" t="n">
        <v>3.2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35174-2022</t>
        </is>
      </c>
      <c r="B155" s="1" t="n">
        <v>44797.60815972222</v>
      </c>
      <c r="C155" s="1" t="n">
        <v>46012</v>
      </c>
      <c r="D155" t="inlineStr">
        <is>
          <t>VÄRMLANDS LÄN</t>
        </is>
      </c>
      <c r="E155" t="inlineStr">
        <is>
          <t>ARVIKA</t>
        </is>
      </c>
      <c r="F155" t="inlineStr">
        <is>
          <t>Bergvik skog väst AB</t>
        </is>
      </c>
      <c r="G155" t="n">
        <v>11.1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2237-2021</t>
        </is>
      </c>
      <c r="B156" s="1" t="n">
        <v>44211</v>
      </c>
      <c r="C156" s="1" t="n">
        <v>46012</v>
      </c>
      <c r="D156" t="inlineStr">
        <is>
          <t>VÄRMLANDS LÄN</t>
        </is>
      </c>
      <c r="E156" t="inlineStr">
        <is>
          <t>ARVIKA</t>
        </is>
      </c>
      <c r="G156" t="n">
        <v>1.1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47332-2021</t>
        </is>
      </c>
      <c r="B157" s="1" t="n">
        <v>44447.50265046296</v>
      </c>
      <c r="C157" s="1" t="n">
        <v>46012</v>
      </c>
      <c r="D157" t="inlineStr">
        <is>
          <t>VÄRMLANDS LÄN</t>
        </is>
      </c>
      <c r="E157" t="inlineStr">
        <is>
          <t>ARVIKA</t>
        </is>
      </c>
      <c r="G157" t="n">
        <v>1.6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44824-2021</t>
        </is>
      </c>
      <c r="B158" s="1" t="n">
        <v>44438</v>
      </c>
      <c r="C158" s="1" t="n">
        <v>46012</v>
      </c>
      <c r="D158" t="inlineStr">
        <is>
          <t>VÄRMLANDS LÄN</t>
        </is>
      </c>
      <c r="E158" t="inlineStr">
        <is>
          <t>ARVIKA</t>
        </is>
      </c>
      <c r="G158" t="n">
        <v>0.8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46840-2021</t>
        </is>
      </c>
      <c r="B159" s="1" t="n">
        <v>44446</v>
      </c>
      <c r="C159" s="1" t="n">
        <v>46012</v>
      </c>
      <c r="D159" t="inlineStr">
        <is>
          <t>VÄRMLANDS LÄN</t>
        </is>
      </c>
      <c r="E159" t="inlineStr">
        <is>
          <t>ARVIKA</t>
        </is>
      </c>
      <c r="F159" t="inlineStr">
        <is>
          <t>Bergvik skog väst AB</t>
        </is>
      </c>
      <c r="G159" t="n">
        <v>8.300000000000001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12533-2021</t>
        </is>
      </c>
      <c r="B160" s="1" t="n">
        <v>44269</v>
      </c>
      <c r="C160" s="1" t="n">
        <v>46012</v>
      </c>
      <c r="D160" t="inlineStr">
        <is>
          <t>VÄRMLANDS LÄN</t>
        </is>
      </c>
      <c r="E160" t="inlineStr">
        <is>
          <t>ARVIKA</t>
        </is>
      </c>
      <c r="G160" t="n">
        <v>1.4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53392-2022</t>
        </is>
      </c>
      <c r="B161" s="1" t="n">
        <v>44874</v>
      </c>
      <c r="C161" s="1" t="n">
        <v>46012</v>
      </c>
      <c r="D161" t="inlineStr">
        <is>
          <t>VÄRMLANDS LÄN</t>
        </is>
      </c>
      <c r="E161" t="inlineStr">
        <is>
          <t>ARVIKA</t>
        </is>
      </c>
      <c r="G161" t="n">
        <v>2.5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58288-2021</t>
        </is>
      </c>
      <c r="B162" s="1" t="n">
        <v>44488</v>
      </c>
      <c r="C162" s="1" t="n">
        <v>46012</v>
      </c>
      <c r="D162" t="inlineStr">
        <is>
          <t>VÄRMLANDS LÄN</t>
        </is>
      </c>
      <c r="E162" t="inlineStr">
        <is>
          <t>ARVIKA</t>
        </is>
      </c>
      <c r="G162" t="n">
        <v>1.7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15314-2022</t>
        </is>
      </c>
      <c r="B163" s="1" t="n">
        <v>44659.47733796296</v>
      </c>
      <c r="C163" s="1" t="n">
        <v>46012</v>
      </c>
      <c r="D163" t="inlineStr">
        <is>
          <t>VÄRMLANDS LÄN</t>
        </is>
      </c>
      <c r="E163" t="inlineStr">
        <is>
          <t>ARVIKA</t>
        </is>
      </c>
      <c r="G163" t="n">
        <v>1.7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23293-2021</t>
        </is>
      </c>
      <c r="B164" s="1" t="n">
        <v>44333</v>
      </c>
      <c r="C164" s="1" t="n">
        <v>46012</v>
      </c>
      <c r="D164" t="inlineStr">
        <is>
          <t>VÄRMLANDS LÄN</t>
        </is>
      </c>
      <c r="E164" t="inlineStr">
        <is>
          <t>ARVIKA</t>
        </is>
      </c>
      <c r="G164" t="n">
        <v>1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45294-2021</t>
        </is>
      </c>
      <c r="B165" s="1" t="n">
        <v>44439</v>
      </c>
      <c r="C165" s="1" t="n">
        <v>46012</v>
      </c>
      <c r="D165" t="inlineStr">
        <is>
          <t>VÄRMLANDS LÄN</t>
        </is>
      </c>
      <c r="E165" t="inlineStr">
        <is>
          <t>ARVIKA</t>
        </is>
      </c>
      <c r="G165" t="n">
        <v>0.5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4061-2022</t>
        </is>
      </c>
      <c r="B166" s="1" t="n">
        <v>44588</v>
      </c>
      <c r="C166" s="1" t="n">
        <v>46012</v>
      </c>
      <c r="D166" t="inlineStr">
        <is>
          <t>VÄRMLANDS LÄN</t>
        </is>
      </c>
      <c r="E166" t="inlineStr">
        <is>
          <t>ARVIKA</t>
        </is>
      </c>
      <c r="G166" t="n">
        <v>1.9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28655-2021</t>
        </is>
      </c>
      <c r="B167" s="1" t="n">
        <v>44357.35731481481</v>
      </c>
      <c r="C167" s="1" t="n">
        <v>46012</v>
      </c>
      <c r="D167" t="inlineStr">
        <is>
          <t>VÄRMLANDS LÄN</t>
        </is>
      </c>
      <c r="E167" t="inlineStr">
        <is>
          <t>ARVIKA</t>
        </is>
      </c>
      <c r="G167" t="n">
        <v>2.1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73805-2021</t>
        </is>
      </c>
      <c r="B168" s="1" t="n">
        <v>44552.71710648148</v>
      </c>
      <c r="C168" s="1" t="n">
        <v>46012</v>
      </c>
      <c r="D168" t="inlineStr">
        <is>
          <t>VÄRMLANDS LÄN</t>
        </is>
      </c>
      <c r="E168" t="inlineStr">
        <is>
          <t>ARVIKA</t>
        </is>
      </c>
      <c r="G168" t="n">
        <v>2.8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61835-2021</t>
        </is>
      </c>
      <c r="B169" s="1" t="n">
        <v>44501.88946759259</v>
      </c>
      <c r="C169" s="1" t="n">
        <v>46012</v>
      </c>
      <c r="D169" t="inlineStr">
        <is>
          <t>VÄRMLANDS LÄN</t>
        </is>
      </c>
      <c r="E169" t="inlineStr">
        <is>
          <t>ARVIKA</t>
        </is>
      </c>
      <c r="G169" t="n">
        <v>0.1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55902-2021</t>
        </is>
      </c>
      <c r="B170" s="1" t="n">
        <v>44476.88310185185</v>
      </c>
      <c r="C170" s="1" t="n">
        <v>46012</v>
      </c>
      <c r="D170" t="inlineStr">
        <is>
          <t>VÄRMLANDS LÄN</t>
        </is>
      </c>
      <c r="E170" t="inlineStr">
        <is>
          <t>ARVIKA</t>
        </is>
      </c>
      <c r="G170" t="n">
        <v>4.6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13514-2022</t>
        </is>
      </c>
      <c r="B171" s="1" t="n">
        <v>44648.34890046297</v>
      </c>
      <c r="C171" s="1" t="n">
        <v>46012</v>
      </c>
      <c r="D171" t="inlineStr">
        <is>
          <t>VÄRMLANDS LÄN</t>
        </is>
      </c>
      <c r="E171" t="inlineStr">
        <is>
          <t>ARVIKA</t>
        </is>
      </c>
      <c r="F171" t="inlineStr">
        <is>
          <t>Bergvik skog väst AB</t>
        </is>
      </c>
      <c r="G171" t="n">
        <v>0.6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11945-2021</t>
        </is>
      </c>
      <c r="B172" s="1" t="n">
        <v>44266.37754629629</v>
      </c>
      <c r="C172" s="1" t="n">
        <v>46012</v>
      </c>
      <c r="D172" t="inlineStr">
        <is>
          <t>VÄRMLANDS LÄN</t>
        </is>
      </c>
      <c r="E172" t="inlineStr">
        <is>
          <t>ARVIKA</t>
        </is>
      </c>
      <c r="F172" t="inlineStr">
        <is>
          <t>Bergvik skog väst AB</t>
        </is>
      </c>
      <c r="G172" t="n">
        <v>4.6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35116-2022</t>
        </is>
      </c>
      <c r="B173" s="1" t="n">
        <v>44797.45269675926</v>
      </c>
      <c r="C173" s="1" t="n">
        <v>46012</v>
      </c>
      <c r="D173" t="inlineStr">
        <is>
          <t>VÄRMLANDS LÄN</t>
        </is>
      </c>
      <c r="E173" t="inlineStr">
        <is>
          <t>ARVIKA</t>
        </is>
      </c>
      <c r="F173" t="inlineStr">
        <is>
          <t>Bergvik skog väst AB</t>
        </is>
      </c>
      <c r="G173" t="n">
        <v>0.9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10842-2022</t>
        </is>
      </c>
      <c r="B174" s="1" t="n">
        <v>44627.57815972222</v>
      </c>
      <c r="C174" s="1" t="n">
        <v>46012</v>
      </c>
      <c r="D174" t="inlineStr">
        <is>
          <t>VÄRMLANDS LÄN</t>
        </is>
      </c>
      <c r="E174" t="inlineStr">
        <is>
          <t>ARVIKA</t>
        </is>
      </c>
      <c r="G174" t="n">
        <v>1.1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21382-2021</t>
        </is>
      </c>
      <c r="B175" s="1" t="n">
        <v>44320</v>
      </c>
      <c r="C175" s="1" t="n">
        <v>46012</v>
      </c>
      <c r="D175" t="inlineStr">
        <is>
          <t>VÄRMLANDS LÄN</t>
        </is>
      </c>
      <c r="E175" t="inlineStr">
        <is>
          <t>ARVIKA</t>
        </is>
      </c>
      <c r="G175" t="n">
        <v>1.2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12659-2021</t>
        </is>
      </c>
      <c r="B176" s="1" t="n">
        <v>44270</v>
      </c>
      <c r="C176" s="1" t="n">
        <v>46012</v>
      </c>
      <c r="D176" t="inlineStr">
        <is>
          <t>VÄRMLANDS LÄN</t>
        </is>
      </c>
      <c r="E176" t="inlineStr">
        <is>
          <t>ARVIKA</t>
        </is>
      </c>
      <c r="G176" t="n">
        <v>2.7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39195-2021</t>
        </is>
      </c>
      <c r="B177" s="1" t="n">
        <v>44413</v>
      </c>
      <c r="C177" s="1" t="n">
        <v>46012</v>
      </c>
      <c r="D177" t="inlineStr">
        <is>
          <t>VÄRMLANDS LÄN</t>
        </is>
      </c>
      <c r="E177" t="inlineStr">
        <is>
          <t>ARVIKA</t>
        </is>
      </c>
      <c r="G177" t="n">
        <v>2.6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61520-2021</t>
        </is>
      </c>
      <c r="B178" s="1" t="n">
        <v>44501.37252314815</v>
      </c>
      <c r="C178" s="1" t="n">
        <v>46012</v>
      </c>
      <c r="D178" t="inlineStr">
        <is>
          <t>VÄRMLANDS LÄN</t>
        </is>
      </c>
      <c r="E178" t="inlineStr">
        <is>
          <t>ARVIKA</t>
        </is>
      </c>
      <c r="G178" t="n">
        <v>1.1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47004-2022</t>
        </is>
      </c>
      <c r="B179" s="1" t="n">
        <v>44852.31881944444</v>
      </c>
      <c r="C179" s="1" t="n">
        <v>46012</v>
      </c>
      <c r="D179" t="inlineStr">
        <is>
          <t>VÄRMLANDS LÄN</t>
        </is>
      </c>
      <c r="E179" t="inlineStr">
        <is>
          <t>ARVIKA</t>
        </is>
      </c>
      <c r="G179" t="n">
        <v>0.2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31829-2022</t>
        </is>
      </c>
      <c r="B180" s="1" t="n">
        <v>44776</v>
      </c>
      <c r="C180" s="1" t="n">
        <v>46012</v>
      </c>
      <c r="D180" t="inlineStr">
        <is>
          <t>VÄRMLANDS LÄN</t>
        </is>
      </c>
      <c r="E180" t="inlineStr">
        <is>
          <t>ARVIKA</t>
        </is>
      </c>
      <c r="G180" t="n">
        <v>0.6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32723-2022</t>
        </is>
      </c>
      <c r="B181" s="1" t="n">
        <v>44783.66143518518</v>
      </c>
      <c r="C181" s="1" t="n">
        <v>46012</v>
      </c>
      <c r="D181" t="inlineStr">
        <is>
          <t>VÄRMLANDS LÄN</t>
        </is>
      </c>
      <c r="E181" t="inlineStr">
        <is>
          <t>ARVIKA</t>
        </is>
      </c>
      <c r="G181" t="n">
        <v>1.6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32287-2022</t>
        </is>
      </c>
      <c r="B182" s="1" t="n">
        <v>44781</v>
      </c>
      <c r="C182" s="1" t="n">
        <v>46012</v>
      </c>
      <c r="D182" t="inlineStr">
        <is>
          <t>VÄRMLANDS LÄN</t>
        </is>
      </c>
      <c r="E182" t="inlineStr">
        <is>
          <t>ARVIKA</t>
        </is>
      </c>
      <c r="F182" t="inlineStr">
        <is>
          <t>Bergvik skog väst AB</t>
        </is>
      </c>
      <c r="G182" t="n">
        <v>11.5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26999-2021</t>
        </is>
      </c>
      <c r="B183" s="1" t="n">
        <v>44350.34581018519</v>
      </c>
      <c r="C183" s="1" t="n">
        <v>46012</v>
      </c>
      <c r="D183" t="inlineStr">
        <is>
          <t>VÄRMLANDS LÄN</t>
        </is>
      </c>
      <c r="E183" t="inlineStr">
        <is>
          <t>ARVIKA</t>
        </is>
      </c>
      <c r="G183" t="n">
        <v>4.1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70381-2021</t>
        </is>
      </c>
      <c r="B184" s="1" t="n">
        <v>44536.52726851852</v>
      </c>
      <c r="C184" s="1" t="n">
        <v>46012</v>
      </c>
      <c r="D184" t="inlineStr">
        <is>
          <t>VÄRMLANDS LÄN</t>
        </is>
      </c>
      <c r="E184" t="inlineStr">
        <is>
          <t>ARVIKA</t>
        </is>
      </c>
      <c r="G184" t="n">
        <v>1.8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33189-2022</t>
        </is>
      </c>
      <c r="B185" s="1" t="n">
        <v>44785.63675925926</v>
      </c>
      <c r="C185" s="1" t="n">
        <v>46012</v>
      </c>
      <c r="D185" t="inlineStr">
        <is>
          <t>VÄRMLANDS LÄN</t>
        </is>
      </c>
      <c r="E185" t="inlineStr">
        <is>
          <t>ARVIKA</t>
        </is>
      </c>
      <c r="G185" t="n">
        <v>0.9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38894-2022</t>
        </is>
      </c>
      <c r="B186" s="1" t="n">
        <v>44816</v>
      </c>
      <c r="C186" s="1" t="n">
        <v>46012</v>
      </c>
      <c r="D186" t="inlineStr">
        <is>
          <t>VÄRMLANDS LÄN</t>
        </is>
      </c>
      <c r="E186" t="inlineStr">
        <is>
          <t>ARVIKA</t>
        </is>
      </c>
      <c r="G186" t="n">
        <v>0.6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30983-2022</t>
        </is>
      </c>
      <c r="B187" s="1" t="n">
        <v>44768.51357638889</v>
      </c>
      <c r="C187" s="1" t="n">
        <v>46012</v>
      </c>
      <c r="D187" t="inlineStr">
        <is>
          <t>VÄRMLANDS LÄN</t>
        </is>
      </c>
      <c r="E187" t="inlineStr">
        <is>
          <t>ARVIKA</t>
        </is>
      </c>
      <c r="G187" t="n">
        <v>1.4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9080-2022</t>
        </is>
      </c>
      <c r="B188" s="1" t="n">
        <v>44615</v>
      </c>
      <c r="C188" s="1" t="n">
        <v>46012</v>
      </c>
      <c r="D188" t="inlineStr">
        <is>
          <t>VÄRMLANDS LÄN</t>
        </is>
      </c>
      <c r="E188" t="inlineStr">
        <is>
          <t>ARVIKA</t>
        </is>
      </c>
      <c r="G188" t="n">
        <v>3.3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7259-2021</t>
        </is>
      </c>
      <c r="B189" s="1" t="n">
        <v>44238.63473379629</v>
      </c>
      <c r="C189" s="1" t="n">
        <v>46012</v>
      </c>
      <c r="D189" t="inlineStr">
        <is>
          <t>VÄRMLANDS LÄN</t>
        </is>
      </c>
      <c r="E189" t="inlineStr">
        <is>
          <t>ARVIKA</t>
        </is>
      </c>
      <c r="G189" t="n">
        <v>1.4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16256-2022</t>
        </is>
      </c>
      <c r="B190" s="1" t="n">
        <v>44669</v>
      </c>
      <c r="C190" s="1" t="n">
        <v>46012</v>
      </c>
      <c r="D190" t="inlineStr">
        <is>
          <t>VÄRMLANDS LÄN</t>
        </is>
      </c>
      <c r="E190" t="inlineStr">
        <is>
          <t>ARVIKA</t>
        </is>
      </c>
      <c r="G190" t="n">
        <v>0.8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48727-2021</t>
        </is>
      </c>
      <c r="B191" s="1" t="n">
        <v>44452.59486111111</v>
      </c>
      <c r="C191" s="1" t="n">
        <v>46012</v>
      </c>
      <c r="D191" t="inlineStr">
        <is>
          <t>VÄRMLANDS LÄN</t>
        </is>
      </c>
      <c r="E191" t="inlineStr">
        <is>
          <t>ARVIKA</t>
        </is>
      </c>
      <c r="G191" t="n">
        <v>2.3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67654-2021</t>
        </is>
      </c>
      <c r="B192" s="1" t="n">
        <v>44524</v>
      </c>
      <c r="C192" s="1" t="n">
        <v>46012</v>
      </c>
      <c r="D192" t="inlineStr">
        <is>
          <t>VÄRMLANDS LÄN</t>
        </is>
      </c>
      <c r="E192" t="inlineStr">
        <is>
          <t>ARVIKA</t>
        </is>
      </c>
      <c r="G192" t="n">
        <v>1.1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42163-2021</t>
        </is>
      </c>
      <c r="B193" s="1" t="n">
        <v>44426</v>
      </c>
      <c r="C193" s="1" t="n">
        <v>46012</v>
      </c>
      <c r="D193" t="inlineStr">
        <is>
          <t>VÄRMLANDS LÄN</t>
        </is>
      </c>
      <c r="E193" t="inlineStr">
        <is>
          <t>ARVIKA</t>
        </is>
      </c>
      <c r="G193" t="n">
        <v>0.5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48966-2022</t>
        </is>
      </c>
      <c r="B194" s="1" t="n">
        <v>44860.33234953704</v>
      </c>
      <c r="C194" s="1" t="n">
        <v>46012</v>
      </c>
      <c r="D194" t="inlineStr">
        <is>
          <t>VÄRMLANDS LÄN</t>
        </is>
      </c>
      <c r="E194" t="inlineStr">
        <is>
          <t>ARVIKA</t>
        </is>
      </c>
      <c r="G194" t="n">
        <v>2.2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31797-2022</t>
        </is>
      </c>
      <c r="B195" s="1" t="n">
        <v>44776</v>
      </c>
      <c r="C195" s="1" t="n">
        <v>46012</v>
      </c>
      <c r="D195" t="inlineStr">
        <is>
          <t>VÄRMLANDS LÄN</t>
        </is>
      </c>
      <c r="E195" t="inlineStr">
        <is>
          <t>ARVIKA</t>
        </is>
      </c>
      <c r="G195" t="n">
        <v>1.2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38342-2022</t>
        </is>
      </c>
      <c r="B196" s="1" t="n">
        <v>44812.61857638889</v>
      </c>
      <c r="C196" s="1" t="n">
        <v>46012</v>
      </c>
      <c r="D196" t="inlineStr">
        <is>
          <t>VÄRMLANDS LÄN</t>
        </is>
      </c>
      <c r="E196" t="inlineStr">
        <is>
          <t>ARVIKA</t>
        </is>
      </c>
      <c r="F196" t="inlineStr">
        <is>
          <t>Bergvik skog väst AB</t>
        </is>
      </c>
      <c r="G196" t="n">
        <v>1.8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20176-2022</t>
        </is>
      </c>
      <c r="B197" s="1" t="n">
        <v>44698</v>
      </c>
      <c r="C197" s="1" t="n">
        <v>46012</v>
      </c>
      <c r="D197" t="inlineStr">
        <is>
          <t>VÄRMLANDS LÄN</t>
        </is>
      </c>
      <c r="E197" t="inlineStr">
        <is>
          <t>ARVIKA</t>
        </is>
      </c>
      <c r="G197" t="n">
        <v>3.5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66553-2021</t>
        </is>
      </c>
      <c r="B198" s="1" t="n">
        <v>44519.40490740741</v>
      </c>
      <c r="C198" s="1" t="n">
        <v>46012</v>
      </c>
      <c r="D198" t="inlineStr">
        <is>
          <t>VÄRMLANDS LÄN</t>
        </is>
      </c>
      <c r="E198" t="inlineStr">
        <is>
          <t>ARVIKA</t>
        </is>
      </c>
      <c r="G198" t="n">
        <v>3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42160-2022</t>
        </is>
      </c>
      <c r="B199" s="1" t="n">
        <v>44830</v>
      </c>
      <c r="C199" s="1" t="n">
        <v>46012</v>
      </c>
      <c r="D199" t="inlineStr">
        <is>
          <t>VÄRMLANDS LÄN</t>
        </is>
      </c>
      <c r="E199" t="inlineStr">
        <is>
          <t>ARVIKA</t>
        </is>
      </c>
      <c r="G199" t="n">
        <v>0.4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42734-2021</t>
        </is>
      </c>
      <c r="B200" s="1" t="n">
        <v>44428</v>
      </c>
      <c r="C200" s="1" t="n">
        <v>46012</v>
      </c>
      <c r="D200" t="inlineStr">
        <is>
          <t>VÄRMLANDS LÄN</t>
        </is>
      </c>
      <c r="E200" t="inlineStr">
        <is>
          <t>ARVIKA</t>
        </is>
      </c>
      <c r="G200" t="n">
        <v>0.5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55792-2022</t>
        </is>
      </c>
      <c r="B201" s="1" t="n">
        <v>44888.63201388889</v>
      </c>
      <c r="C201" s="1" t="n">
        <v>46012</v>
      </c>
      <c r="D201" t="inlineStr">
        <is>
          <t>VÄRMLANDS LÄN</t>
        </is>
      </c>
      <c r="E201" t="inlineStr">
        <is>
          <t>ARVIKA</t>
        </is>
      </c>
      <c r="G201" t="n">
        <v>4.8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7144-2022</t>
        </is>
      </c>
      <c r="B202" s="1" t="n">
        <v>44603</v>
      </c>
      <c r="C202" s="1" t="n">
        <v>46012</v>
      </c>
      <c r="D202" t="inlineStr">
        <is>
          <t>VÄRMLANDS LÄN</t>
        </is>
      </c>
      <c r="E202" t="inlineStr">
        <is>
          <t>ARVIKA</t>
        </is>
      </c>
      <c r="G202" t="n">
        <v>0.9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23277-2022</t>
        </is>
      </c>
      <c r="B203" s="1" t="n">
        <v>44720</v>
      </c>
      <c r="C203" s="1" t="n">
        <v>46012</v>
      </c>
      <c r="D203" t="inlineStr">
        <is>
          <t>VÄRMLANDS LÄN</t>
        </is>
      </c>
      <c r="E203" t="inlineStr">
        <is>
          <t>ARVIKA</t>
        </is>
      </c>
      <c r="G203" t="n">
        <v>1.4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9122-2022</t>
        </is>
      </c>
      <c r="B204" s="1" t="n">
        <v>44615.56917824074</v>
      </c>
      <c r="C204" s="1" t="n">
        <v>46012</v>
      </c>
      <c r="D204" t="inlineStr">
        <is>
          <t>VÄRMLANDS LÄN</t>
        </is>
      </c>
      <c r="E204" t="inlineStr">
        <is>
          <t>ARVIKA</t>
        </is>
      </c>
      <c r="G204" t="n">
        <v>1.3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23061-2022</t>
        </is>
      </c>
      <c r="B205" s="1" t="n">
        <v>44718</v>
      </c>
      <c r="C205" s="1" t="n">
        <v>46012</v>
      </c>
      <c r="D205" t="inlineStr">
        <is>
          <t>VÄRMLANDS LÄN</t>
        </is>
      </c>
      <c r="E205" t="inlineStr">
        <is>
          <t>ARVIKA</t>
        </is>
      </c>
      <c r="G205" t="n">
        <v>1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23078-2022</t>
        </is>
      </c>
      <c r="B206" s="1" t="n">
        <v>44718</v>
      </c>
      <c r="C206" s="1" t="n">
        <v>46012</v>
      </c>
      <c r="D206" t="inlineStr">
        <is>
          <t>VÄRMLANDS LÄN</t>
        </is>
      </c>
      <c r="E206" t="inlineStr">
        <is>
          <t>ARVIKA</t>
        </is>
      </c>
      <c r="G206" t="n">
        <v>1.6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74331-2021</t>
        </is>
      </c>
      <c r="B207" s="1" t="n">
        <v>44559</v>
      </c>
      <c r="C207" s="1" t="n">
        <v>46012</v>
      </c>
      <c r="D207" t="inlineStr">
        <is>
          <t>VÄRMLANDS LÄN</t>
        </is>
      </c>
      <c r="E207" t="inlineStr">
        <is>
          <t>ARVIKA</t>
        </is>
      </c>
      <c r="G207" t="n">
        <v>3.8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4099-2021</t>
        </is>
      </c>
      <c r="B208" s="1" t="n">
        <v>44222</v>
      </c>
      <c r="C208" s="1" t="n">
        <v>46012</v>
      </c>
      <c r="D208" t="inlineStr">
        <is>
          <t>VÄRMLANDS LÄN</t>
        </is>
      </c>
      <c r="E208" t="inlineStr">
        <is>
          <t>ARVIKA</t>
        </is>
      </c>
      <c r="G208" t="n">
        <v>2.2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46829-2022</t>
        </is>
      </c>
      <c r="B209" s="1" t="n">
        <v>44851</v>
      </c>
      <c r="C209" s="1" t="n">
        <v>46012</v>
      </c>
      <c r="D209" t="inlineStr">
        <is>
          <t>VÄRMLANDS LÄN</t>
        </is>
      </c>
      <c r="E209" t="inlineStr">
        <is>
          <t>ARVIKA</t>
        </is>
      </c>
      <c r="G209" t="n">
        <v>0.6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32947-2022</t>
        </is>
      </c>
      <c r="B210" s="1" t="n">
        <v>44784</v>
      </c>
      <c r="C210" s="1" t="n">
        <v>46012</v>
      </c>
      <c r="D210" t="inlineStr">
        <is>
          <t>VÄRMLANDS LÄN</t>
        </is>
      </c>
      <c r="E210" t="inlineStr">
        <is>
          <t>ARVIKA</t>
        </is>
      </c>
      <c r="G210" t="n">
        <v>1.6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28197-2022</t>
        </is>
      </c>
      <c r="B211" s="1" t="n">
        <v>44746</v>
      </c>
      <c r="C211" s="1" t="n">
        <v>46012</v>
      </c>
      <c r="D211" t="inlineStr">
        <is>
          <t>VÄRMLANDS LÄN</t>
        </is>
      </c>
      <c r="E211" t="inlineStr">
        <is>
          <t>ARVIKA</t>
        </is>
      </c>
      <c r="G211" t="n">
        <v>6.9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4086-2021</t>
        </is>
      </c>
      <c r="B212" s="1" t="n">
        <v>44222</v>
      </c>
      <c r="C212" s="1" t="n">
        <v>46012</v>
      </c>
      <c r="D212" t="inlineStr">
        <is>
          <t>VÄRMLANDS LÄN</t>
        </is>
      </c>
      <c r="E212" t="inlineStr">
        <is>
          <t>ARVIKA</t>
        </is>
      </c>
      <c r="G212" t="n">
        <v>0.6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22604-2022</t>
        </is>
      </c>
      <c r="B213" s="1" t="n">
        <v>44714.3706712963</v>
      </c>
      <c r="C213" s="1" t="n">
        <v>46012</v>
      </c>
      <c r="D213" t="inlineStr">
        <is>
          <t>VÄRMLANDS LÄN</t>
        </is>
      </c>
      <c r="E213" t="inlineStr">
        <is>
          <t>ARVIKA</t>
        </is>
      </c>
      <c r="G213" t="n">
        <v>0.6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16981-2021</t>
        </is>
      </c>
      <c r="B214" s="1" t="n">
        <v>44295</v>
      </c>
      <c r="C214" s="1" t="n">
        <v>46012</v>
      </c>
      <c r="D214" t="inlineStr">
        <is>
          <t>VÄRMLANDS LÄN</t>
        </is>
      </c>
      <c r="E214" t="inlineStr">
        <is>
          <t>ARVIKA</t>
        </is>
      </c>
      <c r="G214" t="n">
        <v>3.3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73208-2021</t>
        </is>
      </c>
      <c r="B215" s="1" t="n">
        <v>44550.64060185185</v>
      </c>
      <c r="C215" s="1" t="n">
        <v>46012</v>
      </c>
      <c r="D215" t="inlineStr">
        <is>
          <t>VÄRMLANDS LÄN</t>
        </is>
      </c>
      <c r="E215" t="inlineStr">
        <is>
          <t>ARVIKA</t>
        </is>
      </c>
      <c r="G215" t="n">
        <v>3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3443-2022</t>
        </is>
      </c>
      <c r="B216" s="1" t="n">
        <v>44585.56623842593</v>
      </c>
      <c r="C216" s="1" t="n">
        <v>46012</v>
      </c>
      <c r="D216" t="inlineStr">
        <is>
          <t>VÄRMLANDS LÄN</t>
        </is>
      </c>
      <c r="E216" t="inlineStr">
        <is>
          <t>ARVIKA</t>
        </is>
      </c>
      <c r="G216" t="n">
        <v>0.2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44067-2021</t>
        </is>
      </c>
      <c r="B217" s="1" t="n">
        <v>44434</v>
      </c>
      <c r="C217" s="1" t="n">
        <v>46012</v>
      </c>
      <c r="D217" t="inlineStr">
        <is>
          <t>VÄRMLANDS LÄN</t>
        </is>
      </c>
      <c r="E217" t="inlineStr">
        <is>
          <t>ARVIKA</t>
        </is>
      </c>
      <c r="G217" t="n">
        <v>0.7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15536-2021</t>
        </is>
      </c>
      <c r="B218" s="1" t="n">
        <v>44285</v>
      </c>
      <c r="C218" s="1" t="n">
        <v>46012</v>
      </c>
      <c r="D218" t="inlineStr">
        <is>
          <t>VÄRMLANDS LÄN</t>
        </is>
      </c>
      <c r="E218" t="inlineStr">
        <is>
          <t>ARVIKA</t>
        </is>
      </c>
      <c r="G218" t="n">
        <v>1.8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9851-2021</t>
        </is>
      </c>
      <c r="B219" s="1" t="n">
        <v>44253</v>
      </c>
      <c r="C219" s="1" t="n">
        <v>46012</v>
      </c>
      <c r="D219" t="inlineStr">
        <is>
          <t>VÄRMLANDS LÄN</t>
        </is>
      </c>
      <c r="E219" t="inlineStr">
        <is>
          <t>ARVIKA</t>
        </is>
      </c>
      <c r="G219" t="n">
        <v>0.7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55791-2021</t>
        </is>
      </c>
      <c r="B220" s="1" t="n">
        <v>44476.569375</v>
      </c>
      <c r="C220" s="1" t="n">
        <v>46012</v>
      </c>
      <c r="D220" t="inlineStr">
        <is>
          <t>VÄRMLANDS LÄN</t>
        </is>
      </c>
      <c r="E220" t="inlineStr">
        <is>
          <t>ARVIKA</t>
        </is>
      </c>
      <c r="G220" t="n">
        <v>1.9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45716-2021</t>
        </is>
      </c>
      <c r="B221" s="1" t="n">
        <v>44435</v>
      </c>
      <c r="C221" s="1" t="n">
        <v>46012</v>
      </c>
      <c r="D221" t="inlineStr">
        <is>
          <t>VÄRMLANDS LÄN</t>
        </is>
      </c>
      <c r="E221" t="inlineStr">
        <is>
          <t>ARVIKA</t>
        </is>
      </c>
      <c r="G221" t="n">
        <v>2.7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42720-2021</t>
        </is>
      </c>
      <c r="B222" s="1" t="n">
        <v>44428</v>
      </c>
      <c r="C222" s="1" t="n">
        <v>46012</v>
      </c>
      <c r="D222" t="inlineStr">
        <is>
          <t>VÄRMLANDS LÄN</t>
        </is>
      </c>
      <c r="E222" t="inlineStr">
        <is>
          <t>ARVIKA</t>
        </is>
      </c>
      <c r="G222" t="n">
        <v>0.7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23075-2022</t>
        </is>
      </c>
      <c r="B223" s="1" t="n">
        <v>44718</v>
      </c>
      <c r="C223" s="1" t="n">
        <v>46012</v>
      </c>
      <c r="D223" t="inlineStr">
        <is>
          <t>VÄRMLANDS LÄN</t>
        </is>
      </c>
      <c r="E223" t="inlineStr">
        <is>
          <t>ARVIKA</t>
        </is>
      </c>
      <c r="G223" t="n">
        <v>2.2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14615-2022</t>
        </is>
      </c>
      <c r="B224" s="1" t="n">
        <v>44655</v>
      </c>
      <c r="C224" s="1" t="n">
        <v>46012</v>
      </c>
      <c r="D224" t="inlineStr">
        <is>
          <t>VÄRMLANDS LÄN</t>
        </is>
      </c>
      <c r="E224" t="inlineStr">
        <is>
          <t>ARVIKA</t>
        </is>
      </c>
      <c r="G224" t="n">
        <v>1.1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51553-2021</t>
        </is>
      </c>
      <c r="B225" s="1" t="n">
        <v>44462</v>
      </c>
      <c r="C225" s="1" t="n">
        <v>46012</v>
      </c>
      <c r="D225" t="inlineStr">
        <is>
          <t>VÄRMLANDS LÄN</t>
        </is>
      </c>
      <c r="E225" t="inlineStr">
        <is>
          <t>ARVIKA</t>
        </is>
      </c>
      <c r="G225" t="n">
        <v>0.2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42324-2022</t>
        </is>
      </c>
      <c r="B226" s="1" t="n">
        <v>44831.34027777778</v>
      </c>
      <c r="C226" s="1" t="n">
        <v>46012</v>
      </c>
      <c r="D226" t="inlineStr">
        <is>
          <t>VÄRMLANDS LÄN</t>
        </is>
      </c>
      <c r="E226" t="inlineStr">
        <is>
          <t>ARVIKA</t>
        </is>
      </c>
      <c r="G226" t="n">
        <v>2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41450-2021</t>
        </is>
      </c>
      <c r="B227" s="1" t="n">
        <v>44424</v>
      </c>
      <c r="C227" s="1" t="n">
        <v>46012</v>
      </c>
      <c r="D227" t="inlineStr">
        <is>
          <t>VÄRMLANDS LÄN</t>
        </is>
      </c>
      <c r="E227" t="inlineStr">
        <is>
          <t>ARVIKA</t>
        </is>
      </c>
      <c r="G227" t="n">
        <v>2.9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19889-2022</t>
        </is>
      </c>
      <c r="B228" s="1" t="n">
        <v>44697.3821875</v>
      </c>
      <c r="C228" s="1" t="n">
        <v>46012</v>
      </c>
      <c r="D228" t="inlineStr">
        <is>
          <t>VÄRMLANDS LÄN</t>
        </is>
      </c>
      <c r="E228" t="inlineStr">
        <is>
          <t>ARVIKA</t>
        </is>
      </c>
      <c r="G228" t="n">
        <v>6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54261-2021</t>
        </is>
      </c>
      <c r="B229" s="1" t="n">
        <v>44470</v>
      </c>
      <c r="C229" s="1" t="n">
        <v>46012</v>
      </c>
      <c r="D229" t="inlineStr">
        <is>
          <t>VÄRMLANDS LÄN</t>
        </is>
      </c>
      <c r="E229" t="inlineStr">
        <is>
          <t>ARVIKA</t>
        </is>
      </c>
      <c r="G229" t="n">
        <v>0.6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61834-2021</t>
        </is>
      </c>
      <c r="B230" s="1" t="n">
        <v>44501.88587962963</v>
      </c>
      <c r="C230" s="1" t="n">
        <v>46012</v>
      </c>
      <c r="D230" t="inlineStr">
        <is>
          <t>VÄRMLANDS LÄN</t>
        </is>
      </c>
      <c r="E230" t="inlineStr">
        <is>
          <t>ARVIKA</t>
        </is>
      </c>
      <c r="G230" t="n">
        <v>0.7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41317-2021</t>
        </is>
      </c>
      <c r="B231" s="1" t="n">
        <v>44424</v>
      </c>
      <c r="C231" s="1" t="n">
        <v>46012</v>
      </c>
      <c r="D231" t="inlineStr">
        <is>
          <t>VÄRMLANDS LÄN</t>
        </is>
      </c>
      <c r="E231" t="inlineStr">
        <is>
          <t>ARVIKA</t>
        </is>
      </c>
      <c r="G231" t="n">
        <v>1.2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41320-2021</t>
        </is>
      </c>
      <c r="B232" s="1" t="n">
        <v>44424</v>
      </c>
      <c r="C232" s="1" t="n">
        <v>46012</v>
      </c>
      <c r="D232" t="inlineStr">
        <is>
          <t>VÄRMLANDS LÄN</t>
        </is>
      </c>
      <c r="E232" t="inlineStr">
        <is>
          <t>ARVIKA</t>
        </is>
      </c>
      <c r="G232" t="n">
        <v>0.4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41325-2021</t>
        </is>
      </c>
      <c r="B233" s="1" t="n">
        <v>44424</v>
      </c>
      <c r="C233" s="1" t="n">
        <v>46012</v>
      </c>
      <c r="D233" t="inlineStr">
        <is>
          <t>VÄRMLANDS LÄN</t>
        </is>
      </c>
      <c r="E233" t="inlineStr">
        <is>
          <t>ARVIKA</t>
        </is>
      </c>
      <c r="G233" t="n">
        <v>0.7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9374-2022</t>
        </is>
      </c>
      <c r="B234" s="1" t="n">
        <v>44616</v>
      </c>
      <c r="C234" s="1" t="n">
        <v>46012</v>
      </c>
      <c r="D234" t="inlineStr">
        <is>
          <t>VÄRMLANDS LÄN</t>
        </is>
      </c>
      <c r="E234" t="inlineStr">
        <is>
          <t>ARVIKA</t>
        </is>
      </c>
      <c r="F234" t="inlineStr">
        <is>
          <t>Bergvik skog väst AB</t>
        </is>
      </c>
      <c r="G234" t="n">
        <v>1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16104-2022</t>
        </is>
      </c>
      <c r="B235" s="1" t="n">
        <v>44665.60780092593</v>
      </c>
      <c r="C235" s="1" t="n">
        <v>46012</v>
      </c>
      <c r="D235" t="inlineStr">
        <is>
          <t>VÄRMLANDS LÄN</t>
        </is>
      </c>
      <c r="E235" t="inlineStr">
        <is>
          <t>ARVIKA</t>
        </is>
      </c>
      <c r="F235" t="inlineStr">
        <is>
          <t>Bergvik skog väst AB</t>
        </is>
      </c>
      <c r="G235" t="n">
        <v>13.2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47119-2021</t>
        </is>
      </c>
      <c r="B236" s="1" t="n">
        <v>44446</v>
      </c>
      <c r="C236" s="1" t="n">
        <v>46012</v>
      </c>
      <c r="D236" t="inlineStr">
        <is>
          <t>VÄRMLANDS LÄN</t>
        </is>
      </c>
      <c r="E236" t="inlineStr">
        <is>
          <t>ARVIKA</t>
        </is>
      </c>
      <c r="G236" t="n">
        <v>2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64331-2021</t>
        </is>
      </c>
      <c r="B237" s="1" t="n">
        <v>44510</v>
      </c>
      <c r="C237" s="1" t="n">
        <v>46012</v>
      </c>
      <c r="D237" t="inlineStr">
        <is>
          <t>VÄRMLANDS LÄN</t>
        </is>
      </c>
      <c r="E237" t="inlineStr">
        <is>
          <t>ARVIKA</t>
        </is>
      </c>
      <c r="G237" t="n">
        <v>0.8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21303-2022</t>
        </is>
      </c>
      <c r="B238" s="1" t="n">
        <v>44705.53600694444</v>
      </c>
      <c r="C238" s="1" t="n">
        <v>46012</v>
      </c>
      <c r="D238" t="inlineStr">
        <is>
          <t>VÄRMLANDS LÄN</t>
        </is>
      </c>
      <c r="E238" t="inlineStr">
        <is>
          <t>ARVIKA</t>
        </is>
      </c>
      <c r="G238" t="n">
        <v>0.5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21052-2022</t>
        </is>
      </c>
      <c r="B239" s="1" t="n">
        <v>44704</v>
      </c>
      <c r="C239" s="1" t="n">
        <v>46012</v>
      </c>
      <c r="D239" t="inlineStr">
        <is>
          <t>VÄRMLANDS LÄN</t>
        </is>
      </c>
      <c r="E239" t="inlineStr">
        <is>
          <t>ARVIKA</t>
        </is>
      </c>
      <c r="F239" t="inlineStr">
        <is>
          <t>Kyrkan</t>
        </is>
      </c>
      <c r="G239" t="n">
        <v>1.1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71130-2021</t>
        </is>
      </c>
      <c r="B240" s="1" t="n">
        <v>44539</v>
      </c>
      <c r="C240" s="1" t="n">
        <v>46012</v>
      </c>
      <c r="D240" t="inlineStr">
        <is>
          <t>VÄRMLANDS LÄN</t>
        </is>
      </c>
      <c r="E240" t="inlineStr">
        <is>
          <t>ARVIKA</t>
        </is>
      </c>
      <c r="G240" t="n">
        <v>0.9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4075-2022</t>
        </is>
      </c>
      <c r="B241" s="1" t="n">
        <v>44588.37962962963</v>
      </c>
      <c r="C241" s="1" t="n">
        <v>46012</v>
      </c>
      <c r="D241" t="inlineStr">
        <is>
          <t>VÄRMLANDS LÄN</t>
        </is>
      </c>
      <c r="E241" t="inlineStr">
        <is>
          <t>ARVIKA</t>
        </is>
      </c>
      <c r="G241" t="n">
        <v>0.5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38707-2022</t>
        </is>
      </c>
      <c r="B242" s="1" t="n">
        <v>44814</v>
      </c>
      <c r="C242" s="1" t="n">
        <v>46012</v>
      </c>
      <c r="D242" t="inlineStr">
        <is>
          <t>VÄRMLANDS LÄN</t>
        </is>
      </c>
      <c r="E242" t="inlineStr">
        <is>
          <t>ARVIKA</t>
        </is>
      </c>
      <c r="G242" t="n">
        <v>5.3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28548-2022</t>
        </is>
      </c>
      <c r="B243" s="1" t="n">
        <v>44748.4187037037</v>
      </c>
      <c r="C243" s="1" t="n">
        <v>46012</v>
      </c>
      <c r="D243" t="inlineStr">
        <is>
          <t>VÄRMLANDS LÄN</t>
        </is>
      </c>
      <c r="E243" t="inlineStr">
        <is>
          <t>ARVIKA</t>
        </is>
      </c>
      <c r="F243" t="inlineStr">
        <is>
          <t>Bergvik skog väst AB</t>
        </is>
      </c>
      <c r="G243" t="n">
        <v>1.2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1410-2025</t>
        </is>
      </c>
      <c r="B244" s="1" t="n">
        <v>45667.97048611111</v>
      </c>
      <c r="C244" s="1" t="n">
        <v>46012</v>
      </c>
      <c r="D244" t="inlineStr">
        <is>
          <t>VÄRMLANDS LÄN</t>
        </is>
      </c>
      <c r="E244" t="inlineStr">
        <is>
          <t>ARVIKA</t>
        </is>
      </c>
      <c r="G244" t="n">
        <v>2.5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16540-2021</t>
        </is>
      </c>
      <c r="B245" s="1" t="n">
        <v>44293.68983796296</v>
      </c>
      <c r="C245" s="1" t="n">
        <v>46012</v>
      </c>
      <c r="D245" t="inlineStr">
        <is>
          <t>VÄRMLANDS LÄN</t>
        </is>
      </c>
      <c r="E245" t="inlineStr">
        <is>
          <t>ARVIKA</t>
        </is>
      </c>
      <c r="G245" t="n">
        <v>0.8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17140-2021</t>
        </is>
      </c>
      <c r="B246" s="1" t="n">
        <v>44298</v>
      </c>
      <c r="C246" s="1" t="n">
        <v>46012</v>
      </c>
      <c r="D246" t="inlineStr">
        <is>
          <t>VÄRMLANDS LÄN</t>
        </is>
      </c>
      <c r="E246" t="inlineStr">
        <is>
          <t>ARVIKA</t>
        </is>
      </c>
      <c r="F246" t="inlineStr">
        <is>
          <t>Bergvik skog väst AB</t>
        </is>
      </c>
      <c r="G246" t="n">
        <v>3.9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8825-2025</t>
        </is>
      </c>
      <c r="B247" s="1" t="n">
        <v>45712.86552083334</v>
      </c>
      <c r="C247" s="1" t="n">
        <v>46012</v>
      </c>
      <c r="D247" t="inlineStr">
        <is>
          <t>VÄRMLANDS LÄN</t>
        </is>
      </c>
      <c r="E247" t="inlineStr">
        <is>
          <t>ARVIKA</t>
        </is>
      </c>
      <c r="G247" t="n">
        <v>8.1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13956-2023</t>
        </is>
      </c>
      <c r="B248" s="1" t="n">
        <v>45007</v>
      </c>
      <c r="C248" s="1" t="n">
        <v>46012</v>
      </c>
      <c r="D248" t="inlineStr">
        <is>
          <t>VÄRMLANDS LÄN</t>
        </is>
      </c>
      <c r="E248" t="inlineStr">
        <is>
          <t>ARVIKA</t>
        </is>
      </c>
      <c r="G248" t="n">
        <v>2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49295-2023</t>
        </is>
      </c>
      <c r="B249" s="1" t="n">
        <v>45210</v>
      </c>
      <c r="C249" s="1" t="n">
        <v>46012</v>
      </c>
      <c r="D249" t="inlineStr">
        <is>
          <t>VÄRMLANDS LÄN</t>
        </is>
      </c>
      <c r="E249" t="inlineStr">
        <is>
          <t>ARVIKA</t>
        </is>
      </c>
      <c r="G249" t="n">
        <v>0.2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9749-2025</t>
        </is>
      </c>
      <c r="B250" s="1" t="n">
        <v>45716</v>
      </c>
      <c r="C250" s="1" t="n">
        <v>46012</v>
      </c>
      <c r="D250" t="inlineStr">
        <is>
          <t>VÄRMLANDS LÄN</t>
        </is>
      </c>
      <c r="E250" t="inlineStr">
        <is>
          <t>ARVIKA</t>
        </is>
      </c>
      <c r="F250" t="inlineStr">
        <is>
          <t>Bergvik skog väst AB</t>
        </is>
      </c>
      <c r="G250" t="n">
        <v>5.1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18651-2023</t>
        </is>
      </c>
      <c r="B251" s="1" t="n">
        <v>45043.53853009259</v>
      </c>
      <c r="C251" s="1" t="n">
        <v>46012</v>
      </c>
      <c r="D251" t="inlineStr">
        <is>
          <t>VÄRMLANDS LÄN</t>
        </is>
      </c>
      <c r="E251" t="inlineStr">
        <is>
          <t>ARVIKA</t>
        </is>
      </c>
      <c r="G251" t="n">
        <v>1.1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17011-2024</t>
        </is>
      </c>
      <c r="B252" s="1" t="n">
        <v>45412</v>
      </c>
      <c r="C252" s="1" t="n">
        <v>46012</v>
      </c>
      <c r="D252" t="inlineStr">
        <is>
          <t>VÄRMLANDS LÄN</t>
        </is>
      </c>
      <c r="E252" t="inlineStr">
        <is>
          <t>ARVIKA</t>
        </is>
      </c>
      <c r="F252" t="inlineStr">
        <is>
          <t>Bergvik skog väst AB</t>
        </is>
      </c>
      <c r="G252" t="n">
        <v>2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20582-2025</t>
        </is>
      </c>
      <c r="B253" s="1" t="n">
        <v>45775.68714120371</v>
      </c>
      <c r="C253" s="1" t="n">
        <v>46012</v>
      </c>
      <c r="D253" t="inlineStr">
        <is>
          <t>VÄRMLANDS LÄN</t>
        </is>
      </c>
      <c r="E253" t="inlineStr">
        <is>
          <t>ARVIKA</t>
        </is>
      </c>
      <c r="G253" t="n">
        <v>4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27131-2022</t>
        </is>
      </c>
      <c r="B254" s="1" t="n">
        <v>44741</v>
      </c>
      <c r="C254" s="1" t="n">
        <v>46012</v>
      </c>
      <c r="D254" t="inlineStr">
        <is>
          <t>VÄRMLANDS LÄN</t>
        </is>
      </c>
      <c r="E254" t="inlineStr">
        <is>
          <t>ARVIKA</t>
        </is>
      </c>
      <c r="G254" t="n">
        <v>1.7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47343-2023</t>
        </is>
      </c>
      <c r="B255" s="1" t="n">
        <v>45202.56621527778</v>
      </c>
      <c r="C255" s="1" t="n">
        <v>46012</v>
      </c>
      <c r="D255" t="inlineStr">
        <is>
          <t>VÄRMLANDS LÄN</t>
        </is>
      </c>
      <c r="E255" t="inlineStr">
        <is>
          <t>ARVIKA</t>
        </is>
      </c>
      <c r="G255" t="n">
        <v>1.5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47191-2023</t>
        </is>
      </c>
      <c r="B256" s="1" t="n">
        <v>45202.30049768519</v>
      </c>
      <c r="C256" s="1" t="n">
        <v>46012</v>
      </c>
      <c r="D256" t="inlineStr">
        <is>
          <t>VÄRMLANDS LÄN</t>
        </is>
      </c>
      <c r="E256" t="inlineStr">
        <is>
          <t>ARVIKA</t>
        </is>
      </c>
      <c r="G256" t="n">
        <v>7.7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7198-2024</t>
        </is>
      </c>
      <c r="B257" s="1" t="n">
        <v>45344.58605324074</v>
      </c>
      <c r="C257" s="1" t="n">
        <v>46012</v>
      </c>
      <c r="D257" t="inlineStr">
        <is>
          <t>VÄRMLANDS LÄN</t>
        </is>
      </c>
      <c r="E257" t="inlineStr">
        <is>
          <t>ARVIKA</t>
        </is>
      </c>
      <c r="G257" t="n">
        <v>0.9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20096-2025</t>
        </is>
      </c>
      <c r="B258" s="1" t="n">
        <v>45772</v>
      </c>
      <c r="C258" s="1" t="n">
        <v>46012</v>
      </c>
      <c r="D258" t="inlineStr">
        <is>
          <t>VÄRMLANDS LÄN</t>
        </is>
      </c>
      <c r="E258" t="inlineStr">
        <is>
          <t>ARVIKA</t>
        </is>
      </c>
      <c r="F258" t="inlineStr">
        <is>
          <t>Bergvik skog väst AB</t>
        </is>
      </c>
      <c r="G258" t="n">
        <v>4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10129-2025</t>
        </is>
      </c>
      <c r="B259" s="1" t="n">
        <v>45719.60755787037</v>
      </c>
      <c r="C259" s="1" t="n">
        <v>46012</v>
      </c>
      <c r="D259" t="inlineStr">
        <is>
          <t>VÄRMLANDS LÄN</t>
        </is>
      </c>
      <c r="E259" t="inlineStr">
        <is>
          <t>ARVIKA</t>
        </is>
      </c>
      <c r="G259" t="n">
        <v>6.1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56713-2022</t>
        </is>
      </c>
      <c r="B260" s="1" t="n">
        <v>44893.85011574074</v>
      </c>
      <c r="C260" s="1" t="n">
        <v>46012</v>
      </c>
      <c r="D260" t="inlineStr">
        <is>
          <t>VÄRMLANDS LÄN</t>
        </is>
      </c>
      <c r="E260" t="inlineStr">
        <is>
          <t>ARVIKA</t>
        </is>
      </c>
      <c r="G260" t="n">
        <v>4.9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10427-2024</t>
        </is>
      </c>
      <c r="B261" s="1" t="n">
        <v>45365</v>
      </c>
      <c r="C261" s="1" t="n">
        <v>46012</v>
      </c>
      <c r="D261" t="inlineStr">
        <is>
          <t>VÄRMLANDS LÄN</t>
        </is>
      </c>
      <c r="E261" t="inlineStr">
        <is>
          <t>ARVIKA</t>
        </is>
      </c>
      <c r="G261" t="n">
        <v>0.9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15697-2024</t>
        </is>
      </c>
      <c r="B262" s="1" t="n">
        <v>45404.46048611111</v>
      </c>
      <c r="C262" s="1" t="n">
        <v>46012</v>
      </c>
      <c r="D262" t="inlineStr">
        <is>
          <t>VÄRMLANDS LÄN</t>
        </is>
      </c>
      <c r="E262" t="inlineStr">
        <is>
          <t>ARVIKA</t>
        </is>
      </c>
      <c r="G262" t="n">
        <v>0.7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35503-2024</t>
        </is>
      </c>
      <c r="B263" s="1" t="n">
        <v>45531.53295138889</v>
      </c>
      <c r="C263" s="1" t="n">
        <v>46012</v>
      </c>
      <c r="D263" t="inlineStr">
        <is>
          <t>VÄRMLANDS LÄN</t>
        </is>
      </c>
      <c r="E263" t="inlineStr">
        <is>
          <t>ARVIKA</t>
        </is>
      </c>
      <c r="F263" t="inlineStr">
        <is>
          <t>Bergvik skog väst AB</t>
        </is>
      </c>
      <c r="G263" t="n">
        <v>3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5744-2024</t>
        </is>
      </c>
      <c r="B264" s="1" t="n">
        <v>45335.29577546296</v>
      </c>
      <c r="C264" s="1" t="n">
        <v>46012</v>
      </c>
      <c r="D264" t="inlineStr">
        <is>
          <t>VÄRMLANDS LÄN</t>
        </is>
      </c>
      <c r="E264" t="inlineStr">
        <is>
          <t>ARVIKA</t>
        </is>
      </c>
      <c r="G264" t="n">
        <v>6.2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20171-2025</t>
        </is>
      </c>
      <c r="B265" s="1" t="n">
        <v>45772</v>
      </c>
      <c r="C265" s="1" t="n">
        <v>46012</v>
      </c>
      <c r="D265" t="inlineStr">
        <is>
          <t>VÄRMLANDS LÄN</t>
        </is>
      </c>
      <c r="E265" t="inlineStr">
        <is>
          <t>ARVIKA</t>
        </is>
      </c>
      <c r="F265" t="inlineStr">
        <is>
          <t>Bergvik skog väst AB</t>
        </is>
      </c>
      <c r="G265" t="n">
        <v>0.7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16815-2024</t>
        </is>
      </c>
      <c r="B266" s="1" t="n">
        <v>45411.46498842593</v>
      </c>
      <c r="C266" s="1" t="n">
        <v>46012</v>
      </c>
      <c r="D266" t="inlineStr">
        <is>
          <t>VÄRMLANDS LÄN</t>
        </is>
      </c>
      <c r="E266" t="inlineStr">
        <is>
          <t>ARVIKA</t>
        </is>
      </c>
      <c r="F266" t="inlineStr">
        <is>
          <t>Bergvik skog väst AB</t>
        </is>
      </c>
      <c r="G266" t="n">
        <v>5.1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37668-2024</t>
        </is>
      </c>
      <c r="B267" s="1" t="n">
        <v>45541</v>
      </c>
      <c r="C267" s="1" t="n">
        <v>46012</v>
      </c>
      <c r="D267" t="inlineStr">
        <is>
          <t>VÄRMLANDS LÄN</t>
        </is>
      </c>
      <c r="E267" t="inlineStr">
        <is>
          <t>ARVIKA</t>
        </is>
      </c>
      <c r="G267" t="n">
        <v>0.9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13671-2025</t>
        </is>
      </c>
      <c r="B268" s="1" t="n">
        <v>45736</v>
      </c>
      <c r="C268" s="1" t="n">
        <v>46012</v>
      </c>
      <c r="D268" t="inlineStr">
        <is>
          <t>VÄRMLANDS LÄN</t>
        </is>
      </c>
      <c r="E268" t="inlineStr">
        <is>
          <t>ARVIKA</t>
        </is>
      </c>
      <c r="G268" t="n">
        <v>0.6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12167-2025</t>
        </is>
      </c>
      <c r="B269" s="1" t="n">
        <v>45729.43538194444</v>
      </c>
      <c r="C269" s="1" t="n">
        <v>46012</v>
      </c>
      <c r="D269" t="inlineStr">
        <is>
          <t>VÄRMLANDS LÄN</t>
        </is>
      </c>
      <c r="E269" t="inlineStr">
        <is>
          <t>ARVIKA</t>
        </is>
      </c>
      <c r="F269" t="inlineStr">
        <is>
          <t>Bergvik skog väst AB</t>
        </is>
      </c>
      <c r="G269" t="n">
        <v>0.7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56710-2022</t>
        </is>
      </c>
      <c r="B270" s="1" t="n">
        <v>44893.83693287037</v>
      </c>
      <c r="C270" s="1" t="n">
        <v>46012</v>
      </c>
      <c r="D270" t="inlineStr">
        <is>
          <t>VÄRMLANDS LÄN</t>
        </is>
      </c>
      <c r="E270" t="inlineStr">
        <is>
          <t>ARVIKA</t>
        </is>
      </c>
      <c r="G270" t="n">
        <v>3.2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6237-2025</t>
        </is>
      </c>
      <c r="B271" s="1" t="n">
        <v>45698</v>
      </c>
      <c r="C271" s="1" t="n">
        <v>46012</v>
      </c>
      <c r="D271" t="inlineStr">
        <is>
          <t>VÄRMLANDS LÄN</t>
        </is>
      </c>
      <c r="E271" t="inlineStr">
        <is>
          <t>ARVIKA</t>
        </is>
      </c>
      <c r="G271" t="n">
        <v>3.3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18349-2024</t>
        </is>
      </c>
      <c r="B272" s="1" t="n">
        <v>45422</v>
      </c>
      <c r="C272" s="1" t="n">
        <v>46012</v>
      </c>
      <c r="D272" t="inlineStr">
        <is>
          <t>VÄRMLANDS LÄN</t>
        </is>
      </c>
      <c r="E272" t="inlineStr">
        <is>
          <t>ARVIKA</t>
        </is>
      </c>
      <c r="G272" t="n">
        <v>0.5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19320-2024</t>
        </is>
      </c>
      <c r="B273" s="1" t="n">
        <v>45428.90929398148</v>
      </c>
      <c r="C273" s="1" t="n">
        <v>46012</v>
      </c>
      <c r="D273" t="inlineStr">
        <is>
          <t>VÄRMLANDS LÄN</t>
        </is>
      </c>
      <c r="E273" t="inlineStr">
        <is>
          <t>ARVIKA</t>
        </is>
      </c>
      <c r="G273" t="n">
        <v>1.5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26698-2023</t>
        </is>
      </c>
      <c r="B274" s="1" t="n">
        <v>45093.36835648148</v>
      </c>
      <c r="C274" s="1" t="n">
        <v>46012</v>
      </c>
      <c r="D274" t="inlineStr">
        <is>
          <t>VÄRMLANDS LÄN</t>
        </is>
      </c>
      <c r="E274" t="inlineStr">
        <is>
          <t>ARVIKA</t>
        </is>
      </c>
      <c r="G274" t="n">
        <v>1.1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17620-2025</t>
        </is>
      </c>
      <c r="B275" s="1" t="n">
        <v>45757.85883101852</v>
      </c>
      <c r="C275" s="1" t="n">
        <v>46012</v>
      </c>
      <c r="D275" t="inlineStr">
        <is>
          <t>VÄRMLANDS LÄN</t>
        </is>
      </c>
      <c r="E275" t="inlineStr">
        <is>
          <t>ARVIKA</t>
        </is>
      </c>
      <c r="G275" t="n">
        <v>0.9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12689-2024</t>
        </is>
      </c>
      <c r="B276" s="1" t="n">
        <v>45384</v>
      </c>
      <c r="C276" s="1" t="n">
        <v>46012</v>
      </c>
      <c r="D276" t="inlineStr">
        <is>
          <t>VÄRMLANDS LÄN</t>
        </is>
      </c>
      <c r="E276" t="inlineStr">
        <is>
          <t>ARVIKA</t>
        </is>
      </c>
      <c r="G276" t="n">
        <v>2.3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43935-2024</t>
        </is>
      </c>
      <c r="B277" s="1" t="n">
        <v>45572</v>
      </c>
      <c r="C277" s="1" t="n">
        <v>46012</v>
      </c>
      <c r="D277" t="inlineStr">
        <is>
          <t>VÄRMLANDS LÄN</t>
        </is>
      </c>
      <c r="E277" t="inlineStr">
        <is>
          <t>ARVIKA</t>
        </is>
      </c>
      <c r="G277" t="n">
        <v>5.3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17108-2025</t>
        </is>
      </c>
      <c r="B278" s="1" t="n">
        <v>45755</v>
      </c>
      <c r="C278" s="1" t="n">
        <v>46012</v>
      </c>
      <c r="D278" t="inlineStr">
        <is>
          <t>VÄRMLANDS LÄN</t>
        </is>
      </c>
      <c r="E278" t="inlineStr">
        <is>
          <t>ARVIKA</t>
        </is>
      </c>
      <c r="G278" t="n">
        <v>1.5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17122-2025</t>
        </is>
      </c>
      <c r="B279" s="1" t="n">
        <v>45755.69629629629</v>
      </c>
      <c r="C279" s="1" t="n">
        <v>46012</v>
      </c>
      <c r="D279" t="inlineStr">
        <is>
          <t>VÄRMLANDS LÄN</t>
        </is>
      </c>
      <c r="E279" t="inlineStr">
        <is>
          <t>ARVIKA</t>
        </is>
      </c>
      <c r="G279" t="n">
        <v>2.4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15518-2025</t>
        </is>
      </c>
      <c r="B280" s="1" t="n">
        <v>45747.61740740741</v>
      </c>
      <c r="C280" s="1" t="n">
        <v>46012</v>
      </c>
      <c r="D280" t="inlineStr">
        <is>
          <t>VÄRMLANDS LÄN</t>
        </is>
      </c>
      <c r="E280" t="inlineStr">
        <is>
          <t>ARVIKA</t>
        </is>
      </c>
      <c r="G280" t="n">
        <v>1.1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36125-2022</t>
        </is>
      </c>
      <c r="B281" s="1" t="n">
        <v>44803</v>
      </c>
      <c r="C281" s="1" t="n">
        <v>46012</v>
      </c>
      <c r="D281" t="inlineStr">
        <is>
          <t>VÄRMLANDS LÄN</t>
        </is>
      </c>
      <c r="E281" t="inlineStr">
        <is>
          <t>ARVIKA</t>
        </is>
      </c>
      <c r="G281" t="n">
        <v>2.7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51608-2021</t>
        </is>
      </c>
      <c r="B282" s="1" t="n">
        <v>44461</v>
      </c>
      <c r="C282" s="1" t="n">
        <v>46012</v>
      </c>
      <c r="D282" t="inlineStr">
        <is>
          <t>VÄRMLANDS LÄN</t>
        </is>
      </c>
      <c r="E282" t="inlineStr">
        <is>
          <t>ARVIKA</t>
        </is>
      </c>
      <c r="G282" t="n">
        <v>1.8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58399-2023</t>
        </is>
      </c>
      <c r="B283" s="1" t="n">
        <v>45245</v>
      </c>
      <c r="C283" s="1" t="n">
        <v>46012</v>
      </c>
      <c r="D283" t="inlineStr">
        <is>
          <t>VÄRMLANDS LÄN</t>
        </is>
      </c>
      <c r="E283" t="inlineStr">
        <is>
          <t>ARVIKA</t>
        </is>
      </c>
      <c r="G283" t="n">
        <v>2.3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16764-2024</t>
        </is>
      </c>
      <c r="B284" s="1" t="n">
        <v>45411</v>
      </c>
      <c r="C284" s="1" t="n">
        <v>46012</v>
      </c>
      <c r="D284" t="inlineStr">
        <is>
          <t>VÄRMLANDS LÄN</t>
        </is>
      </c>
      <c r="E284" t="inlineStr">
        <is>
          <t>ARVIKA</t>
        </is>
      </c>
      <c r="G284" t="n">
        <v>1.2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18120-2024</t>
        </is>
      </c>
      <c r="B285" s="1" t="n">
        <v>45420</v>
      </c>
      <c r="C285" s="1" t="n">
        <v>46012</v>
      </c>
      <c r="D285" t="inlineStr">
        <is>
          <t>VÄRMLANDS LÄN</t>
        </is>
      </c>
      <c r="E285" t="inlineStr">
        <is>
          <t>ARVIKA</t>
        </is>
      </c>
      <c r="G285" t="n">
        <v>0.6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56430-2023</t>
        </is>
      </c>
      <c r="B286" s="1" t="n">
        <v>45243</v>
      </c>
      <c r="C286" s="1" t="n">
        <v>46012</v>
      </c>
      <c r="D286" t="inlineStr">
        <is>
          <t>VÄRMLANDS LÄN</t>
        </is>
      </c>
      <c r="E286" t="inlineStr">
        <is>
          <t>ARVIKA</t>
        </is>
      </c>
      <c r="G286" t="n">
        <v>0.5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22720-2024</t>
        </is>
      </c>
      <c r="B287" s="1" t="n">
        <v>45448.36391203704</v>
      </c>
      <c r="C287" s="1" t="n">
        <v>46012</v>
      </c>
      <c r="D287" t="inlineStr">
        <is>
          <t>VÄRMLANDS LÄN</t>
        </is>
      </c>
      <c r="E287" t="inlineStr">
        <is>
          <t>ARVIKA</t>
        </is>
      </c>
      <c r="F287" t="inlineStr">
        <is>
          <t>Bergvik skog väst AB</t>
        </is>
      </c>
      <c r="G287" t="n">
        <v>1.2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45891-2024</t>
        </is>
      </c>
      <c r="B288" s="1" t="n">
        <v>45580</v>
      </c>
      <c r="C288" s="1" t="n">
        <v>46012</v>
      </c>
      <c r="D288" t="inlineStr">
        <is>
          <t>VÄRMLANDS LÄN</t>
        </is>
      </c>
      <c r="E288" t="inlineStr">
        <is>
          <t>ARVIKA</t>
        </is>
      </c>
      <c r="G288" t="n">
        <v>1.1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3364-2024</t>
        </is>
      </c>
      <c r="B289" s="1" t="n">
        <v>45317</v>
      </c>
      <c r="C289" s="1" t="n">
        <v>46012</v>
      </c>
      <c r="D289" t="inlineStr">
        <is>
          <t>VÄRMLANDS LÄN</t>
        </is>
      </c>
      <c r="E289" t="inlineStr">
        <is>
          <t>ARVIKA</t>
        </is>
      </c>
      <c r="G289" t="n">
        <v>1.8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33605-2024</t>
        </is>
      </c>
      <c r="B290" s="1" t="n">
        <v>45520.37755787037</v>
      </c>
      <c r="C290" s="1" t="n">
        <v>46012</v>
      </c>
      <c r="D290" t="inlineStr">
        <is>
          <t>VÄRMLANDS LÄN</t>
        </is>
      </c>
      <c r="E290" t="inlineStr">
        <is>
          <t>ARVIKA</t>
        </is>
      </c>
      <c r="F290" t="inlineStr">
        <is>
          <t>Bergvik skog väst AB</t>
        </is>
      </c>
      <c r="G290" t="n">
        <v>2.5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64583-2023</t>
        </is>
      </c>
      <c r="B291" s="1" t="n">
        <v>45281.46321759259</v>
      </c>
      <c r="C291" s="1" t="n">
        <v>46012</v>
      </c>
      <c r="D291" t="inlineStr">
        <is>
          <t>VÄRMLANDS LÄN</t>
        </is>
      </c>
      <c r="E291" t="inlineStr">
        <is>
          <t>ARVIKA</t>
        </is>
      </c>
      <c r="G291" t="n">
        <v>0.9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64585-2023</t>
        </is>
      </c>
      <c r="B292" s="1" t="n">
        <v>45281.46854166667</v>
      </c>
      <c r="C292" s="1" t="n">
        <v>46012</v>
      </c>
      <c r="D292" t="inlineStr">
        <is>
          <t>VÄRMLANDS LÄN</t>
        </is>
      </c>
      <c r="E292" t="inlineStr">
        <is>
          <t>ARVIKA</t>
        </is>
      </c>
      <c r="G292" t="n">
        <v>0.9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65950-2021</t>
        </is>
      </c>
      <c r="B293" s="1" t="n">
        <v>44517</v>
      </c>
      <c r="C293" s="1" t="n">
        <v>46012</v>
      </c>
      <c r="D293" t="inlineStr">
        <is>
          <t>VÄRMLANDS LÄN</t>
        </is>
      </c>
      <c r="E293" t="inlineStr">
        <is>
          <t>ARVIKA</t>
        </is>
      </c>
      <c r="G293" t="n">
        <v>0.8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34347-2023</t>
        </is>
      </c>
      <c r="B294" s="1" t="n">
        <v>45131</v>
      </c>
      <c r="C294" s="1" t="n">
        <v>46012</v>
      </c>
      <c r="D294" t="inlineStr">
        <is>
          <t>VÄRMLANDS LÄN</t>
        </is>
      </c>
      <c r="E294" t="inlineStr">
        <is>
          <t>ARVIKA</t>
        </is>
      </c>
      <c r="F294" t="inlineStr">
        <is>
          <t>Övriga Aktiebolag</t>
        </is>
      </c>
      <c r="G294" t="n">
        <v>22.7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862-2023</t>
        </is>
      </c>
      <c r="B295" s="1" t="n">
        <v>44931.62783564815</v>
      </c>
      <c r="C295" s="1" t="n">
        <v>46012</v>
      </c>
      <c r="D295" t="inlineStr">
        <is>
          <t>VÄRMLANDS LÄN</t>
        </is>
      </c>
      <c r="E295" t="inlineStr">
        <is>
          <t>ARVIKA</t>
        </is>
      </c>
      <c r="G295" t="n">
        <v>1.1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8795-2023</t>
        </is>
      </c>
      <c r="B296" s="1" t="n">
        <v>44978</v>
      </c>
      <c r="C296" s="1" t="n">
        <v>46012</v>
      </c>
      <c r="D296" t="inlineStr">
        <is>
          <t>VÄRMLANDS LÄN</t>
        </is>
      </c>
      <c r="E296" t="inlineStr">
        <is>
          <t>ARVIKA</t>
        </is>
      </c>
      <c r="G296" t="n">
        <v>0.3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9236-2023</t>
        </is>
      </c>
      <c r="B297" s="1" t="n">
        <v>44980.54678240741</v>
      </c>
      <c r="C297" s="1" t="n">
        <v>46012</v>
      </c>
      <c r="D297" t="inlineStr">
        <is>
          <t>VÄRMLANDS LÄN</t>
        </is>
      </c>
      <c r="E297" t="inlineStr">
        <is>
          <t>ARVIKA</t>
        </is>
      </c>
      <c r="G297" t="n">
        <v>1.1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24098-2025</t>
        </is>
      </c>
      <c r="B298" s="1" t="n">
        <v>45796.58342592593</v>
      </c>
      <c r="C298" s="1" t="n">
        <v>46012</v>
      </c>
      <c r="D298" t="inlineStr">
        <is>
          <t>VÄRMLANDS LÄN</t>
        </is>
      </c>
      <c r="E298" t="inlineStr">
        <is>
          <t>ARVIKA</t>
        </is>
      </c>
      <c r="F298" t="inlineStr">
        <is>
          <t>Bergvik skog väst AB</t>
        </is>
      </c>
      <c r="G298" t="n">
        <v>1.1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24121-2025</t>
        </is>
      </c>
      <c r="B299" s="1" t="n">
        <v>45796.61950231482</v>
      </c>
      <c r="C299" s="1" t="n">
        <v>46012</v>
      </c>
      <c r="D299" t="inlineStr">
        <is>
          <t>VÄRMLANDS LÄN</t>
        </is>
      </c>
      <c r="E299" t="inlineStr">
        <is>
          <t>ARVIKA</t>
        </is>
      </c>
      <c r="F299" t="inlineStr">
        <is>
          <t>Bergvik skog väst AB</t>
        </is>
      </c>
      <c r="G299" t="n">
        <v>11.2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27578-2024</t>
        </is>
      </c>
      <c r="B300" s="1" t="n">
        <v>45474</v>
      </c>
      <c r="C300" s="1" t="n">
        <v>46012</v>
      </c>
      <c r="D300" t="inlineStr">
        <is>
          <t>VÄRMLANDS LÄN</t>
        </is>
      </c>
      <c r="E300" t="inlineStr">
        <is>
          <t>ARVIKA</t>
        </is>
      </c>
      <c r="G300" t="n">
        <v>1.1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58064-2024</t>
        </is>
      </c>
      <c r="B301" s="1" t="n">
        <v>45631</v>
      </c>
      <c r="C301" s="1" t="n">
        <v>46012</v>
      </c>
      <c r="D301" t="inlineStr">
        <is>
          <t>VÄRMLANDS LÄN</t>
        </is>
      </c>
      <c r="E301" t="inlineStr">
        <is>
          <t>ARVIKA</t>
        </is>
      </c>
      <c r="G301" t="n">
        <v>4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21866-2024</t>
        </is>
      </c>
      <c r="B302" s="1" t="n">
        <v>45443.31096064814</v>
      </c>
      <c r="C302" s="1" t="n">
        <v>46012</v>
      </c>
      <c r="D302" t="inlineStr">
        <is>
          <t>VÄRMLANDS LÄN</t>
        </is>
      </c>
      <c r="E302" t="inlineStr">
        <is>
          <t>ARVIKA</t>
        </is>
      </c>
      <c r="G302" t="n">
        <v>1.5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55730-2024</t>
        </is>
      </c>
      <c r="B303" s="1" t="n">
        <v>45622</v>
      </c>
      <c r="C303" s="1" t="n">
        <v>46012</v>
      </c>
      <c r="D303" t="inlineStr">
        <is>
          <t>VÄRMLANDS LÄN</t>
        </is>
      </c>
      <c r="E303" t="inlineStr">
        <is>
          <t>ARVIKA</t>
        </is>
      </c>
      <c r="G303" t="n">
        <v>3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38643-2025</t>
        </is>
      </c>
      <c r="B304" s="1" t="n">
        <v>45884.57711805555</v>
      </c>
      <c r="C304" s="1" t="n">
        <v>46012</v>
      </c>
      <c r="D304" t="inlineStr">
        <is>
          <t>VÄRMLANDS LÄN</t>
        </is>
      </c>
      <c r="E304" t="inlineStr">
        <is>
          <t>ARVIKA</t>
        </is>
      </c>
      <c r="F304" t="inlineStr">
        <is>
          <t>Bergvik skog väst AB</t>
        </is>
      </c>
      <c r="G304" t="n">
        <v>3.3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24999-2024</t>
        </is>
      </c>
      <c r="B305" s="1" t="n">
        <v>45461</v>
      </c>
      <c r="C305" s="1" t="n">
        <v>46012</v>
      </c>
      <c r="D305" t="inlineStr">
        <is>
          <t>VÄRMLANDS LÄN</t>
        </is>
      </c>
      <c r="E305" t="inlineStr">
        <is>
          <t>ARVIKA</t>
        </is>
      </c>
      <c r="G305" t="n">
        <v>1.2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23267-2024</t>
        </is>
      </c>
      <c r="B306" s="1" t="n">
        <v>45453</v>
      </c>
      <c r="C306" s="1" t="n">
        <v>46012</v>
      </c>
      <c r="D306" t="inlineStr">
        <is>
          <t>VÄRMLANDS LÄN</t>
        </is>
      </c>
      <c r="E306" t="inlineStr">
        <is>
          <t>ARVIKA</t>
        </is>
      </c>
      <c r="G306" t="n">
        <v>1.4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23939-2025</t>
        </is>
      </c>
      <c r="B307" s="1" t="n">
        <v>45796.2993287037</v>
      </c>
      <c r="C307" s="1" t="n">
        <v>46012</v>
      </c>
      <c r="D307" t="inlineStr">
        <is>
          <t>VÄRMLANDS LÄN</t>
        </is>
      </c>
      <c r="E307" t="inlineStr">
        <is>
          <t>ARVIKA</t>
        </is>
      </c>
      <c r="F307" t="inlineStr">
        <is>
          <t>Bergvik skog väst AB</t>
        </is>
      </c>
      <c r="G307" t="n">
        <v>7.7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23940-2025</t>
        </is>
      </c>
      <c r="B308" s="1" t="n">
        <v>45796.31008101852</v>
      </c>
      <c r="C308" s="1" t="n">
        <v>46012</v>
      </c>
      <c r="D308" t="inlineStr">
        <is>
          <t>VÄRMLANDS LÄN</t>
        </is>
      </c>
      <c r="E308" t="inlineStr">
        <is>
          <t>ARVIKA</t>
        </is>
      </c>
      <c r="F308" t="inlineStr">
        <is>
          <t>Bergvik skog väst AB</t>
        </is>
      </c>
      <c r="G308" t="n">
        <v>5.7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2605-2025</t>
        </is>
      </c>
      <c r="B309" s="1" t="n">
        <v>45674.76526620371</v>
      </c>
      <c r="C309" s="1" t="n">
        <v>46012</v>
      </c>
      <c r="D309" t="inlineStr">
        <is>
          <t>VÄRMLANDS LÄN</t>
        </is>
      </c>
      <c r="E309" t="inlineStr">
        <is>
          <t>ARVIKA</t>
        </is>
      </c>
      <c r="G309" t="n">
        <v>2.5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35579-2023</t>
        </is>
      </c>
      <c r="B310" s="1" t="n">
        <v>45147</v>
      </c>
      <c r="C310" s="1" t="n">
        <v>46012</v>
      </c>
      <c r="D310" t="inlineStr">
        <is>
          <t>VÄRMLANDS LÄN</t>
        </is>
      </c>
      <c r="E310" t="inlineStr">
        <is>
          <t>ARVIKA</t>
        </is>
      </c>
      <c r="G310" t="n">
        <v>0.7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23806-2025</t>
        </is>
      </c>
      <c r="B311" s="1" t="n">
        <v>45793.56376157407</v>
      </c>
      <c r="C311" s="1" t="n">
        <v>46012</v>
      </c>
      <c r="D311" t="inlineStr">
        <is>
          <t>VÄRMLANDS LÄN</t>
        </is>
      </c>
      <c r="E311" t="inlineStr">
        <is>
          <t>ARVIKA</t>
        </is>
      </c>
      <c r="G311" t="n">
        <v>7.5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2356-2025</t>
        </is>
      </c>
      <c r="B312" s="1" t="n">
        <v>45673</v>
      </c>
      <c r="C312" s="1" t="n">
        <v>46012</v>
      </c>
      <c r="D312" t="inlineStr">
        <is>
          <t>VÄRMLANDS LÄN</t>
        </is>
      </c>
      <c r="E312" t="inlineStr">
        <is>
          <t>ARVIKA</t>
        </is>
      </c>
      <c r="G312" t="n">
        <v>1.4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60844-2024</t>
        </is>
      </c>
      <c r="B313" s="1" t="n">
        <v>45644.65472222222</v>
      </c>
      <c r="C313" s="1" t="n">
        <v>46012</v>
      </c>
      <c r="D313" t="inlineStr">
        <is>
          <t>VÄRMLANDS LÄN</t>
        </is>
      </c>
      <c r="E313" t="inlineStr">
        <is>
          <t>ARVIKA</t>
        </is>
      </c>
      <c r="G313" t="n">
        <v>3.8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3144-2024</t>
        </is>
      </c>
      <c r="B314" s="1" t="n">
        <v>45316</v>
      </c>
      <c r="C314" s="1" t="n">
        <v>46012</v>
      </c>
      <c r="D314" t="inlineStr">
        <is>
          <t>VÄRMLANDS LÄN</t>
        </is>
      </c>
      <c r="E314" t="inlineStr">
        <is>
          <t>ARVIKA</t>
        </is>
      </c>
      <c r="G314" t="n">
        <v>1.2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108-2024</t>
        </is>
      </c>
      <c r="B315" s="1" t="n">
        <v>45293</v>
      </c>
      <c r="C315" s="1" t="n">
        <v>46012</v>
      </c>
      <c r="D315" t="inlineStr">
        <is>
          <t>VÄRMLANDS LÄN</t>
        </is>
      </c>
      <c r="E315" t="inlineStr">
        <is>
          <t>ARVIKA</t>
        </is>
      </c>
      <c r="F315" t="inlineStr">
        <is>
          <t>Kyrkan</t>
        </is>
      </c>
      <c r="G315" t="n">
        <v>2.5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63217-2023</t>
        </is>
      </c>
      <c r="B316" s="1" t="n">
        <v>45273</v>
      </c>
      <c r="C316" s="1" t="n">
        <v>46012</v>
      </c>
      <c r="D316" t="inlineStr">
        <is>
          <t>VÄRMLANDS LÄN</t>
        </is>
      </c>
      <c r="E316" t="inlineStr">
        <is>
          <t>ARVIKA</t>
        </is>
      </c>
      <c r="G316" t="n">
        <v>0.6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38311-2025</t>
        </is>
      </c>
      <c r="B317" s="1" t="n">
        <v>45883</v>
      </c>
      <c r="C317" s="1" t="n">
        <v>46012</v>
      </c>
      <c r="D317" t="inlineStr">
        <is>
          <t>VÄRMLANDS LÄN</t>
        </is>
      </c>
      <c r="E317" t="inlineStr">
        <is>
          <t>ARVIKA</t>
        </is>
      </c>
      <c r="G317" t="n">
        <v>3.8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40949-2022</t>
        </is>
      </c>
      <c r="B318" s="1" t="n">
        <v>44825.45866898148</v>
      </c>
      <c r="C318" s="1" t="n">
        <v>46012</v>
      </c>
      <c r="D318" t="inlineStr">
        <is>
          <t>VÄRMLANDS LÄN</t>
        </is>
      </c>
      <c r="E318" t="inlineStr">
        <is>
          <t>ARVIKA</t>
        </is>
      </c>
      <c r="G318" t="n">
        <v>1.4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31576-2024</t>
        </is>
      </c>
      <c r="B319" s="1" t="n">
        <v>45506</v>
      </c>
      <c r="C319" s="1" t="n">
        <v>46012</v>
      </c>
      <c r="D319" t="inlineStr">
        <is>
          <t>VÄRMLANDS LÄN</t>
        </is>
      </c>
      <c r="E319" t="inlineStr">
        <is>
          <t>ARVIKA</t>
        </is>
      </c>
      <c r="G319" t="n">
        <v>2.5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20386-2025</t>
        </is>
      </c>
      <c r="B320" s="1" t="n">
        <v>45775</v>
      </c>
      <c r="C320" s="1" t="n">
        <v>46012</v>
      </c>
      <c r="D320" t="inlineStr">
        <is>
          <t>VÄRMLANDS LÄN</t>
        </is>
      </c>
      <c r="E320" t="inlineStr">
        <is>
          <t>ARVIKA</t>
        </is>
      </c>
      <c r="G320" t="n">
        <v>0.9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29291-2024</t>
        </is>
      </c>
      <c r="B321" s="1" t="n">
        <v>45482</v>
      </c>
      <c r="C321" s="1" t="n">
        <v>46012</v>
      </c>
      <c r="D321" t="inlineStr">
        <is>
          <t>VÄRMLANDS LÄN</t>
        </is>
      </c>
      <c r="E321" t="inlineStr">
        <is>
          <t>ARVIKA</t>
        </is>
      </c>
      <c r="G321" t="n">
        <v>11.8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24601-2025</t>
        </is>
      </c>
      <c r="B322" s="1" t="n">
        <v>45798.5654050926</v>
      </c>
      <c r="C322" s="1" t="n">
        <v>46012</v>
      </c>
      <c r="D322" t="inlineStr">
        <is>
          <t>VÄRMLANDS LÄN</t>
        </is>
      </c>
      <c r="E322" t="inlineStr">
        <is>
          <t>ARVIKA</t>
        </is>
      </c>
      <c r="F322" t="inlineStr">
        <is>
          <t>Bergvik skog väst AB</t>
        </is>
      </c>
      <c r="G322" t="n">
        <v>2.7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48607-2024</t>
        </is>
      </c>
      <c r="B323" s="1" t="n">
        <v>45593</v>
      </c>
      <c r="C323" s="1" t="n">
        <v>46012</v>
      </c>
      <c r="D323" t="inlineStr">
        <is>
          <t>VÄRMLANDS LÄN</t>
        </is>
      </c>
      <c r="E323" t="inlineStr">
        <is>
          <t>ARVIKA</t>
        </is>
      </c>
      <c r="G323" t="n">
        <v>2.6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24216-2025</t>
        </is>
      </c>
      <c r="B324" s="1" t="n">
        <v>45797.35528935185</v>
      </c>
      <c r="C324" s="1" t="n">
        <v>46012</v>
      </c>
      <c r="D324" t="inlineStr">
        <is>
          <t>VÄRMLANDS LÄN</t>
        </is>
      </c>
      <c r="E324" t="inlineStr">
        <is>
          <t>ARVIKA</t>
        </is>
      </c>
      <c r="F324" t="inlineStr">
        <is>
          <t>Bergvik skog väst AB</t>
        </is>
      </c>
      <c r="G324" t="n">
        <v>2.2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40135-2023</t>
        </is>
      </c>
      <c r="B325" s="1" t="n">
        <v>45169</v>
      </c>
      <c r="C325" s="1" t="n">
        <v>46012</v>
      </c>
      <c r="D325" t="inlineStr">
        <is>
          <t>VÄRMLANDS LÄN</t>
        </is>
      </c>
      <c r="E325" t="inlineStr">
        <is>
          <t>ARVIKA</t>
        </is>
      </c>
      <c r="G325" t="n">
        <v>1.1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12151-2024</t>
        </is>
      </c>
      <c r="B326" s="1" t="n">
        <v>45377</v>
      </c>
      <c r="C326" s="1" t="n">
        <v>46012</v>
      </c>
      <c r="D326" t="inlineStr">
        <is>
          <t>VÄRMLANDS LÄN</t>
        </is>
      </c>
      <c r="E326" t="inlineStr">
        <is>
          <t>ARVIKA</t>
        </is>
      </c>
      <c r="G326" t="n">
        <v>3.7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50764-2022</t>
        </is>
      </c>
      <c r="B327" s="1" t="n">
        <v>44867</v>
      </c>
      <c r="C327" s="1" t="n">
        <v>46012</v>
      </c>
      <c r="D327" t="inlineStr">
        <is>
          <t>VÄRMLANDS LÄN</t>
        </is>
      </c>
      <c r="E327" t="inlineStr">
        <is>
          <t>ARVIKA</t>
        </is>
      </c>
      <c r="G327" t="n">
        <v>5.7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21069-2022</t>
        </is>
      </c>
      <c r="B328" s="1" t="n">
        <v>44704.50037037037</v>
      </c>
      <c r="C328" s="1" t="n">
        <v>46012</v>
      </c>
      <c r="D328" t="inlineStr">
        <is>
          <t>VÄRMLANDS LÄN</t>
        </is>
      </c>
      <c r="E328" t="inlineStr">
        <is>
          <t>ARVIKA</t>
        </is>
      </c>
      <c r="F328" t="inlineStr">
        <is>
          <t>Bergvik skog väst AB</t>
        </is>
      </c>
      <c r="G328" t="n">
        <v>1.8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38468-2025</t>
        </is>
      </c>
      <c r="B329" s="1" t="n">
        <v>45883</v>
      </c>
      <c r="C329" s="1" t="n">
        <v>46012</v>
      </c>
      <c r="D329" t="inlineStr">
        <is>
          <t>VÄRMLANDS LÄN</t>
        </is>
      </c>
      <c r="E329" t="inlineStr">
        <is>
          <t>ARVIKA</t>
        </is>
      </c>
      <c r="G329" t="n">
        <v>10.1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35799-2024</t>
        </is>
      </c>
      <c r="B330" s="1" t="n">
        <v>45532.64354166666</v>
      </c>
      <c r="C330" s="1" t="n">
        <v>46012</v>
      </c>
      <c r="D330" t="inlineStr">
        <is>
          <t>VÄRMLANDS LÄN</t>
        </is>
      </c>
      <c r="E330" t="inlineStr">
        <is>
          <t>ARVIKA</t>
        </is>
      </c>
      <c r="G330" t="n">
        <v>1.3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38504-2025</t>
        </is>
      </c>
      <c r="B331" s="1" t="n">
        <v>45884</v>
      </c>
      <c r="C331" s="1" t="n">
        <v>46012</v>
      </c>
      <c r="D331" t="inlineStr">
        <is>
          <t>VÄRMLANDS LÄN</t>
        </is>
      </c>
      <c r="E331" t="inlineStr">
        <is>
          <t>ARVIKA</t>
        </is>
      </c>
      <c r="F331" t="inlineStr">
        <is>
          <t>Bergvik skog väst AB</t>
        </is>
      </c>
      <c r="G331" t="n">
        <v>5.7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19260-2024</t>
        </is>
      </c>
      <c r="B332" s="1" t="n">
        <v>45428.60917824074</v>
      </c>
      <c r="C332" s="1" t="n">
        <v>46012</v>
      </c>
      <c r="D332" t="inlineStr">
        <is>
          <t>VÄRMLANDS LÄN</t>
        </is>
      </c>
      <c r="E332" t="inlineStr">
        <is>
          <t>ARVIKA</t>
        </is>
      </c>
      <c r="G332" t="n">
        <v>0.7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38513-2025</t>
        </is>
      </c>
      <c r="B333" s="1" t="n">
        <v>45884</v>
      </c>
      <c r="C333" s="1" t="n">
        <v>46012</v>
      </c>
      <c r="D333" t="inlineStr">
        <is>
          <t>VÄRMLANDS LÄN</t>
        </is>
      </c>
      <c r="E333" t="inlineStr">
        <is>
          <t>ARVIKA</t>
        </is>
      </c>
      <c r="F333" t="inlineStr">
        <is>
          <t>Bergvik skog väst AB</t>
        </is>
      </c>
      <c r="G333" t="n">
        <v>6.2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24702-2025</t>
        </is>
      </c>
      <c r="B334" s="1" t="n">
        <v>45798.77590277778</v>
      </c>
      <c r="C334" s="1" t="n">
        <v>46012</v>
      </c>
      <c r="D334" t="inlineStr">
        <is>
          <t>VÄRMLANDS LÄN</t>
        </is>
      </c>
      <c r="E334" t="inlineStr">
        <is>
          <t>ARVIKA</t>
        </is>
      </c>
      <c r="G334" t="n">
        <v>1.2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24982-2025</t>
        </is>
      </c>
      <c r="B335" s="1" t="n">
        <v>45799.59756944444</v>
      </c>
      <c r="C335" s="1" t="n">
        <v>46012</v>
      </c>
      <c r="D335" t="inlineStr">
        <is>
          <t>VÄRMLANDS LÄN</t>
        </is>
      </c>
      <c r="E335" t="inlineStr">
        <is>
          <t>ARVIKA</t>
        </is>
      </c>
      <c r="G335" t="n">
        <v>3.3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245-2023</t>
        </is>
      </c>
      <c r="B336" s="1" t="n">
        <v>44922</v>
      </c>
      <c r="C336" s="1" t="n">
        <v>46012</v>
      </c>
      <c r="D336" t="inlineStr">
        <is>
          <t>VÄRMLANDS LÄN</t>
        </is>
      </c>
      <c r="E336" t="inlineStr">
        <is>
          <t>ARVIKA</t>
        </is>
      </c>
      <c r="G336" t="n">
        <v>6.4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25079-2025</t>
        </is>
      </c>
      <c r="B337" s="1" t="n">
        <v>45799.89287037037</v>
      </c>
      <c r="C337" s="1" t="n">
        <v>46012</v>
      </c>
      <c r="D337" t="inlineStr">
        <is>
          <t>VÄRMLANDS LÄN</t>
        </is>
      </c>
      <c r="E337" t="inlineStr">
        <is>
          <t>ARVIKA</t>
        </is>
      </c>
      <c r="G337" t="n">
        <v>0.8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65284-2021</t>
        </is>
      </c>
      <c r="B338" s="1" t="n">
        <v>44515</v>
      </c>
      <c r="C338" s="1" t="n">
        <v>46012</v>
      </c>
      <c r="D338" t="inlineStr">
        <is>
          <t>VÄRMLANDS LÄN</t>
        </is>
      </c>
      <c r="E338" t="inlineStr">
        <is>
          <t>ARVIKA</t>
        </is>
      </c>
      <c r="G338" t="n">
        <v>0.7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65357-2021</t>
        </is>
      </c>
      <c r="B339" s="1" t="n">
        <v>44515.66583333333</v>
      </c>
      <c r="C339" s="1" t="n">
        <v>46012</v>
      </c>
      <c r="D339" t="inlineStr">
        <is>
          <t>VÄRMLANDS LÄN</t>
        </is>
      </c>
      <c r="E339" t="inlineStr">
        <is>
          <t>ARVIKA</t>
        </is>
      </c>
      <c r="F339" t="inlineStr">
        <is>
          <t>Bergvik skog väst AB</t>
        </is>
      </c>
      <c r="G339" t="n">
        <v>2.4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7256-2021</t>
        </is>
      </c>
      <c r="B340" s="1" t="n">
        <v>44238</v>
      </c>
      <c r="C340" s="1" t="n">
        <v>46012</v>
      </c>
      <c r="D340" t="inlineStr">
        <is>
          <t>VÄRMLANDS LÄN</t>
        </is>
      </c>
      <c r="E340" t="inlineStr">
        <is>
          <t>ARVIKA</t>
        </is>
      </c>
      <c r="G340" t="n">
        <v>3.4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39175-2025</t>
        </is>
      </c>
      <c r="B341" s="1" t="n">
        <v>45888.65628472222</v>
      </c>
      <c r="C341" s="1" t="n">
        <v>46012</v>
      </c>
      <c r="D341" t="inlineStr">
        <is>
          <t>VÄRMLANDS LÄN</t>
        </is>
      </c>
      <c r="E341" t="inlineStr">
        <is>
          <t>ARVIKA</t>
        </is>
      </c>
      <c r="G341" t="n">
        <v>1.6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34972-2025</t>
        </is>
      </c>
      <c r="B342" s="1" t="n">
        <v>45849</v>
      </c>
      <c r="C342" s="1" t="n">
        <v>46012</v>
      </c>
      <c r="D342" t="inlineStr">
        <is>
          <t>VÄRMLANDS LÄN</t>
        </is>
      </c>
      <c r="E342" t="inlineStr">
        <is>
          <t>ARVIKA</t>
        </is>
      </c>
      <c r="G342" t="n">
        <v>4.9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8780-2023</t>
        </is>
      </c>
      <c r="B343" s="1" t="n">
        <v>44978</v>
      </c>
      <c r="C343" s="1" t="n">
        <v>46012</v>
      </c>
      <c r="D343" t="inlineStr">
        <is>
          <t>VÄRMLANDS LÄN</t>
        </is>
      </c>
      <c r="E343" t="inlineStr">
        <is>
          <t>ARVIKA</t>
        </is>
      </c>
      <c r="G343" t="n">
        <v>0.3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25136-2025</t>
        </is>
      </c>
      <c r="B344" s="1" t="n">
        <v>45800.39258101852</v>
      </c>
      <c r="C344" s="1" t="n">
        <v>46012</v>
      </c>
      <c r="D344" t="inlineStr">
        <is>
          <t>VÄRMLANDS LÄN</t>
        </is>
      </c>
      <c r="E344" t="inlineStr">
        <is>
          <t>ARVIKA</t>
        </is>
      </c>
      <c r="F344" t="inlineStr">
        <is>
          <t>Bergvik skog väst AB</t>
        </is>
      </c>
      <c r="G344" t="n">
        <v>2.4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8854-2023</t>
        </is>
      </c>
      <c r="B345" s="1" t="n">
        <v>44978.85517361111</v>
      </c>
      <c r="C345" s="1" t="n">
        <v>46012</v>
      </c>
      <c r="D345" t="inlineStr">
        <is>
          <t>VÄRMLANDS LÄN</t>
        </is>
      </c>
      <c r="E345" t="inlineStr">
        <is>
          <t>ARVIKA</t>
        </is>
      </c>
      <c r="F345" t="inlineStr">
        <is>
          <t>Kyrkan</t>
        </is>
      </c>
      <c r="G345" t="n">
        <v>1.1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25077-2025</t>
        </is>
      </c>
      <c r="B346" s="1" t="n">
        <v>45799.87241898148</v>
      </c>
      <c r="C346" s="1" t="n">
        <v>46012</v>
      </c>
      <c r="D346" t="inlineStr">
        <is>
          <t>VÄRMLANDS LÄN</t>
        </is>
      </c>
      <c r="E346" t="inlineStr">
        <is>
          <t>ARVIKA</t>
        </is>
      </c>
      <c r="G346" t="n">
        <v>2.8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25085-2025</t>
        </is>
      </c>
      <c r="B347" s="1" t="n">
        <v>45800.28986111111</v>
      </c>
      <c r="C347" s="1" t="n">
        <v>46012</v>
      </c>
      <c r="D347" t="inlineStr">
        <is>
          <t>VÄRMLANDS LÄN</t>
        </is>
      </c>
      <c r="E347" t="inlineStr">
        <is>
          <t>ARVIKA</t>
        </is>
      </c>
      <c r="F347" t="inlineStr">
        <is>
          <t>Bergvik skog väst AB</t>
        </is>
      </c>
      <c r="G347" t="n">
        <v>3.5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59886-2021</t>
        </is>
      </c>
      <c r="B348" s="1" t="n">
        <v>44493</v>
      </c>
      <c r="C348" s="1" t="n">
        <v>46012</v>
      </c>
      <c r="D348" t="inlineStr">
        <is>
          <t>VÄRMLANDS LÄN</t>
        </is>
      </c>
      <c r="E348" t="inlineStr">
        <is>
          <t>ARVIKA</t>
        </is>
      </c>
      <c r="G348" t="n">
        <v>3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25078-2025</t>
        </is>
      </c>
      <c r="B349" s="1" t="n">
        <v>45799.88644675926</v>
      </c>
      <c r="C349" s="1" t="n">
        <v>46012</v>
      </c>
      <c r="D349" t="inlineStr">
        <is>
          <t>VÄRMLANDS LÄN</t>
        </is>
      </c>
      <c r="E349" t="inlineStr">
        <is>
          <t>ARVIKA</t>
        </is>
      </c>
      <c r="G349" t="n">
        <v>3.1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39835-2022</t>
        </is>
      </c>
      <c r="B350" s="1" t="n">
        <v>44819.58920138889</v>
      </c>
      <c r="C350" s="1" t="n">
        <v>46012</v>
      </c>
      <c r="D350" t="inlineStr">
        <is>
          <t>VÄRMLANDS LÄN</t>
        </is>
      </c>
      <c r="E350" t="inlineStr">
        <is>
          <t>ARVIKA</t>
        </is>
      </c>
      <c r="F350" t="inlineStr">
        <is>
          <t>Bergvik skog väst AB</t>
        </is>
      </c>
      <c r="G350" t="n">
        <v>13.1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39093-2025</t>
        </is>
      </c>
      <c r="B351" s="1" t="n">
        <v>45888</v>
      </c>
      <c r="C351" s="1" t="n">
        <v>46012</v>
      </c>
      <c r="D351" t="inlineStr">
        <is>
          <t>VÄRMLANDS LÄN</t>
        </is>
      </c>
      <c r="E351" t="inlineStr">
        <is>
          <t>ARVIKA</t>
        </is>
      </c>
      <c r="F351" t="inlineStr">
        <is>
          <t>Bergvik skog väst AB</t>
        </is>
      </c>
      <c r="G351" t="n">
        <v>18.1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25489-2025</t>
        </is>
      </c>
      <c r="B352" s="1" t="n">
        <v>45803</v>
      </c>
      <c r="C352" s="1" t="n">
        <v>46012</v>
      </c>
      <c r="D352" t="inlineStr">
        <is>
          <t>VÄRMLANDS LÄN</t>
        </is>
      </c>
      <c r="E352" t="inlineStr">
        <is>
          <t>ARVIKA</t>
        </is>
      </c>
      <c r="G352" t="n">
        <v>1.9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63627-2021</t>
        </is>
      </c>
      <c r="B353" s="1" t="n">
        <v>44496</v>
      </c>
      <c r="C353" s="1" t="n">
        <v>46012</v>
      </c>
      <c r="D353" t="inlineStr">
        <is>
          <t>VÄRMLANDS LÄN</t>
        </is>
      </c>
      <c r="E353" t="inlineStr">
        <is>
          <t>ARVIKA</t>
        </is>
      </c>
      <c r="G353" t="n">
        <v>1.8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54852-2024</t>
        </is>
      </c>
      <c r="B354" s="1" t="n">
        <v>45618.57760416667</v>
      </c>
      <c r="C354" s="1" t="n">
        <v>46012</v>
      </c>
      <c r="D354" t="inlineStr">
        <is>
          <t>VÄRMLANDS LÄN</t>
        </is>
      </c>
      <c r="E354" t="inlineStr">
        <is>
          <t>ARVIKA</t>
        </is>
      </c>
      <c r="G354" t="n">
        <v>0.9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44519-2023</t>
        </is>
      </c>
      <c r="B355" s="1" t="n">
        <v>45189.47052083333</v>
      </c>
      <c r="C355" s="1" t="n">
        <v>46012</v>
      </c>
      <c r="D355" t="inlineStr">
        <is>
          <t>VÄRMLANDS LÄN</t>
        </is>
      </c>
      <c r="E355" t="inlineStr">
        <is>
          <t>ARVIKA</t>
        </is>
      </c>
      <c r="G355" t="n">
        <v>1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19826-2021</t>
        </is>
      </c>
      <c r="B356" s="1" t="n">
        <v>44313.45267361111</v>
      </c>
      <c r="C356" s="1" t="n">
        <v>46012</v>
      </c>
      <c r="D356" t="inlineStr">
        <is>
          <t>VÄRMLANDS LÄN</t>
        </is>
      </c>
      <c r="E356" t="inlineStr">
        <is>
          <t>ARVIKA</t>
        </is>
      </c>
      <c r="G356" t="n">
        <v>6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39065-2025</t>
        </is>
      </c>
      <c r="B357" s="1" t="n">
        <v>45888</v>
      </c>
      <c r="C357" s="1" t="n">
        <v>46012</v>
      </c>
      <c r="D357" t="inlineStr">
        <is>
          <t>VÄRMLANDS LÄN</t>
        </is>
      </c>
      <c r="E357" t="inlineStr">
        <is>
          <t>ARVIKA</t>
        </is>
      </c>
      <c r="G357" t="n">
        <v>3.6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25893-2025</t>
        </is>
      </c>
      <c r="B358" s="1" t="n">
        <v>45804.54006944445</v>
      </c>
      <c r="C358" s="1" t="n">
        <v>46012</v>
      </c>
      <c r="D358" t="inlineStr">
        <is>
          <t>VÄRMLANDS LÄN</t>
        </is>
      </c>
      <c r="E358" t="inlineStr">
        <is>
          <t>ARVIKA</t>
        </is>
      </c>
      <c r="G358" t="n">
        <v>2.6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25405-2023</t>
        </is>
      </c>
      <c r="B359" s="1" t="n">
        <v>45089</v>
      </c>
      <c r="C359" s="1" t="n">
        <v>46012</v>
      </c>
      <c r="D359" t="inlineStr">
        <is>
          <t>VÄRMLANDS LÄN</t>
        </is>
      </c>
      <c r="E359" t="inlineStr">
        <is>
          <t>ARVIKA</t>
        </is>
      </c>
      <c r="G359" t="n">
        <v>0.9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1630-2025</t>
        </is>
      </c>
      <c r="B360" s="1" t="n">
        <v>45670.62909722222</v>
      </c>
      <c r="C360" s="1" t="n">
        <v>46012</v>
      </c>
      <c r="D360" t="inlineStr">
        <is>
          <t>VÄRMLANDS LÄN</t>
        </is>
      </c>
      <c r="E360" t="inlineStr">
        <is>
          <t>ARVIKA</t>
        </is>
      </c>
      <c r="G360" t="n">
        <v>2.2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38984-2025</t>
        </is>
      </c>
      <c r="B361" s="1" t="n">
        <v>45888</v>
      </c>
      <c r="C361" s="1" t="n">
        <v>46012</v>
      </c>
      <c r="D361" t="inlineStr">
        <is>
          <t>VÄRMLANDS LÄN</t>
        </is>
      </c>
      <c r="E361" t="inlineStr">
        <is>
          <t>ARVIKA</t>
        </is>
      </c>
      <c r="F361" t="inlineStr">
        <is>
          <t>Bergvik skog väst AB</t>
        </is>
      </c>
      <c r="G361" t="n">
        <v>2.6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59399-2024</t>
        </is>
      </c>
      <c r="B362" s="1" t="n">
        <v>45638.37673611111</v>
      </c>
      <c r="C362" s="1" t="n">
        <v>46012</v>
      </c>
      <c r="D362" t="inlineStr">
        <is>
          <t>VÄRMLANDS LÄN</t>
        </is>
      </c>
      <c r="E362" t="inlineStr">
        <is>
          <t>ARVIKA</t>
        </is>
      </c>
      <c r="F362" t="inlineStr">
        <is>
          <t>Bergvik skog väst AB</t>
        </is>
      </c>
      <c r="G362" t="n">
        <v>4.8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25788-2025</t>
        </is>
      </c>
      <c r="B363" s="1" t="n">
        <v>45804</v>
      </c>
      <c r="C363" s="1" t="n">
        <v>46012</v>
      </c>
      <c r="D363" t="inlineStr">
        <is>
          <t>VÄRMLANDS LÄN</t>
        </is>
      </c>
      <c r="E363" t="inlineStr">
        <is>
          <t>ARVIKA</t>
        </is>
      </c>
      <c r="G363" t="n">
        <v>1.5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21959-2023</t>
        </is>
      </c>
      <c r="B364" s="1" t="n">
        <v>45068.63384259259</v>
      </c>
      <c r="C364" s="1" t="n">
        <v>46012</v>
      </c>
      <c r="D364" t="inlineStr">
        <is>
          <t>VÄRMLANDS LÄN</t>
        </is>
      </c>
      <c r="E364" t="inlineStr">
        <is>
          <t>ARVIKA</t>
        </is>
      </c>
      <c r="G364" t="n">
        <v>0.7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25862-2025</t>
        </is>
      </c>
      <c r="B365" s="1" t="n">
        <v>45804</v>
      </c>
      <c r="C365" s="1" t="n">
        <v>46012</v>
      </c>
      <c r="D365" t="inlineStr">
        <is>
          <t>VÄRMLANDS LÄN</t>
        </is>
      </c>
      <c r="E365" t="inlineStr">
        <is>
          <t>ARVIKA</t>
        </is>
      </c>
      <c r="F365" t="inlineStr">
        <is>
          <t>Bergvik skog väst AB</t>
        </is>
      </c>
      <c r="G365" t="n">
        <v>2.2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25450-2025</t>
        </is>
      </c>
      <c r="B366" s="1" t="n">
        <v>45801.76153935185</v>
      </c>
      <c r="C366" s="1" t="n">
        <v>46012</v>
      </c>
      <c r="D366" t="inlineStr">
        <is>
          <t>VÄRMLANDS LÄN</t>
        </is>
      </c>
      <c r="E366" t="inlineStr">
        <is>
          <t>ARVIKA</t>
        </is>
      </c>
      <c r="G366" t="n">
        <v>1.7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39019-2025</t>
        </is>
      </c>
      <c r="B367" s="1" t="n">
        <v>45888</v>
      </c>
      <c r="C367" s="1" t="n">
        <v>46012</v>
      </c>
      <c r="D367" t="inlineStr">
        <is>
          <t>VÄRMLANDS LÄN</t>
        </is>
      </c>
      <c r="E367" t="inlineStr">
        <is>
          <t>ARVIKA</t>
        </is>
      </c>
      <c r="G367" t="n">
        <v>1.9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25487-2025</t>
        </is>
      </c>
      <c r="B368" s="1" t="n">
        <v>45803.27170138889</v>
      </c>
      <c r="C368" s="1" t="n">
        <v>46012</v>
      </c>
      <c r="D368" t="inlineStr">
        <is>
          <t>VÄRMLANDS LÄN</t>
        </is>
      </c>
      <c r="E368" t="inlineStr">
        <is>
          <t>ARVIKA</t>
        </is>
      </c>
      <c r="G368" t="n">
        <v>1.8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29401-2024</t>
        </is>
      </c>
      <c r="B369" s="1" t="n">
        <v>45483</v>
      </c>
      <c r="C369" s="1" t="n">
        <v>46012</v>
      </c>
      <c r="D369" t="inlineStr">
        <is>
          <t>VÄRMLANDS LÄN</t>
        </is>
      </c>
      <c r="E369" t="inlineStr">
        <is>
          <t>ARVIKA</t>
        </is>
      </c>
      <c r="G369" t="n">
        <v>1.4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36251-2024</t>
        </is>
      </c>
      <c r="B370" s="1" t="n">
        <v>45534.53959490741</v>
      </c>
      <c r="C370" s="1" t="n">
        <v>46012</v>
      </c>
      <c r="D370" t="inlineStr">
        <is>
          <t>VÄRMLANDS LÄN</t>
        </is>
      </c>
      <c r="E370" t="inlineStr">
        <is>
          <t>ARVIKA</t>
        </is>
      </c>
      <c r="G370" t="n">
        <v>2.4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38935-2025</t>
        </is>
      </c>
      <c r="B371" s="1" t="n">
        <v>45887</v>
      </c>
      <c r="C371" s="1" t="n">
        <v>46012</v>
      </c>
      <c r="D371" t="inlineStr">
        <is>
          <t>VÄRMLANDS LÄN</t>
        </is>
      </c>
      <c r="E371" t="inlineStr">
        <is>
          <t>ARVIKA</t>
        </is>
      </c>
      <c r="F371" t="inlineStr">
        <is>
          <t>Bergvik skog väst AB</t>
        </is>
      </c>
      <c r="G371" t="n">
        <v>3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8741-2023</t>
        </is>
      </c>
      <c r="B372" s="1" t="n">
        <v>44972</v>
      </c>
      <c r="C372" s="1" t="n">
        <v>46012</v>
      </c>
      <c r="D372" t="inlineStr">
        <is>
          <t>VÄRMLANDS LÄN</t>
        </is>
      </c>
      <c r="E372" t="inlineStr">
        <is>
          <t>ARVIKA</t>
        </is>
      </c>
      <c r="G372" t="n">
        <v>2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58153-2022</t>
        </is>
      </c>
      <c r="B373" s="1" t="n">
        <v>44900.79802083333</v>
      </c>
      <c r="C373" s="1" t="n">
        <v>46012</v>
      </c>
      <c r="D373" t="inlineStr">
        <is>
          <t>VÄRMLANDS LÄN</t>
        </is>
      </c>
      <c r="E373" t="inlineStr">
        <is>
          <t>ARVIKA</t>
        </is>
      </c>
      <c r="G373" t="n">
        <v>1.6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23906-2025</t>
        </is>
      </c>
      <c r="B374" s="1" t="n">
        <v>45794.73674768519</v>
      </c>
      <c r="C374" s="1" t="n">
        <v>46012</v>
      </c>
      <c r="D374" t="inlineStr">
        <is>
          <t>VÄRMLANDS LÄN</t>
        </is>
      </c>
      <c r="E374" t="inlineStr">
        <is>
          <t>ARVIKA</t>
        </is>
      </c>
      <c r="G374" t="n">
        <v>1.5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39598-2025</t>
        </is>
      </c>
      <c r="B375" s="1" t="n">
        <v>45890.54863425926</v>
      </c>
      <c r="C375" s="1" t="n">
        <v>46012</v>
      </c>
      <c r="D375" t="inlineStr">
        <is>
          <t>VÄRMLANDS LÄN</t>
        </is>
      </c>
      <c r="E375" t="inlineStr">
        <is>
          <t>ARVIKA</t>
        </is>
      </c>
      <c r="F375" t="inlineStr">
        <is>
          <t>Bergvik skog väst AB</t>
        </is>
      </c>
      <c r="G375" t="n">
        <v>0.7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11154-2024</t>
        </is>
      </c>
      <c r="B376" s="1" t="n">
        <v>45371.47601851852</v>
      </c>
      <c r="C376" s="1" t="n">
        <v>46012</v>
      </c>
      <c r="D376" t="inlineStr">
        <is>
          <t>VÄRMLANDS LÄN</t>
        </is>
      </c>
      <c r="E376" t="inlineStr">
        <is>
          <t>ARVIKA</t>
        </is>
      </c>
      <c r="G376" t="n">
        <v>1.5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39640-2025</t>
        </is>
      </c>
      <c r="B377" s="1" t="n">
        <v>45890.60430555556</v>
      </c>
      <c r="C377" s="1" t="n">
        <v>46012</v>
      </c>
      <c r="D377" t="inlineStr">
        <is>
          <t>VÄRMLANDS LÄN</t>
        </is>
      </c>
      <c r="E377" t="inlineStr">
        <is>
          <t>ARVIKA</t>
        </is>
      </c>
      <c r="G377" t="n">
        <v>1.2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26079-2025</t>
        </is>
      </c>
      <c r="B378" s="1" t="n">
        <v>45805.34167824074</v>
      </c>
      <c r="C378" s="1" t="n">
        <v>46012</v>
      </c>
      <c r="D378" t="inlineStr">
        <is>
          <t>VÄRMLANDS LÄN</t>
        </is>
      </c>
      <c r="E378" t="inlineStr">
        <is>
          <t>ARVIKA</t>
        </is>
      </c>
      <c r="F378" t="inlineStr">
        <is>
          <t>Bergvik skog väst AB</t>
        </is>
      </c>
      <c r="G378" t="n">
        <v>2.2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39443-2025</t>
        </is>
      </c>
      <c r="B379" s="1" t="n">
        <v>45889</v>
      </c>
      <c r="C379" s="1" t="n">
        <v>46012</v>
      </c>
      <c r="D379" t="inlineStr">
        <is>
          <t>VÄRMLANDS LÄN</t>
        </is>
      </c>
      <c r="E379" t="inlineStr">
        <is>
          <t>ARVIKA</t>
        </is>
      </c>
      <c r="G379" t="n">
        <v>3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39636-2025</t>
        </is>
      </c>
      <c r="B380" s="1" t="n">
        <v>45890.5974074074</v>
      </c>
      <c r="C380" s="1" t="n">
        <v>46012</v>
      </c>
      <c r="D380" t="inlineStr">
        <is>
          <t>VÄRMLANDS LÄN</t>
        </is>
      </c>
      <c r="E380" t="inlineStr">
        <is>
          <t>ARVIKA</t>
        </is>
      </c>
      <c r="G380" t="n">
        <v>4.1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39596-2025</t>
        </is>
      </c>
      <c r="B381" s="1" t="n">
        <v>45890.54078703704</v>
      </c>
      <c r="C381" s="1" t="n">
        <v>46012</v>
      </c>
      <c r="D381" t="inlineStr">
        <is>
          <t>VÄRMLANDS LÄN</t>
        </is>
      </c>
      <c r="E381" t="inlineStr">
        <is>
          <t>ARVIKA</t>
        </is>
      </c>
      <c r="F381" t="inlineStr">
        <is>
          <t>Bergvik skog väst AB</t>
        </is>
      </c>
      <c r="G381" t="n">
        <v>21.5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39612-2025</t>
        </is>
      </c>
      <c r="B382" s="1" t="n">
        <v>45890.56244212963</v>
      </c>
      <c r="C382" s="1" t="n">
        <v>46012</v>
      </c>
      <c r="D382" t="inlineStr">
        <is>
          <t>VÄRMLANDS LÄN</t>
        </is>
      </c>
      <c r="E382" t="inlineStr">
        <is>
          <t>ARVIKA</t>
        </is>
      </c>
      <c r="G382" t="n">
        <v>5.8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39687-2025</t>
        </is>
      </c>
      <c r="B383" s="1" t="n">
        <v>45890.66885416667</v>
      </c>
      <c r="C383" s="1" t="n">
        <v>46012</v>
      </c>
      <c r="D383" t="inlineStr">
        <is>
          <t>VÄRMLANDS LÄN</t>
        </is>
      </c>
      <c r="E383" t="inlineStr">
        <is>
          <t>ARVIKA</t>
        </is>
      </c>
      <c r="F383" t="inlineStr">
        <is>
          <t>Bergvik skog väst AB</t>
        </is>
      </c>
      <c r="G383" t="n">
        <v>9.199999999999999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39606-2025</t>
        </is>
      </c>
      <c r="B384" s="1" t="n">
        <v>45890.55534722222</v>
      </c>
      <c r="C384" s="1" t="n">
        <v>46012</v>
      </c>
      <c r="D384" t="inlineStr">
        <is>
          <t>VÄRMLANDS LÄN</t>
        </is>
      </c>
      <c r="E384" t="inlineStr">
        <is>
          <t>ARVIKA</t>
        </is>
      </c>
      <c r="F384" t="inlineStr">
        <is>
          <t>Bergvik skog väst AB</t>
        </is>
      </c>
      <c r="G384" t="n">
        <v>4.4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39637-2025</t>
        </is>
      </c>
      <c r="B385" s="1" t="n">
        <v>45890</v>
      </c>
      <c r="C385" s="1" t="n">
        <v>46012</v>
      </c>
      <c r="D385" t="inlineStr">
        <is>
          <t>VÄRMLANDS LÄN</t>
        </is>
      </c>
      <c r="E385" t="inlineStr">
        <is>
          <t>ARVIKA</t>
        </is>
      </c>
      <c r="F385" t="inlineStr">
        <is>
          <t>Bergvik skog väst AB</t>
        </is>
      </c>
      <c r="G385" t="n">
        <v>7.4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39646-2025</t>
        </is>
      </c>
      <c r="B386" s="1" t="n">
        <v>45890.61451388889</v>
      </c>
      <c r="C386" s="1" t="n">
        <v>46012</v>
      </c>
      <c r="D386" t="inlineStr">
        <is>
          <t>VÄRMLANDS LÄN</t>
        </is>
      </c>
      <c r="E386" t="inlineStr">
        <is>
          <t>ARVIKA</t>
        </is>
      </c>
      <c r="G386" t="n">
        <v>2.3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41311-2021</t>
        </is>
      </c>
      <c r="B387" s="1" t="n">
        <v>44424</v>
      </c>
      <c r="C387" s="1" t="n">
        <v>46012</v>
      </c>
      <c r="D387" t="inlineStr">
        <is>
          <t>VÄRMLANDS LÄN</t>
        </is>
      </c>
      <c r="E387" t="inlineStr">
        <is>
          <t>ARVIKA</t>
        </is>
      </c>
      <c r="G387" t="n">
        <v>1.7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39641-2025</t>
        </is>
      </c>
      <c r="B388" s="1" t="n">
        <v>45890.60829861111</v>
      </c>
      <c r="C388" s="1" t="n">
        <v>46012</v>
      </c>
      <c r="D388" t="inlineStr">
        <is>
          <t>VÄRMLANDS LÄN</t>
        </is>
      </c>
      <c r="E388" t="inlineStr">
        <is>
          <t>ARVIKA</t>
        </is>
      </c>
      <c r="G388" t="n">
        <v>0.7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41686-2021</t>
        </is>
      </c>
      <c r="B389" s="1" t="n">
        <v>44425</v>
      </c>
      <c r="C389" s="1" t="n">
        <v>46012</v>
      </c>
      <c r="D389" t="inlineStr">
        <is>
          <t>VÄRMLANDS LÄN</t>
        </is>
      </c>
      <c r="E389" t="inlineStr">
        <is>
          <t>ARVIKA</t>
        </is>
      </c>
      <c r="G389" t="n">
        <v>4.4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  <c r="U389">
        <f>HYPERLINK("https://klasma.github.io/Logging_1784/knärot/A 41686-2021 karta knärot.png", "A 41686-2021")</f>
        <v/>
      </c>
      <c r="V389">
        <f>HYPERLINK("https://klasma.github.io/Logging_1784/klagomål/A 41686-2021 FSC-klagomål.docx", "A 41686-2021")</f>
        <v/>
      </c>
      <c r="W389">
        <f>HYPERLINK("https://klasma.github.io/Logging_1784/klagomålsmail/A 41686-2021 FSC-klagomål mail.docx", "A 41686-2021")</f>
        <v/>
      </c>
      <c r="X389">
        <f>HYPERLINK("https://klasma.github.io/Logging_1784/tillsyn/A 41686-2021 tillsynsbegäran.docx", "A 41686-2021")</f>
        <v/>
      </c>
      <c r="Y389">
        <f>HYPERLINK("https://klasma.github.io/Logging_1784/tillsynsmail/A 41686-2021 tillsynsbegäran mail.docx", "A 41686-2021")</f>
        <v/>
      </c>
    </row>
    <row r="390" ht="15" customHeight="1">
      <c r="A390" t="inlineStr">
        <is>
          <t>A 39391-2025</t>
        </is>
      </c>
      <c r="B390" s="1" t="n">
        <v>45889.62641203704</v>
      </c>
      <c r="C390" s="1" t="n">
        <v>46012</v>
      </c>
      <c r="D390" t="inlineStr">
        <is>
          <t>VÄRMLANDS LÄN</t>
        </is>
      </c>
      <c r="E390" t="inlineStr">
        <is>
          <t>ARVIKA</t>
        </is>
      </c>
      <c r="G390" t="n">
        <v>2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39583-2025</t>
        </is>
      </c>
      <c r="B391" s="1" t="n">
        <v>45890</v>
      </c>
      <c r="C391" s="1" t="n">
        <v>46012</v>
      </c>
      <c r="D391" t="inlineStr">
        <is>
          <t>VÄRMLANDS LÄN</t>
        </is>
      </c>
      <c r="E391" t="inlineStr">
        <is>
          <t>ARVIKA</t>
        </is>
      </c>
      <c r="G391" t="n">
        <v>0.3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39392-2025</t>
        </is>
      </c>
      <c r="B392" s="1" t="n">
        <v>45889.62774305556</v>
      </c>
      <c r="C392" s="1" t="n">
        <v>46012</v>
      </c>
      <c r="D392" t="inlineStr">
        <is>
          <t>VÄRMLANDS LÄN</t>
        </is>
      </c>
      <c r="E392" t="inlineStr">
        <is>
          <t>ARVIKA</t>
        </is>
      </c>
      <c r="G392" t="n">
        <v>0.7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14774-2024</t>
        </is>
      </c>
      <c r="B393" s="1" t="n">
        <v>45397.73640046296</v>
      </c>
      <c r="C393" s="1" t="n">
        <v>46012</v>
      </c>
      <c r="D393" t="inlineStr">
        <is>
          <t>VÄRMLANDS LÄN</t>
        </is>
      </c>
      <c r="E393" t="inlineStr">
        <is>
          <t>ARVIKA</t>
        </is>
      </c>
      <c r="G393" t="n">
        <v>2.3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37109-2024</t>
        </is>
      </c>
      <c r="B394" s="1" t="n">
        <v>45539</v>
      </c>
      <c r="C394" s="1" t="n">
        <v>46012</v>
      </c>
      <c r="D394" t="inlineStr">
        <is>
          <t>VÄRMLANDS LÄN</t>
        </is>
      </c>
      <c r="E394" t="inlineStr">
        <is>
          <t>ARVIKA</t>
        </is>
      </c>
      <c r="G394" t="n">
        <v>1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32601-2023</t>
        </is>
      </c>
      <c r="B395" s="1" t="n">
        <v>45121.525625</v>
      </c>
      <c r="C395" s="1" t="n">
        <v>46012</v>
      </c>
      <c r="D395" t="inlineStr">
        <is>
          <t>VÄRMLANDS LÄN</t>
        </is>
      </c>
      <c r="E395" t="inlineStr">
        <is>
          <t>ARVIKA</t>
        </is>
      </c>
      <c r="G395" t="n">
        <v>3.7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54211-2021</t>
        </is>
      </c>
      <c r="B396" s="1" t="n">
        <v>44470.61107638889</v>
      </c>
      <c r="C396" s="1" t="n">
        <v>46012</v>
      </c>
      <c r="D396" t="inlineStr">
        <is>
          <t>VÄRMLANDS LÄN</t>
        </is>
      </c>
      <c r="E396" t="inlineStr">
        <is>
          <t>ARVIKA</t>
        </is>
      </c>
      <c r="G396" t="n">
        <v>4.7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26685-2025</t>
        </is>
      </c>
      <c r="B397" s="1" t="n">
        <v>45810</v>
      </c>
      <c r="C397" s="1" t="n">
        <v>46012</v>
      </c>
      <c r="D397" t="inlineStr">
        <is>
          <t>VÄRMLANDS LÄN</t>
        </is>
      </c>
      <c r="E397" t="inlineStr">
        <is>
          <t>ARVIKA</t>
        </is>
      </c>
      <c r="F397" t="inlineStr">
        <is>
          <t>Bergvik skog väst AB</t>
        </is>
      </c>
      <c r="G397" t="n">
        <v>1.3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26695-2025</t>
        </is>
      </c>
      <c r="B398" s="1" t="n">
        <v>45810</v>
      </c>
      <c r="C398" s="1" t="n">
        <v>46012</v>
      </c>
      <c r="D398" t="inlineStr">
        <is>
          <t>VÄRMLANDS LÄN</t>
        </is>
      </c>
      <c r="E398" t="inlineStr">
        <is>
          <t>ARVIKA</t>
        </is>
      </c>
      <c r="F398" t="inlineStr">
        <is>
          <t>Bergvik skog väst AB</t>
        </is>
      </c>
      <c r="G398" t="n">
        <v>2.9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40188-2025</t>
        </is>
      </c>
      <c r="B399" s="1" t="n">
        <v>45894</v>
      </c>
      <c r="C399" s="1" t="n">
        <v>46012</v>
      </c>
      <c r="D399" t="inlineStr">
        <is>
          <t>VÄRMLANDS LÄN</t>
        </is>
      </c>
      <c r="E399" t="inlineStr">
        <is>
          <t>ARVIKA</t>
        </is>
      </c>
      <c r="G399" t="n">
        <v>1.8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25482-2023</t>
        </is>
      </c>
      <c r="B400" s="1" t="n">
        <v>45089</v>
      </c>
      <c r="C400" s="1" t="n">
        <v>46012</v>
      </c>
      <c r="D400" t="inlineStr">
        <is>
          <t>VÄRMLANDS LÄN</t>
        </is>
      </c>
      <c r="E400" t="inlineStr">
        <is>
          <t>ARVIKA</t>
        </is>
      </c>
      <c r="G400" t="n">
        <v>0.6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38536-2023</t>
        </is>
      </c>
      <c r="B401" s="1" t="n">
        <v>45162.57837962963</v>
      </c>
      <c r="C401" s="1" t="n">
        <v>46012</v>
      </c>
      <c r="D401" t="inlineStr">
        <is>
          <t>VÄRMLANDS LÄN</t>
        </is>
      </c>
      <c r="E401" t="inlineStr">
        <is>
          <t>ARVIKA</t>
        </is>
      </c>
      <c r="G401" t="n">
        <v>1.3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26878-2025</t>
        </is>
      </c>
      <c r="B402" s="1" t="n">
        <v>45809</v>
      </c>
      <c r="C402" s="1" t="n">
        <v>46012</v>
      </c>
      <c r="D402" t="inlineStr">
        <is>
          <t>VÄRMLANDS LÄN</t>
        </is>
      </c>
      <c r="E402" t="inlineStr">
        <is>
          <t>ARVIKA</t>
        </is>
      </c>
      <c r="G402" t="n">
        <v>0.9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26879-2025</t>
        </is>
      </c>
      <c r="B403" s="1" t="n">
        <v>45809</v>
      </c>
      <c r="C403" s="1" t="n">
        <v>46012</v>
      </c>
      <c r="D403" t="inlineStr">
        <is>
          <t>VÄRMLANDS LÄN</t>
        </is>
      </c>
      <c r="E403" t="inlineStr">
        <is>
          <t>ARVIKA</t>
        </is>
      </c>
      <c r="G403" t="n">
        <v>1.9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39930-2025</t>
        </is>
      </c>
      <c r="B404" s="1" t="n">
        <v>45891.70458333333</v>
      </c>
      <c r="C404" s="1" t="n">
        <v>46012</v>
      </c>
      <c r="D404" t="inlineStr">
        <is>
          <t>VÄRMLANDS LÄN</t>
        </is>
      </c>
      <c r="E404" t="inlineStr">
        <is>
          <t>ARVIKA</t>
        </is>
      </c>
      <c r="G404" t="n">
        <v>1.4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53993-2022</t>
        </is>
      </c>
      <c r="B405" s="1" t="n">
        <v>44881</v>
      </c>
      <c r="C405" s="1" t="n">
        <v>46012</v>
      </c>
      <c r="D405" t="inlineStr">
        <is>
          <t>VÄRMLANDS LÄN</t>
        </is>
      </c>
      <c r="E405" t="inlineStr">
        <is>
          <t>ARVIKA</t>
        </is>
      </c>
      <c r="G405" t="n">
        <v>7.2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11155-2024</t>
        </is>
      </c>
      <c r="B406" s="1" t="n">
        <v>45371.47960648148</v>
      </c>
      <c r="C406" s="1" t="n">
        <v>46012</v>
      </c>
      <c r="D406" t="inlineStr">
        <is>
          <t>VÄRMLANDS LÄN</t>
        </is>
      </c>
      <c r="E406" t="inlineStr">
        <is>
          <t>ARVIKA</t>
        </is>
      </c>
      <c r="G406" t="n">
        <v>0.7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15973-2024</t>
        </is>
      </c>
      <c r="B407" s="1" t="n">
        <v>45405</v>
      </c>
      <c r="C407" s="1" t="n">
        <v>46012</v>
      </c>
      <c r="D407" t="inlineStr">
        <is>
          <t>VÄRMLANDS LÄN</t>
        </is>
      </c>
      <c r="E407" t="inlineStr">
        <is>
          <t>ARVIKA</t>
        </is>
      </c>
      <c r="G407" t="n">
        <v>1.4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44420-2021</t>
        </is>
      </c>
      <c r="B408" s="1" t="n">
        <v>44435</v>
      </c>
      <c r="C408" s="1" t="n">
        <v>46012</v>
      </c>
      <c r="D408" t="inlineStr">
        <is>
          <t>VÄRMLANDS LÄN</t>
        </is>
      </c>
      <c r="E408" t="inlineStr">
        <is>
          <t>ARVIKA</t>
        </is>
      </c>
      <c r="G408" t="n">
        <v>0.9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40030-2025</t>
        </is>
      </c>
      <c r="B409" s="1" t="n">
        <v>45894</v>
      </c>
      <c r="C409" s="1" t="n">
        <v>46012</v>
      </c>
      <c r="D409" t="inlineStr">
        <is>
          <t>VÄRMLANDS LÄN</t>
        </is>
      </c>
      <c r="E409" t="inlineStr">
        <is>
          <t>ARVIKA</t>
        </is>
      </c>
      <c r="G409" t="n">
        <v>2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44443-2021</t>
        </is>
      </c>
      <c r="B410" s="1" t="n">
        <v>44435</v>
      </c>
      <c r="C410" s="1" t="n">
        <v>46012</v>
      </c>
      <c r="D410" t="inlineStr">
        <is>
          <t>VÄRMLANDS LÄN</t>
        </is>
      </c>
      <c r="E410" t="inlineStr">
        <is>
          <t>ARVIKA</t>
        </is>
      </c>
      <c r="G410" t="n">
        <v>16.7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13761-2025</t>
        </is>
      </c>
      <c r="B411" s="1" t="n">
        <v>45737</v>
      </c>
      <c r="C411" s="1" t="n">
        <v>46012</v>
      </c>
      <c r="D411" t="inlineStr">
        <is>
          <t>VÄRMLANDS LÄN</t>
        </is>
      </c>
      <c r="E411" t="inlineStr">
        <is>
          <t>ARVIKA</t>
        </is>
      </c>
      <c r="G411" t="n">
        <v>1.8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3148-2024</t>
        </is>
      </c>
      <c r="B412" s="1" t="n">
        <v>45316.59310185185</v>
      </c>
      <c r="C412" s="1" t="n">
        <v>46012</v>
      </c>
      <c r="D412" t="inlineStr">
        <is>
          <t>VÄRMLANDS LÄN</t>
        </is>
      </c>
      <c r="E412" t="inlineStr">
        <is>
          <t>ARVIKA</t>
        </is>
      </c>
      <c r="G412" t="n">
        <v>1.4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40422-2025</t>
        </is>
      </c>
      <c r="B413" s="1" t="n">
        <v>45895</v>
      </c>
      <c r="C413" s="1" t="n">
        <v>46012</v>
      </c>
      <c r="D413" t="inlineStr">
        <is>
          <t>VÄRMLANDS LÄN</t>
        </is>
      </c>
      <c r="E413" t="inlineStr">
        <is>
          <t>ARVIKA</t>
        </is>
      </c>
      <c r="F413" t="inlineStr">
        <is>
          <t>Bergvik skog väst AB</t>
        </is>
      </c>
      <c r="G413" t="n">
        <v>3.4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40445-2025</t>
        </is>
      </c>
      <c r="B414" s="1" t="n">
        <v>45895.63373842592</v>
      </c>
      <c r="C414" s="1" t="n">
        <v>46012</v>
      </c>
      <c r="D414" t="inlineStr">
        <is>
          <t>VÄRMLANDS LÄN</t>
        </is>
      </c>
      <c r="E414" t="inlineStr">
        <is>
          <t>ARVIKA</t>
        </is>
      </c>
      <c r="F414" t="inlineStr">
        <is>
          <t>Bergvik skog väst AB</t>
        </is>
      </c>
      <c r="G414" t="n">
        <v>4.3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3643-2022</t>
        </is>
      </c>
      <c r="B415" s="1" t="n">
        <v>44586.45680555556</v>
      </c>
      <c r="C415" s="1" t="n">
        <v>46012</v>
      </c>
      <c r="D415" t="inlineStr">
        <is>
          <t>VÄRMLANDS LÄN</t>
        </is>
      </c>
      <c r="E415" t="inlineStr">
        <is>
          <t>ARVIKA</t>
        </is>
      </c>
      <c r="F415" t="inlineStr">
        <is>
          <t>Bergvik skog väst AB</t>
        </is>
      </c>
      <c r="G415" t="n">
        <v>2.1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8154-2025</t>
        </is>
      </c>
      <c r="B416" s="1" t="n">
        <v>45708.33135416666</v>
      </c>
      <c r="C416" s="1" t="n">
        <v>46012</v>
      </c>
      <c r="D416" t="inlineStr">
        <is>
          <t>VÄRMLANDS LÄN</t>
        </is>
      </c>
      <c r="E416" t="inlineStr">
        <is>
          <t>ARVIKA</t>
        </is>
      </c>
      <c r="G416" t="n">
        <v>3.1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40413-2025</t>
        </is>
      </c>
      <c r="B417" s="1" t="n">
        <v>45895</v>
      </c>
      <c r="C417" s="1" t="n">
        <v>46012</v>
      </c>
      <c r="D417" t="inlineStr">
        <is>
          <t>VÄRMLANDS LÄN</t>
        </is>
      </c>
      <c r="E417" t="inlineStr">
        <is>
          <t>ARVIKA</t>
        </is>
      </c>
      <c r="F417" t="inlineStr">
        <is>
          <t>Bergvik skog väst AB</t>
        </is>
      </c>
      <c r="G417" t="n">
        <v>0.3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48462-2023</t>
        </is>
      </c>
      <c r="B418" s="1" t="n">
        <v>45206</v>
      </c>
      <c r="C418" s="1" t="n">
        <v>46012</v>
      </c>
      <c r="D418" t="inlineStr">
        <is>
          <t>VÄRMLANDS LÄN</t>
        </is>
      </c>
      <c r="E418" t="inlineStr">
        <is>
          <t>ARVIKA</t>
        </is>
      </c>
      <c r="G418" t="n">
        <v>0.7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48510-2023</t>
        </is>
      </c>
      <c r="B419" s="1" t="n">
        <v>45207</v>
      </c>
      <c r="C419" s="1" t="n">
        <v>46012</v>
      </c>
      <c r="D419" t="inlineStr">
        <is>
          <t>VÄRMLANDS LÄN</t>
        </is>
      </c>
      <c r="E419" t="inlineStr">
        <is>
          <t>ARVIKA</t>
        </is>
      </c>
      <c r="G419" t="n">
        <v>0.3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50530-2023</t>
        </is>
      </c>
      <c r="B420" s="1" t="n">
        <v>45217</v>
      </c>
      <c r="C420" s="1" t="n">
        <v>46012</v>
      </c>
      <c r="D420" t="inlineStr">
        <is>
          <t>VÄRMLANDS LÄN</t>
        </is>
      </c>
      <c r="E420" t="inlineStr">
        <is>
          <t>ARVIKA</t>
        </is>
      </c>
      <c r="G420" t="n">
        <v>1.6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27160-2025</t>
        </is>
      </c>
      <c r="B421" s="1" t="n">
        <v>45812</v>
      </c>
      <c r="C421" s="1" t="n">
        <v>46012</v>
      </c>
      <c r="D421" t="inlineStr">
        <is>
          <t>VÄRMLANDS LÄN</t>
        </is>
      </c>
      <c r="E421" t="inlineStr">
        <is>
          <t>ARVIKA</t>
        </is>
      </c>
      <c r="G421" t="n">
        <v>2.9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10578-2023</t>
        </is>
      </c>
      <c r="B422" s="1" t="n">
        <v>44988.3599537037</v>
      </c>
      <c r="C422" s="1" t="n">
        <v>46012</v>
      </c>
      <c r="D422" t="inlineStr">
        <is>
          <t>VÄRMLANDS LÄN</t>
        </is>
      </c>
      <c r="E422" t="inlineStr">
        <is>
          <t>ARVIKA</t>
        </is>
      </c>
      <c r="G422" t="n">
        <v>2.7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4506-2022</t>
        </is>
      </c>
      <c r="B423" s="1" t="n">
        <v>44589</v>
      </c>
      <c r="C423" s="1" t="n">
        <v>46012</v>
      </c>
      <c r="D423" t="inlineStr">
        <is>
          <t>VÄRMLANDS LÄN</t>
        </is>
      </c>
      <c r="E423" t="inlineStr">
        <is>
          <t>ARVIKA</t>
        </is>
      </c>
      <c r="G423" t="n">
        <v>2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40533-2025</t>
        </is>
      </c>
      <c r="B424" s="1" t="n">
        <v>45896.39315972223</v>
      </c>
      <c r="C424" s="1" t="n">
        <v>46012</v>
      </c>
      <c r="D424" t="inlineStr">
        <is>
          <t>VÄRMLANDS LÄN</t>
        </is>
      </c>
      <c r="E424" t="inlineStr">
        <is>
          <t>ARVIKA</t>
        </is>
      </c>
      <c r="G424" t="n">
        <v>4.8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27328-2025</t>
        </is>
      </c>
      <c r="B425" s="1" t="n">
        <v>45812</v>
      </c>
      <c r="C425" s="1" t="n">
        <v>46012</v>
      </c>
      <c r="D425" t="inlineStr">
        <is>
          <t>VÄRMLANDS LÄN</t>
        </is>
      </c>
      <c r="E425" t="inlineStr">
        <is>
          <t>ARVIKA</t>
        </is>
      </c>
      <c r="F425" t="inlineStr">
        <is>
          <t>Bergvik skog väst AB</t>
        </is>
      </c>
      <c r="G425" t="n">
        <v>0.5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27344-2025</t>
        </is>
      </c>
      <c r="B426" s="1" t="n">
        <v>45812</v>
      </c>
      <c r="C426" s="1" t="n">
        <v>46012</v>
      </c>
      <c r="D426" t="inlineStr">
        <is>
          <t>VÄRMLANDS LÄN</t>
        </is>
      </c>
      <c r="E426" t="inlineStr">
        <is>
          <t>ARVIKA</t>
        </is>
      </c>
      <c r="F426" t="inlineStr">
        <is>
          <t>Bergvik skog väst AB</t>
        </is>
      </c>
      <c r="G426" t="n">
        <v>1.7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41307-2025</t>
        </is>
      </c>
      <c r="B427" s="1" t="n">
        <v>45898.73355324074</v>
      </c>
      <c r="C427" s="1" t="n">
        <v>46012</v>
      </c>
      <c r="D427" t="inlineStr">
        <is>
          <t>VÄRMLANDS LÄN</t>
        </is>
      </c>
      <c r="E427" t="inlineStr">
        <is>
          <t>ARVIKA</t>
        </is>
      </c>
      <c r="G427" t="n">
        <v>3.8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71399-2021</t>
        </is>
      </c>
      <c r="B428" s="1" t="n">
        <v>44540.35973379629</v>
      </c>
      <c r="C428" s="1" t="n">
        <v>46012</v>
      </c>
      <c r="D428" t="inlineStr">
        <is>
          <t>VÄRMLANDS LÄN</t>
        </is>
      </c>
      <c r="E428" t="inlineStr">
        <is>
          <t>ARVIKA</t>
        </is>
      </c>
      <c r="F428" t="inlineStr">
        <is>
          <t>Bergvik skog väst AB</t>
        </is>
      </c>
      <c r="G428" t="n">
        <v>1.5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59105-2022</t>
        </is>
      </c>
      <c r="B429" s="1" t="n">
        <v>44904.41652777778</v>
      </c>
      <c r="C429" s="1" t="n">
        <v>46012</v>
      </c>
      <c r="D429" t="inlineStr">
        <is>
          <t>VÄRMLANDS LÄN</t>
        </is>
      </c>
      <c r="E429" t="inlineStr">
        <is>
          <t>ARVIKA</t>
        </is>
      </c>
      <c r="F429" t="inlineStr">
        <is>
          <t>Kommuner</t>
        </is>
      </c>
      <c r="G429" t="n">
        <v>0.2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58143-2022</t>
        </is>
      </c>
      <c r="B430" s="1" t="n">
        <v>44900</v>
      </c>
      <c r="C430" s="1" t="n">
        <v>46012</v>
      </c>
      <c r="D430" t="inlineStr">
        <is>
          <t>VÄRMLANDS LÄN</t>
        </is>
      </c>
      <c r="E430" t="inlineStr">
        <is>
          <t>ARVIKA</t>
        </is>
      </c>
      <c r="G430" t="n">
        <v>0.2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27245-2025</t>
        </is>
      </c>
      <c r="B431" s="1" t="n">
        <v>45812</v>
      </c>
      <c r="C431" s="1" t="n">
        <v>46012</v>
      </c>
      <c r="D431" t="inlineStr">
        <is>
          <t>VÄRMLANDS LÄN</t>
        </is>
      </c>
      <c r="E431" t="inlineStr">
        <is>
          <t>ARVIKA</t>
        </is>
      </c>
      <c r="G431" t="n">
        <v>0.6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55856-2023</t>
        </is>
      </c>
      <c r="B432" s="1" t="n">
        <v>45239.66585648148</v>
      </c>
      <c r="C432" s="1" t="n">
        <v>46012</v>
      </c>
      <c r="D432" t="inlineStr">
        <is>
          <t>VÄRMLANDS LÄN</t>
        </is>
      </c>
      <c r="E432" t="inlineStr">
        <is>
          <t>ARVIKA</t>
        </is>
      </c>
      <c r="G432" t="n">
        <v>1.2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40907-2025</t>
        </is>
      </c>
      <c r="B433" s="1" t="n">
        <v>45897</v>
      </c>
      <c r="C433" s="1" t="n">
        <v>46012</v>
      </c>
      <c r="D433" t="inlineStr">
        <is>
          <t>VÄRMLANDS LÄN</t>
        </is>
      </c>
      <c r="E433" t="inlineStr">
        <is>
          <t>ARVIKA</t>
        </is>
      </c>
      <c r="F433" t="inlineStr">
        <is>
          <t>Bergvik skog väst AB</t>
        </is>
      </c>
      <c r="G433" t="n">
        <v>9.300000000000001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33031-2025</t>
        </is>
      </c>
      <c r="B434" s="1" t="n">
        <v>45840.38782407407</v>
      </c>
      <c r="C434" s="1" t="n">
        <v>46012</v>
      </c>
      <c r="D434" t="inlineStr">
        <is>
          <t>VÄRMLANDS LÄN</t>
        </is>
      </c>
      <c r="E434" t="inlineStr">
        <is>
          <t>ARVIKA</t>
        </is>
      </c>
      <c r="F434" t="inlineStr">
        <is>
          <t>Bergvik skog väst AB</t>
        </is>
      </c>
      <c r="G434" t="n">
        <v>6.5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50371-2023</t>
        </is>
      </c>
      <c r="B435" s="1" t="n">
        <v>45216</v>
      </c>
      <c r="C435" s="1" t="n">
        <v>46012</v>
      </c>
      <c r="D435" t="inlineStr">
        <is>
          <t>VÄRMLANDS LÄN</t>
        </is>
      </c>
      <c r="E435" t="inlineStr">
        <is>
          <t>ARVIKA</t>
        </is>
      </c>
      <c r="G435" t="n">
        <v>6.5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50393-2023</t>
        </is>
      </c>
      <c r="B436" s="1" t="n">
        <v>45216</v>
      </c>
      <c r="C436" s="1" t="n">
        <v>46012</v>
      </c>
      <c r="D436" t="inlineStr">
        <is>
          <t>VÄRMLANDS LÄN</t>
        </is>
      </c>
      <c r="E436" t="inlineStr">
        <is>
          <t>ARVIKA</t>
        </is>
      </c>
      <c r="G436" t="n">
        <v>1.6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50396-2023</t>
        </is>
      </c>
      <c r="B437" s="1" t="n">
        <v>45216</v>
      </c>
      <c r="C437" s="1" t="n">
        <v>46012</v>
      </c>
      <c r="D437" t="inlineStr">
        <is>
          <t>VÄRMLANDS LÄN</t>
        </is>
      </c>
      <c r="E437" t="inlineStr">
        <is>
          <t>ARVIKA</t>
        </is>
      </c>
      <c r="G437" t="n">
        <v>2.9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8598-2025</t>
        </is>
      </c>
      <c r="B438" s="1" t="n">
        <v>45709.78695601852</v>
      </c>
      <c r="C438" s="1" t="n">
        <v>46012</v>
      </c>
      <c r="D438" t="inlineStr">
        <is>
          <t>VÄRMLANDS LÄN</t>
        </is>
      </c>
      <c r="E438" t="inlineStr">
        <is>
          <t>ARVIKA</t>
        </is>
      </c>
      <c r="G438" t="n">
        <v>14.1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59014-2022</t>
        </is>
      </c>
      <c r="B439" s="1" t="n">
        <v>44903</v>
      </c>
      <c r="C439" s="1" t="n">
        <v>46012</v>
      </c>
      <c r="D439" t="inlineStr">
        <is>
          <t>VÄRMLANDS LÄN</t>
        </is>
      </c>
      <c r="E439" t="inlineStr">
        <is>
          <t>ARVIKA</t>
        </is>
      </c>
      <c r="G439" t="n">
        <v>0.4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32556-2024</t>
        </is>
      </c>
      <c r="B440" s="1" t="n">
        <v>45513.52241898148</v>
      </c>
      <c r="C440" s="1" t="n">
        <v>46012</v>
      </c>
      <c r="D440" t="inlineStr">
        <is>
          <t>VÄRMLANDS LÄN</t>
        </is>
      </c>
      <c r="E440" t="inlineStr">
        <is>
          <t>ARVIKA</t>
        </is>
      </c>
      <c r="F440" t="inlineStr">
        <is>
          <t>Bergvik skog väst AB</t>
        </is>
      </c>
      <c r="G440" t="n">
        <v>5.3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31925-2025</t>
        </is>
      </c>
      <c r="B441" s="1" t="n">
        <v>45834.86482638889</v>
      </c>
      <c r="C441" s="1" t="n">
        <v>46012</v>
      </c>
      <c r="D441" t="inlineStr">
        <is>
          <t>VÄRMLANDS LÄN</t>
        </is>
      </c>
      <c r="E441" t="inlineStr">
        <is>
          <t>ARVIKA</t>
        </is>
      </c>
      <c r="G441" t="n">
        <v>2.8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62485-2022</t>
        </is>
      </c>
      <c r="B442" s="1" t="n">
        <v>44924.56099537037</v>
      </c>
      <c r="C442" s="1" t="n">
        <v>46012</v>
      </c>
      <c r="D442" t="inlineStr">
        <is>
          <t>VÄRMLANDS LÄN</t>
        </is>
      </c>
      <c r="E442" t="inlineStr">
        <is>
          <t>ARVIKA</t>
        </is>
      </c>
      <c r="F442" t="inlineStr">
        <is>
          <t>Bergvik skog väst AB</t>
        </is>
      </c>
      <c r="G442" t="n">
        <v>0.5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27708-2025</t>
        </is>
      </c>
      <c r="B443" s="1" t="n">
        <v>45813</v>
      </c>
      <c r="C443" s="1" t="n">
        <v>46012</v>
      </c>
      <c r="D443" t="inlineStr">
        <is>
          <t>VÄRMLANDS LÄN</t>
        </is>
      </c>
      <c r="E443" t="inlineStr">
        <is>
          <t>ARVIKA</t>
        </is>
      </c>
      <c r="G443" t="n">
        <v>1.5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27472-2025</t>
        </is>
      </c>
      <c r="B444" s="1" t="n">
        <v>45813</v>
      </c>
      <c r="C444" s="1" t="n">
        <v>46012</v>
      </c>
      <c r="D444" t="inlineStr">
        <is>
          <t>VÄRMLANDS LÄN</t>
        </is>
      </c>
      <c r="E444" t="inlineStr">
        <is>
          <t>ARVIKA</t>
        </is>
      </c>
      <c r="G444" t="n">
        <v>0.5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31673-2025</t>
        </is>
      </c>
      <c r="B445" s="1" t="n">
        <v>45834</v>
      </c>
      <c r="C445" s="1" t="n">
        <v>46012</v>
      </c>
      <c r="D445" t="inlineStr">
        <is>
          <t>VÄRMLANDS LÄN</t>
        </is>
      </c>
      <c r="E445" t="inlineStr">
        <is>
          <t>ARVIKA</t>
        </is>
      </c>
      <c r="G445" t="n">
        <v>6.7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31899-2025</t>
        </is>
      </c>
      <c r="B446" s="1" t="n">
        <v>45834.68079861111</v>
      </c>
      <c r="C446" s="1" t="n">
        <v>46012</v>
      </c>
      <c r="D446" t="inlineStr">
        <is>
          <t>VÄRMLANDS LÄN</t>
        </is>
      </c>
      <c r="E446" t="inlineStr">
        <is>
          <t>ARVIKA</t>
        </is>
      </c>
      <c r="G446" t="n">
        <v>7.8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35806-2025</t>
        </is>
      </c>
      <c r="B447" s="1" t="n">
        <v>45861</v>
      </c>
      <c r="C447" s="1" t="n">
        <v>46012</v>
      </c>
      <c r="D447" t="inlineStr">
        <is>
          <t>VÄRMLANDS LÄN</t>
        </is>
      </c>
      <c r="E447" t="inlineStr">
        <is>
          <t>ARVIKA</t>
        </is>
      </c>
      <c r="F447" t="inlineStr">
        <is>
          <t>Övriga Aktiebolag</t>
        </is>
      </c>
      <c r="G447" t="n">
        <v>2.5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40694-2025</t>
        </is>
      </c>
      <c r="B448" s="1" t="n">
        <v>45897</v>
      </c>
      <c r="C448" s="1" t="n">
        <v>46012</v>
      </c>
      <c r="D448" t="inlineStr">
        <is>
          <t>VÄRMLANDS LÄN</t>
        </is>
      </c>
      <c r="E448" t="inlineStr">
        <is>
          <t>ARVIKA</t>
        </is>
      </c>
      <c r="F448" t="inlineStr">
        <is>
          <t>Bergvik skog väst AB</t>
        </is>
      </c>
      <c r="G448" t="n">
        <v>0.3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27707-2025</t>
        </is>
      </c>
      <c r="B449" s="1" t="n">
        <v>45813.69709490741</v>
      </c>
      <c r="C449" s="1" t="n">
        <v>46012</v>
      </c>
      <c r="D449" t="inlineStr">
        <is>
          <t>VÄRMLANDS LÄN</t>
        </is>
      </c>
      <c r="E449" t="inlineStr">
        <is>
          <t>ARVIKA</t>
        </is>
      </c>
      <c r="G449" t="n">
        <v>1.5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27709-2025</t>
        </is>
      </c>
      <c r="B450" s="1" t="n">
        <v>45813.7941087963</v>
      </c>
      <c r="C450" s="1" t="n">
        <v>46012</v>
      </c>
      <c r="D450" t="inlineStr">
        <is>
          <t>VÄRMLANDS LÄN</t>
        </is>
      </c>
      <c r="E450" t="inlineStr">
        <is>
          <t>ARVIKA</t>
        </is>
      </c>
      <c r="G450" t="n">
        <v>1.5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33047-2024</t>
        </is>
      </c>
      <c r="B451" s="1" t="n">
        <v>45517</v>
      </c>
      <c r="C451" s="1" t="n">
        <v>46012</v>
      </c>
      <c r="D451" t="inlineStr">
        <is>
          <t>VÄRMLANDS LÄN</t>
        </is>
      </c>
      <c r="E451" t="inlineStr">
        <is>
          <t>ARVIKA</t>
        </is>
      </c>
      <c r="G451" t="n">
        <v>1.5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  <c r="U451">
        <f>HYPERLINK("https://klasma.github.io/Logging_1784/knärot/A 33047-2024 karta knärot.png", "A 33047-2024")</f>
        <v/>
      </c>
      <c r="V451">
        <f>HYPERLINK("https://klasma.github.io/Logging_1784/klagomål/A 33047-2024 FSC-klagomål.docx", "A 33047-2024")</f>
        <v/>
      </c>
      <c r="W451">
        <f>HYPERLINK("https://klasma.github.io/Logging_1784/klagomålsmail/A 33047-2024 FSC-klagomål mail.docx", "A 33047-2024")</f>
        <v/>
      </c>
      <c r="X451">
        <f>HYPERLINK("https://klasma.github.io/Logging_1784/tillsyn/A 33047-2024 tillsynsbegäran.docx", "A 33047-2024")</f>
        <v/>
      </c>
      <c r="Y451">
        <f>HYPERLINK("https://klasma.github.io/Logging_1784/tillsynsmail/A 33047-2024 tillsynsbegäran mail.docx", "A 33047-2024")</f>
        <v/>
      </c>
    </row>
    <row r="452" ht="15" customHeight="1">
      <c r="A452" t="inlineStr">
        <is>
          <t>A 22926-2023</t>
        </is>
      </c>
      <c r="B452" s="1" t="n">
        <v>45072</v>
      </c>
      <c r="C452" s="1" t="n">
        <v>46012</v>
      </c>
      <c r="D452" t="inlineStr">
        <is>
          <t>VÄRMLANDS LÄN</t>
        </is>
      </c>
      <c r="E452" t="inlineStr">
        <is>
          <t>ARVIKA</t>
        </is>
      </c>
      <c r="F452" t="inlineStr">
        <is>
          <t>Bergvik skog väst AB</t>
        </is>
      </c>
      <c r="G452" t="n">
        <v>1.3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33360-2024</t>
        </is>
      </c>
      <c r="B453" s="1" t="n">
        <v>45519</v>
      </c>
      <c r="C453" s="1" t="n">
        <v>46012</v>
      </c>
      <c r="D453" t="inlineStr">
        <is>
          <t>VÄRMLANDS LÄN</t>
        </is>
      </c>
      <c r="E453" t="inlineStr">
        <is>
          <t>ARVIKA</t>
        </is>
      </c>
      <c r="G453" t="n">
        <v>1.8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15882-2025</t>
        </is>
      </c>
      <c r="B454" s="1" t="n">
        <v>45749.39099537037</v>
      </c>
      <c r="C454" s="1" t="n">
        <v>46012</v>
      </c>
      <c r="D454" t="inlineStr">
        <is>
          <t>VÄRMLANDS LÄN</t>
        </is>
      </c>
      <c r="E454" t="inlineStr">
        <is>
          <t>ARVIKA</t>
        </is>
      </c>
      <c r="G454" t="n">
        <v>0.9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50234-2023</t>
        </is>
      </c>
      <c r="B455" s="1" t="n">
        <v>45216</v>
      </c>
      <c r="C455" s="1" t="n">
        <v>46012</v>
      </c>
      <c r="D455" t="inlineStr">
        <is>
          <t>VÄRMLANDS LÄN</t>
        </is>
      </c>
      <c r="E455" t="inlineStr">
        <is>
          <t>ARVIKA</t>
        </is>
      </c>
      <c r="G455" t="n">
        <v>1.3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27961-2025</t>
        </is>
      </c>
      <c r="B456" s="1" t="n">
        <v>45817.54268518519</v>
      </c>
      <c r="C456" s="1" t="n">
        <v>46012</v>
      </c>
      <c r="D456" t="inlineStr">
        <is>
          <t>VÄRMLANDS LÄN</t>
        </is>
      </c>
      <c r="E456" t="inlineStr">
        <is>
          <t>ARVIKA</t>
        </is>
      </c>
      <c r="G456" t="n">
        <v>2.1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27967-2025</t>
        </is>
      </c>
      <c r="B457" s="1" t="n">
        <v>45817</v>
      </c>
      <c r="C457" s="1" t="n">
        <v>46012</v>
      </c>
      <c r="D457" t="inlineStr">
        <is>
          <t>VÄRMLANDS LÄN</t>
        </is>
      </c>
      <c r="E457" t="inlineStr">
        <is>
          <t>ARVIKA</t>
        </is>
      </c>
      <c r="G457" t="n">
        <v>0.8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57348-2024</t>
        </is>
      </c>
      <c r="B458" s="1" t="n">
        <v>45629.64354166666</v>
      </c>
      <c r="C458" s="1" t="n">
        <v>46012</v>
      </c>
      <c r="D458" t="inlineStr">
        <is>
          <t>VÄRMLANDS LÄN</t>
        </is>
      </c>
      <c r="E458" t="inlineStr">
        <is>
          <t>ARVIKA</t>
        </is>
      </c>
      <c r="G458" t="n">
        <v>1.8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41306-2025</t>
        </is>
      </c>
      <c r="B459" s="1" t="n">
        <v>45898</v>
      </c>
      <c r="C459" s="1" t="n">
        <v>46012</v>
      </c>
      <c r="D459" t="inlineStr">
        <is>
          <t>VÄRMLANDS LÄN</t>
        </is>
      </c>
      <c r="E459" t="inlineStr">
        <is>
          <t>ARVIKA</t>
        </is>
      </c>
      <c r="G459" t="n">
        <v>1.8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20735-2025</t>
        </is>
      </c>
      <c r="B460" s="1" t="n">
        <v>45776</v>
      </c>
      <c r="C460" s="1" t="n">
        <v>46012</v>
      </c>
      <c r="D460" t="inlineStr">
        <is>
          <t>VÄRMLANDS LÄN</t>
        </is>
      </c>
      <c r="E460" t="inlineStr">
        <is>
          <t>ARVIKA</t>
        </is>
      </c>
      <c r="G460" t="n">
        <v>3.6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55852-2023</t>
        </is>
      </c>
      <c r="B461" s="1" t="n">
        <v>45239.65730324074</v>
      </c>
      <c r="C461" s="1" t="n">
        <v>46012</v>
      </c>
      <c r="D461" t="inlineStr">
        <is>
          <t>VÄRMLANDS LÄN</t>
        </is>
      </c>
      <c r="E461" t="inlineStr">
        <is>
          <t>ARVIKA</t>
        </is>
      </c>
      <c r="G461" t="n">
        <v>2.9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43364-2023</t>
        </is>
      </c>
      <c r="B462" s="1" t="n">
        <v>45183</v>
      </c>
      <c r="C462" s="1" t="n">
        <v>46012</v>
      </c>
      <c r="D462" t="inlineStr">
        <is>
          <t>VÄRMLANDS LÄN</t>
        </is>
      </c>
      <c r="E462" t="inlineStr">
        <is>
          <t>ARVIKA</t>
        </is>
      </c>
      <c r="G462" t="n">
        <v>0.8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52185-2024</t>
        </is>
      </c>
      <c r="B463" s="1" t="n">
        <v>45608</v>
      </c>
      <c r="C463" s="1" t="n">
        <v>46012</v>
      </c>
      <c r="D463" t="inlineStr">
        <is>
          <t>VÄRMLANDS LÄN</t>
        </is>
      </c>
      <c r="E463" t="inlineStr">
        <is>
          <t>ARVIKA</t>
        </is>
      </c>
      <c r="F463" t="inlineStr">
        <is>
          <t>Bergvik skog väst AB</t>
        </is>
      </c>
      <c r="G463" t="n">
        <v>1.4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4592-2025</t>
        </is>
      </c>
      <c r="B464" s="1" t="n">
        <v>45687.54270833333</v>
      </c>
      <c r="C464" s="1" t="n">
        <v>46012</v>
      </c>
      <c r="D464" t="inlineStr">
        <is>
          <t>VÄRMLANDS LÄN</t>
        </is>
      </c>
      <c r="E464" t="inlineStr">
        <is>
          <t>ARVIKA</t>
        </is>
      </c>
      <c r="G464" t="n">
        <v>2.4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27931-2025</t>
        </is>
      </c>
      <c r="B465" s="1" t="n">
        <v>45817.4943287037</v>
      </c>
      <c r="C465" s="1" t="n">
        <v>46012</v>
      </c>
      <c r="D465" t="inlineStr">
        <is>
          <t>VÄRMLANDS LÄN</t>
        </is>
      </c>
      <c r="E465" t="inlineStr">
        <is>
          <t>ARVIKA</t>
        </is>
      </c>
      <c r="F465" t="inlineStr">
        <is>
          <t>Bergvik skog väst AB</t>
        </is>
      </c>
      <c r="G465" t="n">
        <v>2.5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27845-2025</t>
        </is>
      </c>
      <c r="B466" s="1" t="n">
        <v>45817</v>
      </c>
      <c r="C466" s="1" t="n">
        <v>46012</v>
      </c>
      <c r="D466" t="inlineStr">
        <is>
          <t>VÄRMLANDS LÄN</t>
        </is>
      </c>
      <c r="E466" t="inlineStr">
        <is>
          <t>ARVIKA</t>
        </is>
      </c>
      <c r="F466" t="inlineStr">
        <is>
          <t>Bergvik skog väst AB</t>
        </is>
      </c>
      <c r="G466" t="n">
        <v>11.8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37942-2024</t>
        </is>
      </c>
      <c r="B467" s="1" t="n">
        <v>45544.49918981481</v>
      </c>
      <c r="C467" s="1" t="n">
        <v>46012</v>
      </c>
      <c r="D467" t="inlineStr">
        <is>
          <t>VÄRMLANDS LÄN</t>
        </is>
      </c>
      <c r="E467" t="inlineStr">
        <is>
          <t>ARVIKA</t>
        </is>
      </c>
      <c r="G467" t="n">
        <v>1.5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39124-2024</t>
        </is>
      </c>
      <c r="B468" s="1" t="n">
        <v>45548</v>
      </c>
      <c r="C468" s="1" t="n">
        <v>46012</v>
      </c>
      <c r="D468" t="inlineStr">
        <is>
          <t>VÄRMLANDS LÄN</t>
        </is>
      </c>
      <c r="E468" t="inlineStr">
        <is>
          <t>ARVIKA</t>
        </is>
      </c>
      <c r="F468" t="inlineStr">
        <is>
          <t>Bergvik skog väst AB</t>
        </is>
      </c>
      <c r="G468" t="n">
        <v>3.9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34980-2025</t>
        </is>
      </c>
      <c r="B469" s="1" t="n">
        <v>45849</v>
      </c>
      <c r="C469" s="1" t="n">
        <v>46012</v>
      </c>
      <c r="D469" t="inlineStr">
        <is>
          <t>VÄRMLANDS LÄN</t>
        </is>
      </c>
      <c r="E469" t="inlineStr">
        <is>
          <t>ARVIKA</t>
        </is>
      </c>
      <c r="G469" t="n">
        <v>2.5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27914-2025</t>
        </is>
      </c>
      <c r="B470" s="1" t="n">
        <v>45817.48005787037</v>
      </c>
      <c r="C470" s="1" t="n">
        <v>46012</v>
      </c>
      <c r="D470" t="inlineStr">
        <is>
          <t>VÄRMLANDS LÄN</t>
        </is>
      </c>
      <c r="E470" t="inlineStr">
        <is>
          <t>ARVIKA</t>
        </is>
      </c>
      <c r="F470" t="inlineStr">
        <is>
          <t>Bergvik skog väst AB</t>
        </is>
      </c>
      <c r="G470" t="n">
        <v>7.1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51014-2024</t>
        </is>
      </c>
      <c r="B471" s="1" t="n">
        <v>45603.39746527778</v>
      </c>
      <c r="C471" s="1" t="n">
        <v>46012</v>
      </c>
      <c r="D471" t="inlineStr">
        <is>
          <t>VÄRMLANDS LÄN</t>
        </is>
      </c>
      <c r="E471" t="inlineStr">
        <is>
          <t>ARVIKA</t>
        </is>
      </c>
      <c r="G471" t="n">
        <v>1.9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41714-2025</t>
        </is>
      </c>
      <c r="B472" s="1" t="n">
        <v>45902.43211805556</v>
      </c>
      <c r="C472" s="1" t="n">
        <v>46012</v>
      </c>
      <c r="D472" t="inlineStr">
        <is>
          <t>VÄRMLANDS LÄN</t>
        </is>
      </c>
      <c r="E472" t="inlineStr">
        <is>
          <t>ARVIKA</t>
        </is>
      </c>
      <c r="G472" t="n">
        <v>6.8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14622-2025</t>
        </is>
      </c>
      <c r="B473" s="1" t="n">
        <v>45742.41634259259</v>
      </c>
      <c r="C473" s="1" t="n">
        <v>46012</v>
      </c>
      <c r="D473" t="inlineStr">
        <is>
          <t>VÄRMLANDS LÄN</t>
        </is>
      </c>
      <c r="E473" t="inlineStr">
        <is>
          <t>ARVIKA</t>
        </is>
      </c>
      <c r="G473" t="n">
        <v>2.4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41440-2025</t>
        </is>
      </c>
      <c r="B474" s="1" t="n">
        <v>45901</v>
      </c>
      <c r="C474" s="1" t="n">
        <v>46012</v>
      </c>
      <c r="D474" t="inlineStr">
        <is>
          <t>VÄRMLANDS LÄN</t>
        </is>
      </c>
      <c r="E474" t="inlineStr">
        <is>
          <t>ARVIKA</t>
        </is>
      </c>
      <c r="F474" t="inlineStr">
        <is>
          <t>Bergvik skog väst AB</t>
        </is>
      </c>
      <c r="G474" t="n">
        <v>1.1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6248-2021</t>
        </is>
      </c>
      <c r="B475" s="1" t="n">
        <v>44235</v>
      </c>
      <c r="C475" s="1" t="n">
        <v>46012</v>
      </c>
      <c r="D475" t="inlineStr">
        <is>
          <t>VÄRMLANDS LÄN</t>
        </is>
      </c>
      <c r="E475" t="inlineStr">
        <is>
          <t>ARVIKA</t>
        </is>
      </c>
      <c r="G475" t="n">
        <v>1.1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18082-2024</t>
        </is>
      </c>
      <c r="B476" s="1" t="n">
        <v>45420.44766203704</v>
      </c>
      <c r="C476" s="1" t="n">
        <v>46012</v>
      </c>
      <c r="D476" t="inlineStr">
        <is>
          <t>VÄRMLANDS LÄN</t>
        </is>
      </c>
      <c r="E476" t="inlineStr">
        <is>
          <t>ARVIKA</t>
        </is>
      </c>
      <c r="G476" t="n">
        <v>0.9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41481-2025</t>
        </is>
      </c>
      <c r="B477" s="1" t="n">
        <v>45901</v>
      </c>
      <c r="C477" s="1" t="n">
        <v>46012</v>
      </c>
      <c r="D477" t="inlineStr">
        <is>
          <t>VÄRMLANDS LÄN</t>
        </is>
      </c>
      <c r="E477" t="inlineStr">
        <is>
          <t>ARVIKA</t>
        </is>
      </c>
      <c r="G477" t="n">
        <v>2.8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27939-2025</t>
        </is>
      </c>
      <c r="B478" s="1" t="n">
        <v>45817.50368055556</v>
      </c>
      <c r="C478" s="1" t="n">
        <v>46012</v>
      </c>
      <c r="D478" t="inlineStr">
        <is>
          <t>VÄRMLANDS LÄN</t>
        </is>
      </c>
      <c r="E478" t="inlineStr">
        <is>
          <t>ARVIKA</t>
        </is>
      </c>
      <c r="G478" t="n">
        <v>3.5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2849-2023</t>
        </is>
      </c>
      <c r="B479" s="1" t="n">
        <v>44945.38209490741</v>
      </c>
      <c r="C479" s="1" t="n">
        <v>46012</v>
      </c>
      <c r="D479" t="inlineStr">
        <is>
          <t>VÄRMLANDS LÄN</t>
        </is>
      </c>
      <c r="E479" t="inlineStr">
        <is>
          <t>ARVIKA</t>
        </is>
      </c>
      <c r="F479" t="inlineStr">
        <is>
          <t>Bergvik skog väst AB</t>
        </is>
      </c>
      <c r="G479" t="n">
        <v>0.4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6184-2021</t>
        </is>
      </c>
      <c r="B480" s="1" t="n">
        <v>44233.49008101852</v>
      </c>
      <c r="C480" s="1" t="n">
        <v>46012</v>
      </c>
      <c r="D480" t="inlineStr">
        <is>
          <t>VÄRMLANDS LÄN</t>
        </is>
      </c>
      <c r="E480" t="inlineStr">
        <is>
          <t>ARVIKA</t>
        </is>
      </c>
      <c r="G480" t="n">
        <v>12.4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41679-2025</t>
        </is>
      </c>
      <c r="B481" s="1" t="n">
        <v>45902</v>
      </c>
      <c r="C481" s="1" t="n">
        <v>46012</v>
      </c>
      <c r="D481" t="inlineStr">
        <is>
          <t>VÄRMLANDS LÄN</t>
        </is>
      </c>
      <c r="E481" t="inlineStr">
        <is>
          <t>ARVIKA</t>
        </is>
      </c>
      <c r="F481" t="inlineStr">
        <is>
          <t>Bergvik skog väst AB</t>
        </is>
      </c>
      <c r="G481" t="n">
        <v>6.7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41434-2025</t>
        </is>
      </c>
      <c r="B482" s="1" t="n">
        <v>45901</v>
      </c>
      <c r="C482" s="1" t="n">
        <v>46012</v>
      </c>
      <c r="D482" t="inlineStr">
        <is>
          <t>VÄRMLANDS LÄN</t>
        </is>
      </c>
      <c r="E482" t="inlineStr">
        <is>
          <t>ARVIKA</t>
        </is>
      </c>
      <c r="F482" t="inlineStr">
        <is>
          <t>Bergvik skog väst AB</t>
        </is>
      </c>
      <c r="G482" t="n">
        <v>10.3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41713-2025</t>
        </is>
      </c>
      <c r="B483" s="1" t="n">
        <v>45902.43181712963</v>
      </c>
      <c r="C483" s="1" t="n">
        <v>46012</v>
      </c>
      <c r="D483" t="inlineStr">
        <is>
          <t>VÄRMLANDS LÄN</t>
        </is>
      </c>
      <c r="E483" t="inlineStr">
        <is>
          <t>ARVIKA</t>
        </is>
      </c>
      <c r="G483" t="n">
        <v>1.8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41439-2025</t>
        </is>
      </c>
      <c r="B484" s="1" t="n">
        <v>45901</v>
      </c>
      <c r="C484" s="1" t="n">
        <v>46012</v>
      </c>
      <c r="D484" t="inlineStr">
        <is>
          <t>VÄRMLANDS LÄN</t>
        </is>
      </c>
      <c r="E484" t="inlineStr">
        <is>
          <t>ARVIKA</t>
        </is>
      </c>
      <c r="F484" t="inlineStr">
        <is>
          <t>Bergvik skog väst AB</t>
        </is>
      </c>
      <c r="G484" t="n">
        <v>2.8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28109-2025</t>
        </is>
      </c>
      <c r="B485" s="1" t="n">
        <v>45817</v>
      </c>
      <c r="C485" s="1" t="n">
        <v>46012</v>
      </c>
      <c r="D485" t="inlineStr">
        <is>
          <t>VÄRMLANDS LÄN</t>
        </is>
      </c>
      <c r="E485" t="inlineStr">
        <is>
          <t>ARVIKA</t>
        </is>
      </c>
      <c r="G485" t="n">
        <v>2.5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62428-2022</t>
        </is>
      </c>
      <c r="B486" s="1" t="n">
        <v>44924</v>
      </c>
      <c r="C486" s="1" t="n">
        <v>46012</v>
      </c>
      <c r="D486" t="inlineStr">
        <is>
          <t>VÄRMLANDS LÄN</t>
        </is>
      </c>
      <c r="E486" t="inlineStr">
        <is>
          <t>ARVIKA</t>
        </is>
      </c>
      <c r="G486" t="n">
        <v>10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41651-2025</t>
        </is>
      </c>
      <c r="B487" s="1" t="n">
        <v>45902</v>
      </c>
      <c r="C487" s="1" t="n">
        <v>46012</v>
      </c>
      <c r="D487" t="inlineStr">
        <is>
          <t>VÄRMLANDS LÄN</t>
        </is>
      </c>
      <c r="E487" t="inlineStr">
        <is>
          <t>ARVIKA</t>
        </is>
      </c>
      <c r="G487" t="n">
        <v>2.4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22162-2025</t>
        </is>
      </c>
      <c r="B488" s="1" t="n">
        <v>45785.59041666667</v>
      </c>
      <c r="C488" s="1" t="n">
        <v>46012</v>
      </c>
      <c r="D488" t="inlineStr">
        <is>
          <t>VÄRMLANDS LÄN</t>
        </is>
      </c>
      <c r="E488" t="inlineStr">
        <is>
          <t>ARVIKA</t>
        </is>
      </c>
      <c r="G488" t="n">
        <v>1.3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5304-2024</t>
        </is>
      </c>
      <c r="B489" s="1" t="n">
        <v>45331</v>
      </c>
      <c r="C489" s="1" t="n">
        <v>46012</v>
      </c>
      <c r="D489" t="inlineStr">
        <is>
          <t>VÄRMLANDS LÄN</t>
        </is>
      </c>
      <c r="E489" t="inlineStr">
        <is>
          <t>ARVIKA</t>
        </is>
      </c>
      <c r="F489" t="inlineStr">
        <is>
          <t>Bergvik skog väst AB</t>
        </is>
      </c>
      <c r="G489" t="n">
        <v>0.9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28574-2025</t>
        </is>
      </c>
      <c r="B490" s="1" t="n">
        <v>45819</v>
      </c>
      <c r="C490" s="1" t="n">
        <v>46012</v>
      </c>
      <c r="D490" t="inlineStr">
        <is>
          <t>VÄRMLANDS LÄN</t>
        </is>
      </c>
      <c r="E490" t="inlineStr">
        <is>
          <t>ARVIKA</t>
        </is>
      </c>
      <c r="G490" t="n">
        <v>2.9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28427-2025</t>
        </is>
      </c>
      <c r="B491" s="1" t="n">
        <v>45819.37530092592</v>
      </c>
      <c r="C491" s="1" t="n">
        <v>46012</v>
      </c>
      <c r="D491" t="inlineStr">
        <is>
          <t>VÄRMLANDS LÄN</t>
        </is>
      </c>
      <c r="E491" t="inlineStr">
        <is>
          <t>ARVIKA</t>
        </is>
      </c>
      <c r="G491" t="n">
        <v>3.8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31998-2024</t>
        </is>
      </c>
      <c r="B492" s="1" t="n">
        <v>45510</v>
      </c>
      <c r="C492" s="1" t="n">
        <v>46012</v>
      </c>
      <c r="D492" t="inlineStr">
        <is>
          <t>VÄRMLANDS LÄN</t>
        </is>
      </c>
      <c r="E492" t="inlineStr">
        <is>
          <t>ARVIKA</t>
        </is>
      </c>
      <c r="G492" t="n">
        <v>4.5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15420-2024</t>
        </is>
      </c>
      <c r="B493" s="1" t="n">
        <v>45401</v>
      </c>
      <c r="C493" s="1" t="n">
        <v>46012</v>
      </c>
      <c r="D493" t="inlineStr">
        <is>
          <t>VÄRMLANDS LÄN</t>
        </is>
      </c>
      <c r="E493" t="inlineStr">
        <is>
          <t>ARVIKA</t>
        </is>
      </c>
      <c r="F493" t="inlineStr">
        <is>
          <t>Bergvik skog väst AB</t>
        </is>
      </c>
      <c r="G493" t="n">
        <v>2.1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41486-2025</t>
        </is>
      </c>
      <c r="B494" s="1" t="n">
        <v>45901</v>
      </c>
      <c r="C494" s="1" t="n">
        <v>46012</v>
      </c>
      <c r="D494" t="inlineStr">
        <is>
          <t>VÄRMLANDS LÄN</t>
        </is>
      </c>
      <c r="E494" t="inlineStr">
        <is>
          <t>ARVIKA</t>
        </is>
      </c>
      <c r="G494" t="n">
        <v>0.6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41652-2025</t>
        </is>
      </c>
      <c r="B495" s="1" t="n">
        <v>45902</v>
      </c>
      <c r="C495" s="1" t="n">
        <v>46012</v>
      </c>
      <c r="D495" t="inlineStr">
        <is>
          <t>VÄRMLANDS LÄN</t>
        </is>
      </c>
      <c r="E495" t="inlineStr">
        <is>
          <t>ARVIKA</t>
        </is>
      </c>
      <c r="F495" t="inlineStr">
        <is>
          <t>Bergvik skog väst AB</t>
        </is>
      </c>
      <c r="G495" t="n">
        <v>8.4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41712-2025</t>
        </is>
      </c>
      <c r="B496" s="1" t="n">
        <v>45902.43150462963</v>
      </c>
      <c r="C496" s="1" t="n">
        <v>46012</v>
      </c>
      <c r="D496" t="inlineStr">
        <is>
          <t>VÄRMLANDS LÄN</t>
        </is>
      </c>
      <c r="E496" t="inlineStr">
        <is>
          <t>ARVIKA</t>
        </is>
      </c>
      <c r="G496" t="n">
        <v>6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28412-2025</t>
        </is>
      </c>
      <c r="B497" s="1" t="n">
        <v>45819.34829861111</v>
      </c>
      <c r="C497" s="1" t="n">
        <v>46012</v>
      </c>
      <c r="D497" t="inlineStr">
        <is>
          <t>VÄRMLANDS LÄN</t>
        </is>
      </c>
      <c r="E497" t="inlineStr">
        <is>
          <t>ARVIKA</t>
        </is>
      </c>
      <c r="G497" t="n">
        <v>3.9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28471-2025</t>
        </is>
      </c>
      <c r="B498" s="1" t="n">
        <v>45819.43547453704</v>
      </c>
      <c r="C498" s="1" t="n">
        <v>46012</v>
      </c>
      <c r="D498" t="inlineStr">
        <is>
          <t>VÄRMLANDS LÄN</t>
        </is>
      </c>
      <c r="E498" t="inlineStr">
        <is>
          <t>ARVIKA</t>
        </is>
      </c>
      <c r="G498" t="n">
        <v>7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42236-2025</t>
        </is>
      </c>
      <c r="B499" s="1" t="n">
        <v>45904.56208333333</v>
      </c>
      <c r="C499" s="1" t="n">
        <v>46012</v>
      </c>
      <c r="D499" t="inlineStr">
        <is>
          <t>VÄRMLANDS LÄN</t>
        </is>
      </c>
      <c r="E499" t="inlineStr">
        <is>
          <t>ARVIKA</t>
        </is>
      </c>
      <c r="G499" t="n">
        <v>14.4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41915-2025</t>
        </is>
      </c>
      <c r="B500" s="1" t="n">
        <v>45903.41730324074</v>
      </c>
      <c r="C500" s="1" t="n">
        <v>46012</v>
      </c>
      <c r="D500" t="inlineStr">
        <is>
          <t>VÄRMLANDS LÄN</t>
        </is>
      </c>
      <c r="E500" t="inlineStr">
        <is>
          <t>ARVIKA</t>
        </is>
      </c>
      <c r="G500" t="n">
        <v>8.1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14735-2023</t>
        </is>
      </c>
      <c r="B501" s="1" t="n">
        <v>45013</v>
      </c>
      <c r="C501" s="1" t="n">
        <v>46012</v>
      </c>
      <c r="D501" t="inlineStr">
        <is>
          <t>VÄRMLANDS LÄN</t>
        </is>
      </c>
      <c r="E501" t="inlineStr">
        <is>
          <t>ARVIKA</t>
        </is>
      </c>
      <c r="G501" t="n">
        <v>3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42315-2025</t>
        </is>
      </c>
      <c r="B502" s="1" t="n">
        <v>45904</v>
      </c>
      <c r="C502" s="1" t="n">
        <v>46012</v>
      </c>
      <c r="D502" t="inlineStr">
        <is>
          <t>VÄRMLANDS LÄN</t>
        </is>
      </c>
      <c r="E502" t="inlineStr">
        <is>
          <t>ARVIKA</t>
        </is>
      </c>
      <c r="F502" t="inlineStr">
        <is>
          <t>Bergvik skog väst AB</t>
        </is>
      </c>
      <c r="G502" t="n">
        <v>7.4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28529-2025</t>
        </is>
      </c>
      <c r="B503" s="1" t="n">
        <v>45819</v>
      </c>
      <c r="C503" s="1" t="n">
        <v>46012</v>
      </c>
      <c r="D503" t="inlineStr">
        <is>
          <t>VÄRMLANDS LÄN</t>
        </is>
      </c>
      <c r="E503" t="inlineStr">
        <is>
          <t>ARVIKA</t>
        </is>
      </c>
      <c r="G503" t="n">
        <v>0.9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29156-2025</t>
        </is>
      </c>
      <c r="B504" s="1" t="n">
        <v>45821.65748842592</v>
      </c>
      <c r="C504" s="1" t="n">
        <v>46012</v>
      </c>
      <c r="D504" t="inlineStr">
        <is>
          <t>VÄRMLANDS LÄN</t>
        </is>
      </c>
      <c r="E504" t="inlineStr">
        <is>
          <t>ARVIKA</t>
        </is>
      </c>
      <c r="G504" t="n">
        <v>2.6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28964-2025</t>
        </is>
      </c>
      <c r="B505" s="1" t="n">
        <v>45821.33386574074</v>
      </c>
      <c r="C505" s="1" t="n">
        <v>46012</v>
      </c>
      <c r="D505" t="inlineStr">
        <is>
          <t>VÄRMLANDS LÄN</t>
        </is>
      </c>
      <c r="E505" t="inlineStr">
        <is>
          <t>ARVIKA</t>
        </is>
      </c>
      <c r="G505" t="n">
        <v>1.8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29137-2025</t>
        </is>
      </c>
      <c r="B506" s="1" t="n">
        <v>45821.61067129629</v>
      </c>
      <c r="C506" s="1" t="n">
        <v>46012</v>
      </c>
      <c r="D506" t="inlineStr">
        <is>
          <t>VÄRMLANDS LÄN</t>
        </is>
      </c>
      <c r="E506" t="inlineStr">
        <is>
          <t>ARVIKA</t>
        </is>
      </c>
      <c r="G506" t="n">
        <v>1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29328-2025</t>
        </is>
      </c>
      <c r="B507" s="1" t="n">
        <v>45824.48537037037</v>
      </c>
      <c r="C507" s="1" t="n">
        <v>46012</v>
      </c>
      <c r="D507" t="inlineStr">
        <is>
          <t>VÄRMLANDS LÄN</t>
        </is>
      </c>
      <c r="E507" t="inlineStr">
        <is>
          <t>ARVIKA</t>
        </is>
      </c>
      <c r="G507" t="n">
        <v>2.5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42294-2025</t>
        </is>
      </c>
      <c r="B508" s="1" t="n">
        <v>45904.63038194444</v>
      </c>
      <c r="C508" s="1" t="n">
        <v>46012</v>
      </c>
      <c r="D508" t="inlineStr">
        <is>
          <t>VÄRMLANDS LÄN</t>
        </is>
      </c>
      <c r="E508" t="inlineStr">
        <is>
          <t>ARVIKA</t>
        </is>
      </c>
      <c r="F508" t="inlineStr">
        <is>
          <t>Bergvik skog väst AB</t>
        </is>
      </c>
      <c r="G508" t="n">
        <v>8.4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15917-2023</t>
        </is>
      </c>
      <c r="B509" s="1" t="n">
        <v>45022.51802083333</v>
      </c>
      <c r="C509" s="1" t="n">
        <v>46012</v>
      </c>
      <c r="D509" t="inlineStr">
        <is>
          <t>VÄRMLANDS LÄN</t>
        </is>
      </c>
      <c r="E509" t="inlineStr">
        <is>
          <t>ARVIKA</t>
        </is>
      </c>
      <c r="G509" t="n">
        <v>18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37824-2024</t>
        </is>
      </c>
      <c r="B510" s="1" t="n">
        <v>45544</v>
      </c>
      <c r="C510" s="1" t="n">
        <v>46012</v>
      </c>
      <c r="D510" t="inlineStr">
        <is>
          <t>VÄRMLANDS LÄN</t>
        </is>
      </c>
      <c r="E510" t="inlineStr">
        <is>
          <t>ARVIKA</t>
        </is>
      </c>
      <c r="G510" t="n">
        <v>0.7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3645-2023</t>
        </is>
      </c>
      <c r="B511" s="1" t="n">
        <v>44950.70296296296</v>
      </c>
      <c r="C511" s="1" t="n">
        <v>46012</v>
      </c>
      <c r="D511" t="inlineStr">
        <is>
          <t>VÄRMLANDS LÄN</t>
        </is>
      </c>
      <c r="E511" t="inlineStr">
        <is>
          <t>ARVIKA</t>
        </is>
      </c>
      <c r="G511" t="n">
        <v>1.3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42420-2025</t>
        </is>
      </c>
      <c r="B512" s="1" t="n">
        <v>45905</v>
      </c>
      <c r="C512" s="1" t="n">
        <v>46012</v>
      </c>
      <c r="D512" t="inlineStr">
        <is>
          <t>VÄRMLANDS LÄN</t>
        </is>
      </c>
      <c r="E512" t="inlineStr">
        <is>
          <t>ARVIKA</t>
        </is>
      </c>
      <c r="G512" t="n">
        <v>3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37872-2025</t>
        </is>
      </c>
      <c r="B513" s="1" t="n">
        <v>45881</v>
      </c>
      <c r="C513" s="1" t="n">
        <v>46012</v>
      </c>
      <c r="D513" t="inlineStr">
        <is>
          <t>VÄRMLANDS LÄN</t>
        </is>
      </c>
      <c r="E513" t="inlineStr">
        <is>
          <t>ARVIKA</t>
        </is>
      </c>
      <c r="G513" t="n">
        <v>10.8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13620-2025</t>
        </is>
      </c>
      <c r="B514" s="1" t="n">
        <v>45736.63359953704</v>
      </c>
      <c r="C514" s="1" t="n">
        <v>46012</v>
      </c>
      <c r="D514" t="inlineStr">
        <is>
          <t>VÄRMLANDS LÄN</t>
        </is>
      </c>
      <c r="E514" t="inlineStr">
        <is>
          <t>ARVIKA</t>
        </is>
      </c>
      <c r="G514" t="n">
        <v>2.1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42448-2025</t>
        </is>
      </c>
      <c r="B515" s="1" t="n">
        <v>45905</v>
      </c>
      <c r="C515" s="1" t="n">
        <v>46012</v>
      </c>
      <c r="D515" t="inlineStr">
        <is>
          <t>VÄRMLANDS LÄN</t>
        </is>
      </c>
      <c r="E515" t="inlineStr">
        <is>
          <t>ARVIKA</t>
        </is>
      </c>
      <c r="F515" t="inlineStr">
        <is>
          <t>Bergvik skog väst AB</t>
        </is>
      </c>
      <c r="G515" t="n">
        <v>7.5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46758-2023</t>
        </is>
      </c>
      <c r="B516" s="1" t="n">
        <v>45198</v>
      </c>
      <c r="C516" s="1" t="n">
        <v>46012</v>
      </c>
      <c r="D516" t="inlineStr">
        <is>
          <t>VÄRMLANDS LÄN</t>
        </is>
      </c>
      <c r="E516" t="inlineStr">
        <is>
          <t>ARVIKA</t>
        </is>
      </c>
      <c r="G516" t="n">
        <v>1.5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29965-2025</t>
        </is>
      </c>
      <c r="B517" s="1" t="n">
        <v>45826.48575231482</v>
      </c>
      <c r="C517" s="1" t="n">
        <v>46012</v>
      </c>
      <c r="D517" t="inlineStr">
        <is>
          <t>VÄRMLANDS LÄN</t>
        </is>
      </c>
      <c r="E517" t="inlineStr">
        <is>
          <t>ARVIKA</t>
        </is>
      </c>
      <c r="G517" t="n">
        <v>1.5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59100-2024</t>
        </is>
      </c>
      <c r="B518" s="1" t="n">
        <v>45637</v>
      </c>
      <c r="C518" s="1" t="n">
        <v>46012</v>
      </c>
      <c r="D518" t="inlineStr">
        <is>
          <t>VÄRMLANDS LÄN</t>
        </is>
      </c>
      <c r="E518" t="inlineStr">
        <is>
          <t>ARVIKA</t>
        </is>
      </c>
      <c r="G518" t="n">
        <v>1.2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30116-2025</t>
        </is>
      </c>
      <c r="B519" s="1" t="n">
        <v>45826</v>
      </c>
      <c r="C519" s="1" t="n">
        <v>46012</v>
      </c>
      <c r="D519" t="inlineStr">
        <is>
          <t>VÄRMLANDS LÄN</t>
        </is>
      </c>
      <c r="E519" t="inlineStr">
        <is>
          <t>ARVIKA</t>
        </is>
      </c>
      <c r="F519" t="inlineStr">
        <is>
          <t>Bergvik skog väst AB</t>
        </is>
      </c>
      <c r="G519" t="n">
        <v>2.1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11890-2025</t>
        </is>
      </c>
      <c r="B520" s="1" t="n">
        <v>45728.46053240741</v>
      </c>
      <c r="C520" s="1" t="n">
        <v>46012</v>
      </c>
      <c r="D520" t="inlineStr">
        <is>
          <t>VÄRMLANDS LÄN</t>
        </is>
      </c>
      <c r="E520" t="inlineStr">
        <is>
          <t>ARVIKA</t>
        </is>
      </c>
      <c r="G520" t="n">
        <v>1.5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7717-2025</t>
        </is>
      </c>
      <c r="B521" s="1" t="n">
        <v>45706.43501157407</v>
      </c>
      <c r="C521" s="1" t="n">
        <v>46012</v>
      </c>
      <c r="D521" t="inlineStr">
        <is>
          <t>VÄRMLANDS LÄN</t>
        </is>
      </c>
      <c r="E521" t="inlineStr">
        <is>
          <t>ARVIKA</t>
        </is>
      </c>
      <c r="F521" t="inlineStr">
        <is>
          <t>Bergvik skog väst AB</t>
        </is>
      </c>
      <c r="G521" t="n">
        <v>9.300000000000001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30003-2025</t>
        </is>
      </c>
      <c r="B522" s="1" t="n">
        <v>45826</v>
      </c>
      <c r="C522" s="1" t="n">
        <v>46012</v>
      </c>
      <c r="D522" t="inlineStr">
        <is>
          <t>VÄRMLANDS LÄN</t>
        </is>
      </c>
      <c r="E522" t="inlineStr">
        <is>
          <t>ARVIKA</t>
        </is>
      </c>
      <c r="G522" t="n">
        <v>1.3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29501-2025</t>
        </is>
      </c>
      <c r="B523" s="1" t="n">
        <v>45825.28798611111</v>
      </c>
      <c r="C523" s="1" t="n">
        <v>46012</v>
      </c>
      <c r="D523" t="inlineStr">
        <is>
          <t>VÄRMLANDS LÄN</t>
        </is>
      </c>
      <c r="E523" t="inlineStr">
        <is>
          <t>ARVIKA</t>
        </is>
      </c>
      <c r="F523" t="inlineStr">
        <is>
          <t>Bergvik skog väst AB</t>
        </is>
      </c>
      <c r="G523" t="n">
        <v>7.8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42531-2025</t>
        </is>
      </c>
      <c r="B524" s="1" t="n">
        <v>45905</v>
      </c>
      <c r="C524" s="1" t="n">
        <v>46012</v>
      </c>
      <c r="D524" t="inlineStr">
        <is>
          <t>VÄRMLANDS LÄN</t>
        </is>
      </c>
      <c r="E524" t="inlineStr">
        <is>
          <t>ARVIKA</t>
        </is>
      </c>
      <c r="F524" t="inlineStr">
        <is>
          <t>Bergvik skog väst AB</t>
        </is>
      </c>
      <c r="G524" t="n">
        <v>8.699999999999999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29937-2025</t>
        </is>
      </c>
      <c r="B525" s="1" t="n">
        <v>45826.44768518519</v>
      </c>
      <c r="C525" s="1" t="n">
        <v>46012</v>
      </c>
      <c r="D525" t="inlineStr">
        <is>
          <t>VÄRMLANDS LÄN</t>
        </is>
      </c>
      <c r="E525" t="inlineStr">
        <is>
          <t>ARVIKA</t>
        </is>
      </c>
      <c r="F525" t="inlineStr">
        <is>
          <t>Bergvik skog väst AB</t>
        </is>
      </c>
      <c r="G525" t="n">
        <v>2.6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29558-2025</t>
        </is>
      </c>
      <c r="B526" s="1" t="n">
        <v>45825</v>
      </c>
      <c r="C526" s="1" t="n">
        <v>46012</v>
      </c>
      <c r="D526" t="inlineStr">
        <is>
          <t>VÄRMLANDS LÄN</t>
        </is>
      </c>
      <c r="E526" t="inlineStr">
        <is>
          <t>ARVIKA</t>
        </is>
      </c>
      <c r="F526" t="inlineStr">
        <is>
          <t>Bergvik skog väst AB</t>
        </is>
      </c>
      <c r="G526" t="n">
        <v>13.3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29610-2025</t>
        </is>
      </c>
      <c r="B527" s="1" t="n">
        <v>45825</v>
      </c>
      <c r="C527" s="1" t="n">
        <v>46012</v>
      </c>
      <c r="D527" t="inlineStr">
        <is>
          <t>VÄRMLANDS LÄN</t>
        </is>
      </c>
      <c r="E527" t="inlineStr">
        <is>
          <t>ARVIKA</t>
        </is>
      </c>
      <c r="F527" t="inlineStr">
        <is>
          <t>Bergvik skog väst AB</t>
        </is>
      </c>
      <c r="G527" t="n">
        <v>0.8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42399-2025</t>
        </is>
      </c>
      <c r="B528" s="1" t="n">
        <v>45905.36841435185</v>
      </c>
      <c r="C528" s="1" t="n">
        <v>46012</v>
      </c>
      <c r="D528" t="inlineStr">
        <is>
          <t>VÄRMLANDS LÄN</t>
        </is>
      </c>
      <c r="E528" t="inlineStr">
        <is>
          <t>ARVIKA</t>
        </is>
      </c>
      <c r="G528" t="n">
        <v>5.1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42422-2025</t>
        </is>
      </c>
      <c r="B529" s="1" t="n">
        <v>45905</v>
      </c>
      <c r="C529" s="1" t="n">
        <v>46012</v>
      </c>
      <c r="D529" t="inlineStr">
        <is>
          <t>VÄRMLANDS LÄN</t>
        </is>
      </c>
      <c r="E529" t="inlineStr">
        <is>
          <t>ARVIKA</t>
        </is>
      </c>
      <c r="F529" t="inlineStr">
        <is>
          <t>Bergvik skog väst AB</t>
        </is>
      </c>
      <c r="G529" t="n">
        <v>15.4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4995-2025</t>
        </is>
      </c>
      <c r="B530" s="1" t="n">
        <v>45691.35699074074</v>
      </c>
      <c r="C530" s="1" t="n">
        <v>46012</v>
      </c>
      <c r="D530" t="inlineStr">
        <is>
          <t>VÄRMLANDS LÄN</t>
        </is>
      </c>
      <c r="E530" t="inlineStr">
        <is>
          <t>ARVIKA</t>
        </is>
      </c>
      <c r="G530" t="n">
        <v>2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18172-2025</t>
        </is>
      </c>
      <c r="B531" s="1" t="n">
        <v>45761.65037037037</v>
      </c>
      <c r="C531" s="1" t="n">
        <v>46012</v>
      </c>
      <c r="D531" t="inlineStr">
        <is>
          <t>VÄRMLANDS LÄN</t>
        </is>
      </c>
      <c r="E531" t="inlineStr">
        <is>
          <t>ARVIKA</t>
        </is>
      </c>
      <c r="G531" t="n">
        <v>4.3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30261-2025</t>
        </is>
      </c>
      <c r="B532" s="1" t="n">
        <v>45827.42828703704</v>
      </c>
      <c r="C532" s="1" t="n">
        <v>46012</v>
      </c>
      <c r="D532" t="inlineStr">
        <is>
          <t>VÄRMLANDS LÄN</t>
        </is>
      </c>
      <c r="E532" t="inlineStr">
        <is>
          <t>ARVIKA</t>
        </is>
      </c>
      <c r="G532" t="n">
        <v>6.6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42942-2025</t>
        </is>
      </c>
      <c r="B533" s="1" t="n">
        <v>45909.34232638889</v>
      </c>
      <c r="C533" s="1" t="n">
        <v>46012</v>
      </c>
      <c r="D533" t="inlineStr">
        <is>
          <t>VÄRMLANDS LÄN</t>
        </is>
      </c>
      <c r="E533" t="inlineStr">
        <is>
          <t>ARVIKA</t>
        </is>
      </c>
      <c r="F533" t="inlineStr">
        <is>
          <t>Bergvik skog väst AB</t>
        </is>
      </c>
      <c r="G533" t="n">
        <v>3.2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3760-2023</t>
        </is>
      </c>
      <c r="B534" s="1" t="n">
        <v>44951</v>
      </c>
      <c r="C534" s="1" t="n">
        <v>46012</v>
      </c>
      <c r="D534" t="inlineStr">
        <is>
          <t>VÄRMLANDS LÄN</t>
        </is>
      </c>
      <c r="E534" t="inlineStr">
        <is>
          <t>ARVIKA</t>
        </is>
      </c>
      <c r="G534" t="n">
        <v>1.9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5397-2025</t>
        </is>
      </c>
      <c r="B535" s="1" t="n">
        <v>45692.63806712963</v>
      </c>
      <c r="C535" s="1" t="n">
        <v>46012</v>
      </c>
      <c r="D535" t="inlineStr">
        <is>
          <t>VÄRMLANDS LÄN</t>
        </is>
      </c>
      <c r="E535" t="inlineStr">
        <is>
          <t>ARVIKA</t>
        </is>
      </c>
      <c r="G535" t="n">
        <v>2.5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42938-2025</t>
        </is>
      </c>
      <c r="B536" s="1" t="n">
        <v>45909.33035879629</v>
      </c>
      <c r="C536" s="1" t="n">
        <v>46012</v>
      </c>
      <c r="D536" t="inlineStr">
        <is>
          <t>VÄRMLANDS LÄN</t>
        </is>
      </c>
      <c r="E536" t="inlineStr">
        <is>
          <t>ARVIKA</t>
        </is>
      </c>
      <c r="G536" t="n">
        <v>0.8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42955-2025</t>
        </is>
      </c>
      <c r="B537" s="1" t="n">
        <v>45909.35813657408</v>
      </c>
      <c r="C537" s="1" t="n">
        <v>46012</v>
      </c>
      <c r="D537" t="inlineStr">
        <is>
          <t>VÄRMLANDS LÄN</t>
        </is>
      </c>
      <c r="E537" t="inlineStr">
        <is>
          <t>ARVIKA</t>
        </is>
      </c>
      <c r="G537" t="n">
        <v>0.8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30793-2025</t>
        </is>
      </c>
      <c r="B538" s="1" t="n">
        <v>45831.63668981481</v>
      </c>
      <c r="C538" s="1" t="n">
        <v>46012</v>
      </c>
      <c r="D538" t="inlineStr">
        <is>
          <t>VÄRMLANDS LÄN</t>
        </is>
      </c>
      <c r="E538" t="inlineStr">
        <is>
          <t>ARVIKA</t>
        </is>
      </c>
      <c r="G538" t="n">
        <v>1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30581-2025</t>
        </is>
      </c>
      <c r="B539" s="1" t="n">
        <v>45831.42185185185</v>
      </c>
      <c r="C539" s="1" t="n">
        <v>46012</v>
      </c>
      <c r="D539" t="inlineStr">
        <is>
          <t>VÄRMLANDS LÄN</t>
        </is>
      </c>
      <c r="E539" t="inlineStr">
        <is>
          <t>ARVIKA</t>
        </is>
      </c>
      <c r="F539" t="inlineStr">
        <is>
          <t>Bergvik skog väst AB</t>
        </is>
      </c>
      <c r="G539" t="n">
        <v>22.5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30782-2025</t>
        </is>
      </c>
      <c r="B540" s="1" t="n">
        <v>45831.62445601852</v>
      </c>
      <c r="C540" s="1" t="n">
        <v>46012</v>
      </c>
      <c r="D540" t="inlineStr">
        <is>
          <t>VÄRMLANDS LÄN</t>
        </is>
      </c>
      <c r="E540" t="inlineStr">
        <is>
          <t>ARVIKA</t>
        </is>
      </c>
      <c r="G540" t="n">
        <v>2.5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42937-2025</t>
        </is>
      </c>
      <c r="B541" s="1" t="n">
        <v>45909</v>
      </c>
      <c r="C541" s="1" t="n">
        <v>46012</v>
      </c>
      <c r="D541" t="inlineStr">
        <is>
          <t>VÄRMLANDS LÄN</t>
        </is>
      </c>
      <c r="E541" t="inlineStr">
        <is>
          <t>ARVIKA</t>
        </is>
      </c>
      <c r="G541" t="n">
        <v>1.5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47046-2024</t>
        </is>
      </c>
      <c r="B542" s="1" t="n">
        <v>45586</v>
      </c>
      <c r="C542" s="1" t="n">
        <v>46012</v>
      </c>
      <c r="D542" t="inlineStr">
        <is>
          <t>VÄRMLANDS LÄN</t>
        </is>
      </c>
      <c r="E542" t="inlineStr">
        <is>
          <t>ARVIKA</t>
        </is>
      </c>
      <c r="F542" t="inlineStr">
        <is>
          <t>Bergvik skog väst AB</t>
        </is>
      </c>
      <c r="G542" t="n">
        <v>1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43459-2025</t>
        </is>
      </c>
      <c r="B543" s="1" t="n">
        <v>45911.46776620371</v>
      </c>
      <c r="C543" s="1" t="n">
        <v>46012</v>
      </c>
      <c r="D543" t="inlineStr">
        <is>
          <t>VÄRMLANDS LÄN</t>
        </is>
      </c>
      <c r="E543" t="inlineStr">
        <is>
          <t>ARVIKA</t>
        </is>
      </c>
      <c r="G543" t="n">
        <v>0.7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43354-2025</t>
        </is>
      </c>
      <c r="B544" s="1" t="n">
        <v>45911.32346064815</v>
      </c>
      <c r="C544" s="1" t="n">
        <v>46012</v>
      </c>
      <c r="D544" t="inlineStr">
        <is>
          <t>VÄRMLANDS LÄN</t>
        </is>
      </c>
      <c r="E544" t="inlineStr">
        <is>
          <t>ARVIKA</t>
        </is>
      </c>
      <c r="G544" t="n">
        <v>2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21433-2022</t>
        </is>
      </c>
      <c r="B545" s="1" t="n">
        <v>44706.34313657408</v>
      </c>
      <c r="C545" s="1" t="n">
        <v>46012</v>
      </c>
      <c r="D545" t="inlineStr">
        <is>
          <t>VÄRMLANDS LÄN</t>
        </is>
      </c>
      <c r="E545" t="inlineStr">
        <is>
          <t>ARVIKA</t>
        </is>
      </c>
      <c r="F545" t="inlineStr">
        <is>
          <t>Bergvik skog väst AB</t>
        </is>
      </c>
      <c r="G545" t="n">
        <v>0.7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30777-2025</t>
        </is>
      </c>
      <c r="B546" s="1" t="n">
        <v>45831</v>
      </c>
      <c r="C546" s="1" t="n">
        <v>46012</v>
      </c>
      <c r="D546" t="inlineStr">
        <is>
          <t>VÄRMLANDS LÄN</t>
        </is>
      </c>
      <c r="E546" t="inlineStr">
        <is>
          <t>ARVIKA</t>
        </is>
      </c>
      <c r="G546" t="n">
        <v>2.6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2046-2023</t>
        </is>
      </c>
      <c r="B547" s="1" t="n">
        <v>44938</v>
      </c>
      <c r="C547" s="1" t="n">
        <v>46012</v>
      </c>
      <c r="D547" t="inlineStr">
        <is>
          <t>VÄRMLANDS LÄN</t>
        </is>
      </c>
      <c r="E547" t="inlineStr">
        <is>
          <t>ARVIKA</t>
        </is>
      </c>
      <c r="G547" t="n">
        <v>0.6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13982-2024</t>
        </is>
      </c>
      <c r="B548" s="1" t="n">
        <v>45392.40756944445</v>
      </c>
      <c r="C548" s="1" t="n">
        <v>46012</v>
      </c>
      <c r="D548" t="inlineStr">
        <is>
          <t>VÄRMLANDS LÄN</t>
        </is>
      </c>
      <c r="E548" t="inlineStr">
        <is>
          <t>ARVIKA</t>
        </is>
      </c>
      <c r="G548" t="n">
        <v>0.5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39702-2025</t>
        </is>
      </c>
      <c r="B549" s="1" t="n">
        <v>45890</v>
      </c>
      <c r="C549" s="1" t="n">
        <v>46012</v>
      </c>
      <c r="D549" t="inlineStr">
        <is>
          <t>VÄRMLANDS LÄN</t>
        </is>
      </c>
      <c r="E549" t="inlineStr">
        <is>
          <t>ARVIKA</t>
        </is>
      </c>
      <c r="F549" t="inlineStr">
        <is>
          <t>Bergvik skog väst AB</t>
        </is>
      </c>
      <c r="G549" t="n">
        <v>8.9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43612-2025</t>
        </is>
      </c>
      <c r="B550" s="1" t="n">
        <v>45911.67621527778</v>
      </c>
      <c r="C550" s="1" t="n">
        <v>46012</v>
      </c>
      <c r="D550" t="inlineStr">
        <is>
          <t>VÄRMLANDS LÄN</t>
        </is>
      </c>
      <c r="E550" t="inlineStr">
        <is>
          <t>ARVIKA</t>
        </is>
      </c>
      <c r="F550" t="inlineStr">
        <is>
          <t>Bergvik skog väst AB</t>
        </is>
      </c>
      <c r="G550" t="n">
        <v>4.1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37630-2024</t>
        </is>
      </c>
      <c r="B551" s="1" t="n">
        <v>45541.53141203704</v>
      </c>
      <c r="C551" s="1" t="n">
        <v>46012</v>
      </c>
      <c r="D551" t="inlineStr">
        <is>
          <t>VÄRMLANDS LÄN</t>
        </is>
      </c>
      <c r="E551" t="inlineStr">
        <is>
          <t>ARVIKA</t>
        </is>
      </c>
      <c r="G551" t="n">
        <v>3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3664-2021</t>
        </is>
      </c>
      <c r="B552" s="1" t="n">
        <v>44221</v>
      </c>
      <c r="C552" s="1" t="n">
        <v>46012</v>
      </c>
      <c r="D552" t="inlineStr">
        <is>
          <t>VÄRMLANDS LÄN</t>
        </is>
      </c>
      <c r="E552" t="inlineStr">
        <is>
          <t>ARVIKA</t>
        </is>
      </c>
      <c r="G552" t="n">
        <v>7.3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30796-2025</t>
        </is>
      </c>
      <c r="B553" s="1" t="n">
        <v>45831</v>
      </c>
      <c r="C553" s="1" t="n">
        <v>46012</v>
      </c>
      <c r="D553" t="inlineStr">
        <is>
          <t>VÄRMLANDS LÄN</t>
        </is>
      </c>
      <c r="E553" t="inlineStr">
        <is>
          <t>ARVIKA</t>
        </is>
      </c>
      <c r="G553" t="n">
        <v>3.4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49334-2024</t>
        </is>
      </c>
      <c r="B554" s="1" t="n">
        <v>45595.58565972222</v>
      </c>
      <c r="C554" s="1" t="n">
        <v>46012</v>
      </c>
      <c r="D554" t="inlineStr">
        <is>
          <t>VÄRMLANDS LÄN</t>
        </is>
      </c>
      <c r="E554" t="inlineStr">
        <is>
          <t>ARVIKA</t>
        </is>
      </c>
      <c r="F554" t="inlineStr">
        <is>
          <t>Bergvik skog väst AB</t>
        </is>
      </c>
      <c r="G554" t="n">
        <v>9.4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41716-2025</t>
        </is>
      </c>
      <c r="B555" s="1" t="n">
        <v>45902</v>
      </c>
      <c r="C555" s="1" t="n">
        <v>46012</v>
      </c>
      <c r="D555" t="inlineStr">
        <is>
          <t>VÄRMLANDS LÄN</t>
        </is>
      </c>
      <c r="E555" t="inlineStr">
        <is>
          <t>ARVIKA</t>
        </is>
      </c>
      <c r="G555" t="n">
        <v>3.8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43408-2025</t>
        </is>
      </c>
      <c r="B556" s="1" t="n">
        <v>45911.39462962963</v>
      </c>
      <c r="C556" s="1" t="n">
        <v>46012</v>
      </c>
      <c r="D556" t="inlineStr">
        <is>
          <t>VÄRMLANDS LÄN</t>
        </is>
      </c>
      <c r="E556" t="inlineStr">
        <is>
          <t>ARVIKA</t>
        </is>
      </c>
      <c r="G556" t="n">
        <v>4.7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43410-2025</t>
        </is>
      </c>
      <c r="B557" s="1" t="n">
        <v>45911.39592592593</v>
      </c>
      <c r="C557" s="1" t="n">
        <v>46012</v>
      </c>
      <c r="D557" t="inlineStr">
        <is>
          <t>VÄRMLANDS LÄN</t>
        </is>
      </c>
      <c r="E557" t="inlineStr">
        <is>
          <t>ARVIKA</t>
        </is>
      </c>
      <c r="G557" t="n">
        <v>1.6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43761-2025</t>
        </is>
      </c>
      <c r="B558" s="1" t="n">
        <v>45912</v>
      </c>
      <c r="C558" s="1" t="n">
        <v>46012</v>
      </c>
      <c r="D558" t="inlineStr">
        <is>
          <t>VÄRMLANDS LÄN</t>
        </is>
      </c>
      <c r="E558" t="inlineStr">
        <is>
          <t>ARVIKA</t>
        </is>
      </c>
      <c r="G558" t="n">
        <v>0.9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31418-2025</t>
        </is>
      </c>
      <c r="B559" s="1" t="n">
        <v>45833</v>
      </c>
      <c r="C559" s="1" t="n">
        <v>46012</v>
      </c>
      <c r="D559" t="inlineStr">
        <is>
          <t>VÄRMLANDS LÄN</t>
        </is>
      </c>
      <c r="E559" t="inlineStr">
        <is>
          <t>ARVIKA</t>
        </is>
      </c>
      <c r="F559" t="inlineStr">
        <is>
          <t>Bergvik skog väst AB</t>
        </is>
      </c>
      <c r="G559" t="n">
        <v>1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19425-2024</t>
        </is>
      </c>
      <c r="B560" s="1" t="n">
        <v>45429.43708333333</v>
      </c>
      <c r="C560" s="1" t="n">
        <v>46012</v>
      </c>
      <c r="D560" t="inlineStr">
        <is>
          <t>VÄRMLANDS LÄN</t>
        </is>
      </c>
      <c r="E560" t="inlineStr">
        <is>
          <t>ARVIKA</t>
        </is>
      </c>
      <c r="G560" t="n">
        <v>3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10411-2025</t>
        </is>
      </c>
      <c r="B561" s="1" t="n">
        <v>45720.63225694445</v>
      </c>
      <c r="C561" s="1" t="n">
        <v>46012</v>
      </c>
      <c r="D561" t="inlineStr">
        <is>
          <t>VÄRMLANDS LÄN</t>
        </is>
      </c>
      <c r="E561" t="inlineStr">
        <is>
          <t>ARVIKA</t>
        </is>
      </c>
      <c r="F561" t="inlineStr">
        <is>
          <t>Bergvik skog väst AB</t>
        </is>
      </c>
      <c r="G561" t="n">
        <v>0.8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31372-2025</t>
        </is>
      </c>
      <c r="B562" s="1" t="n">
        <v>45833.44447916667</v>
      </c>
      <c r="C562" s="1" t="n">
        <v>46012</v>
      </c>
      <c r="D562" t="inlineStr">
        <is>
          <t>VÄRMLANDS LÄN</t>
        </is>
      </c>
      <c r="E562" t="inlineStr">
        <is>
          <t>ARVIKA</t>
        </is>
      </c>
      <c r="F562" t="inlineStr">
        <is>
          <t>Bergvik skog väst AB</t>
        </is>
      </c>
      <c r="G562" t="n">
        <v>2.6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44321-2025</t>
        </is>
      </c>
      <c r="B563" s="1" t="n">
        <v>45916.40230324074</v>
      </c>
      <c r="C563" s="1" t="n">
        <v>46012</v>
      </c>
      <c r="D563" t="inlineStr">
        <is>
          <t>VÄRMLANDS LÄN</t>
        </is>
      </c>
      <c r="E563" t="inlineStr">
        <is>
          <t>ARVIKA</t>
        </is>
      </c>
      <c r="F563" t="inlineStr">
        <is>
          <t>Bergvik skog väst AB</t>
        </is>
      </c>
      <c r="G563" t="n">
        <v>0.5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43994-2025</t>
        </is>
      </c>
      <c r="B564" s="1" t="n">
        <v>45915.44663194445</v>
      </c>
      <c r="C564" s="1" t="n">
        <v>46012</v>
      </c>
      <c r="D564" t="inlineStr">
        <is>
          <t>VÄRMLANDS LÄN</t>
        </is>
      </c>
      <c r="E564" t="inlineStr">
        <is>
          <t>ARVIKA</t>
        </is>
      </c>
      <c r="G564" t="n">
        <v>3.1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31331-2025</t>
        </is>
      </c>
      <c r="B565" s="1" t="n">
        <v>45833</v>
      </c>
      <c r="C565" s="1" t="n">
        <v>46012</v>
      </c>
      <c r="D565" t="inlineStr">
        <is>
          <t>VÄRMLANDS LÄN</t>
        </is>
      </c>
      <c r="E565" t="inlineStr">
        <is>
          <t>ARVIKA</t>
        </is>
      </c>
      <c r="F565" t="inlineStr">
        <is>
          <t>Bergvik skog väst AB</t>
        </is>
      </c>
      <c r="G565" t="n">
        <v>1.9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44256-2025</t>
        </is>
      </c>
      <c r="B566" s="1" t="n">
        <v>45915</v>
      </c>
      <c r="C566" s="1" t="n">
        <v>46012</v>
      </c>
      <c r="D566" t="inlineStr">
        <is>
          <t>VÄRMLANDS LÄN</t>
        </is>
      </c>
      <c r="E566" t="inlineStr">
        <is>
          <t>ARVIKA</t>
        </is>
      </c>
      <c r="F566" t="inlineStr">
        <is>
          <t>Kyrkan</t>
        </is>
      </c>
      <c r="G566" t="n">
        <v>2.2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44259-2025</t>
        </is>
      </c>
      <c r="B567" s="1" t="n">
        <v>45915.83709490741</v>
      </c>
      <c r="C567" s="1" t="n">
        <v>46012</v>
      </c>
      <c r="D567" t="inlineStr">
        <is>
          <t>VÄRMLANDS LÄN</t>
        </is>
      </c>
      <c r="E567" t="inlineStr">
        <is>
          <t>ARVIKA</t>
        </is>
      </c>
      <c r="G567" t="n">
        <v>5.7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31469-2025</t>
        </is>
      </c>
      <c r="B568" s="1" t="n">
        <v>45833</v>
      </c>
      <c r="C568" s="1" t="n">
        <v>46012</v>
      </c>
      <c r="D568" t="inlineStr">
        <is>
          <t>VÄRMLANDS LÄN</t>
        </is>
      </c>
      <c r="E568" t="inlineStr">
        <is>
          <t>ARVIKA</t>
        </is>
      </c>
      <c r="F568" t="inlineStr">
        <is>
          <t>Bergvik skog väst AB</t>
        </is>
      </c>
      <c r="G568" t="n">
        <v>1.4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61653-2023</t>
        </is>
      </c>
      <c r="B569" s="1" t="n">
        <v>45265</v>
      </c>
      <c r="C569" s="1" t="n">
        <v>46012</v>
      </c>
      <c r="D569" t="inlineStr">
        <is>
          <t>VÄRMLANDS LÄN</t>
        </is>
      </c>
      <c r="E569" t="inlineStr">
        <is>
          <t>ARVIKA</t>
        </is>
      </c>
      <c r="F569" t="inlineStr">
        <is>
          <t>Bergvik skog väst AB</t>
        </is>
      </c>
      <c r="G569" t="n">
        <v>8.9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49337-2023</t>
        </is>
      </c>
      <c r="B570" s="1" t="n">
        <v>45210.96349537037</v>
      </c>
      <c r="C570" s="1" t="n">
        <v>46012</v>
      </c>
      <c r="D570" t="inlineStr">
        <is>
          <t>VÄRMLANDS LÄN</t>
        </is>
      </c>
      <c r="E570" t="inlineStr">
        <is>
          <t>ARVIKA</t>
        </is>
      </c>
      <c r="G570" t="n">
        <v>1.1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20196-2025</t>
        </is>
      </c>
      <c r="B571" s="1" t="n">
        <v>45772.61085648148</v>
      </c>
      <c r="C571" s="1" t="n">
        <v>46012</v>
      </c>
      <c r="D571" t="inlineStr">
        <is>
          <t>VÄRMLANDS LÄN</t>
        </is>
      </c>
      <c r="E571" t="inlineStr">
        <is>
          <t>ARVIKA</t>
        </is>
      </c>
      <c r="G571" t="n">
        <v>1.7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44533-2025</t>
        </is>
      </c>
      <c r="B572" s="1" t="n">
        <v>45916</v>
      </c>
      <c r="C572" s="1" t="n">
        <v>46012</v>
      </c>
      <c r="D572" t="inlineStr">
        <is>
          <t>VÄRMLANDS LÄN</t>
        </is>
      </c>
      <c r="E572" t="inlineStr">
        <is>
          <t>ARVIKA</t>
        </is>
      </c>
      <c r="G572" t="n">
        <v>1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31401-2025</t>
        </is>
      </c>
      <c r="B573" s="1" t="n">
        <v>45833</v>
      </c>
      <c r="C573" s="1" t="n">
        <v>46012</v>
      </c>
      <c r="D573" t="inlineStr">
        <is>
          <t>VÄRMLANDS LÄN</t>
        </is>
      </c>
      <c r="E573" t="inlineStr">
        <is>
          <t>ARVIKA</t>
        </is>
      </c>
      <c r="F573" t="inlineStr">
        <is>
          <t>Bergvik skog väst AB</t>
        </is>
      </c>
      <c r="G573" t="n">
        <v>1.9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31406-2025</t>
        </is>
      </c>
      <c r="B574" s="1" t="n">
        <v>45833</v>
      </c>
      <c r="C574" s="1" t="n">
        <v>46012</v>
      </c>
      <c r="D574" t="inlineStr">
        <is>
          <t>VÄRMLANDS LÄN</t>
        </is>
      </c>
      <c r="E574" t="inlineStr">
        <is>
          <t>ARVIKA</t>
        </is>
      </c>
      <c r="F574" t="inlineStr">
        <is>
          <t>Bergvik skog väst AB</t>
        </is>
      </c>
      <c r="G574" t="n">
        <v>1.5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31413-2025</t>
        </is>
      </c>
      <c r="B575" s="1" t="n">
        <v>45833</v>
      </c>
      <c r="C575" s="1" t="n">
        <v>46012</v>
      </c>
      <c r="D575" t="inlineStr">
        <is>
          <t>VÄRMLANDS LÄN</t>
        </is>
      </c>
      <c r="E575" t="inlineStr">
        <is>
          <t>ARVIKA</t>
        </is>
      </c>
      <c r="F575" t="inlineStr">
        <is>
          <t>Bergvik skog väst AB</t>
        </is>
      </c>
      <c r="G575" t="n">
        <v>0.6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1329-2022</t>
        </is>
      </c>
      <c r="B576" s="1" t="n">
        <v>44572</v>
      </c>
      <c r="C576" s="1" t="n">
        <v>46012</v>
      </c>
      <c r="D576" t="inlineStr">
        <is>
          <t>VÄRMLANDS LÄN</t>
        </is>
      </c>
      <c r="E576" t="inlineStr">
        <is>
          <t>ARVIKA</t>
        </is>
      </c>
      <c r="G576" t="n">
        <v>3.5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31689-2025</t>
        </is>
      </c>
      <c r="B577" s="1" t="n">
        <v>45834</v>
      </c>
      <c r="C577" s="1" t="n">
        <v>46012</v>
      </c>
      <c r="D577" t="inlineStr">
        <is>
          <t>VÄRMLANDS LÄN</t>
        </is>
      </c>
      <c r="E577" t="inlineStr">
        <is>
          <t>ARVIKA</t>
        </is>
      </c>
      <c r="G577" t="n">
        <v>2.6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44472-2025</t>
        </is>
      </c>
      <c r="B578" s="1" t="n">
        <v>45916</v>
      </c>
      <c r="C578" s="1" t="n">
        <v>46012</v>
      </c>
      <c r="D578" t="inlineStr">
        <is>
          <t>VÄRMLANDS LÄN</t>
        </is>
      </c>
      <c r="E578" t="inlineStr">
        <is>
          <t>ARVIKA</t>
        </is>
      </c>
      <c r="G578" t="n">
        <v>2.5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31415-2025</t>
        </is>
      </c>
      <c r="B579" s="1" t="n">
        <v>45833</v>
      </c>
      <c r="C579" s="1" t="n">
        <v>46012</v>
      </c>
      <c r="D579" t="inlineStr">
        <is>
          <t>VÄRMLANDS LÄN</t>
        </is>
      </c>
      <c r="E579" t="inlineStr">
        <is>
          <t>ARVIKA</t>
        </is>
      </c>
      <c r="F579" t="inlineStr">
        <is>
          <t>Bergvik skog väst AB</t>
        </is>
      </c>
      <c r="G579" t="n">
        <v>7.6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31442-2025</t>
        </is>
      </c>
      <c r="B580" s="1" t="n">
        <v>45833</v>
      </c>
      <c r="C580" s="1" t="n">
        <v>46012</v>
      </c>
      <c r="D580" t="inlineStr">
        <is>
          <t>VÄRMLANDS LÄN</t>
        </is>
      </c>
      <c r="E580" t="inlineStr">
        <is>
          <t>ARVIKA</t>
        </is>
      </c>
      <c r="F580" t="inlineStr">
        <is>
          <t>Bergvik skog väst AB</t>
        </is>
      </c>
      <c r="G580" t="n">
        <v>5.9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31443-2025</t>
        </is>
      </c>
      <c r="B581" s="1" t="n">
        <v>45833.51288194444</v>
      </c>
      <c r="C581" s="1" t="n">
        <v>46012</v>
      </c>
      <c r="D581" t="inlineStr">
        <is>
          <t>VÄRMLANDS LÄN</t>
        </is>
      </c>
      <c r="E581" t="inlineStr">
        <is>
          <t>ARVIKA</t>
        </is>
      </c>
      <c r="F581" t="inlineStr">
        <is>
          <t>Bergvik skog väst AB</t>
        </is>
      </c>
      <c r="G581" t="n">
        <v>2.8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31478-2025</t>
        </is>
      </c>
      <c r="B582" s="1" t="n">
        <v>45833</v>
      </c>
      <c r="C582" s="1" t="n">
        <v>46012</v>
      </c>
      <c r="D582" t="inlineStr">
        <is>
          <t>VÄRMLANDS LÄN</t>
        </is>
      </c>
      <c r="E582" t="inlineStr">
        <is>
          <t>ARVIKA</t>
        </is>
      </c>
      <c r="F582" t="inlineStr">
        <is>
          <t>Bergvik skog väst AB</t>
        </is>
      </c>
      <c r="G582" t="n">
        <v>1.9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31992-2025</t>
        </is>
      </c>
      <c r="B583" s="1" t="n">
        <v>45835.36956018519</v>
      </c>
      <c r="C583" s="1" t="n">
        <v>46012</v>
      </c>
      <c r="D583" t="inlineStr">
        <is>
          <t>VÄRMLANDS LÄN</t>
        </is>
      </c>
      <c r="E583" t="inlineStr">
        <is>
          <t>ARVIKA</t>
        </is>
      </c>
      <c r="G583" t="n">
        <v>1.9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31969-2025</t>
        </is>
      </c>
      <c r="B584" s="1" t="n">
        <v>45835.34836805556</v>
      </c>
      <c r="C584" s="1" t="n">
        <v>46012</v>
      </c>
      <c r="D584" t="inlineStr">
        <is>
          <t>VÄRMLANDS LÄN</t>
        </is>
      </c>
      <c r="E584" t="inlineStr">
        <is>
          <t>ARVIKA</t>
        </is>
      </c>
      <c r="G584" t="n">
        <v>1.6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32515-2025</t>
        </is>
      </c>
      <c r="B585" s="1" t="n">
        <v>45838</v>
      </c>
      <c r="C585" s="1" t="n">
        <v>46012</v>
      </c>
      <c r="D585" t="inlineStr">
        <is>
          <t>VÄRMLANDS LÄN</t>
        </is>
      </c>
      <c r="E585" t="inlineStr">
        <is>
          <t>ARVIKA</t>
        </is>
      </c>
      <c r="F585" t="inlineStr">
        <is>
          <t>Bergvik skog väst AB</t>
        </is>
      </c>
      <c r="G585" t="n">
        <v>3.9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44304-2025</t>
        </is>
      </c>
      <c r="B586" s="1" t="n">
        <v>45916.37346064814</v>
      </c>
      <c r="C586" s="1" t="n">
        <v>46012</v>
      </c>
      <c r="D586" t="inlineStr">
        <is>
          <t>VÄRMLANDS LÄN</t>
        </is>
      </c>
      <c r="E586" t="inlineStr">
        <is>
          <t>ARVIKA</t>
        </is>
      </c>
      <c r="F586" t="inlineStr">
        <is>
          <t>Bergvik skog väst AB</t>
        </is>
      </c>
      <c r="G586" t="n">
        <v>3.8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31944-2025</t>
        </is>
      </c>
      <c r="B587" s="1" t="n">
        <v>45835</v>
      </c>
      <c r="C587" s="1" t="n">
        <v>46012</v>
      </c>
      <c r="D587" t="inlineStr">
        <is>
          <t>VÄRMLANDS LÄN</t>
        </is>
      </c>
      <c r="E587" t="inlineStr">
        <is>
          <t>ARVIKA</t>
        </is>
      </c>
      <c r="G587" t="n">
        <v>1.3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32530-2025</t>
        </is>
      </c>
      <c r="B588" s="1" t="n">
        <v>45838</v>
      </c>
      <c r="C588" s="1" t="n">
        <v>46012</v>
      </c>
      <c r="D588" t="inlineStr">
        <is>
          <t>VÄRMLANDS LÄN</t>
        </is>
      </c>
      <c r="E588" t="inlineStr">
        <is>
          <t>ARVIKA</t>
        </is>
      </c>
      <c r="F588" t="inlineStr">
        <is>
          <t>Bergvik skog väst AB</t>
        </is>
      </c>
      <c r="G588" t="n">
        <v>2.4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44887-2025</t>
        </is>
      </c>
      <c r="B589" s="1" t="n">
        <v>45918</v>
      </c>
      <c r="C589" s="1" t="n">
        <v>46012</v>
      </c>
      <c r="D589" t="inlineStr">
        <is>
          <t>VÄRMLANDS LÄN</t>
        </is>
      </c>
      <c r="E589" t="inlineStr">
        <is>
          <t>ARVIKA</t>
        </is>
      </c>
      <c r="G589" t="n">
        <v>1.3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44859-2025</t>
        </is>
      </c>
      <c r="B590" s="1" t="n">
        <v>45918</v>
      </c>
      <c r="C590" s="1" t="n">
        <v>46012</v>
      </c>
      <c r="D590" t="inlineStr">
        <is>
          <t>VÄRMLANDS LÄN</t>
        </is>
      </c>
      <c r="E590" t="inlineStr">
        <is>
          <t>ARVIKA</t>
        </is>
      </c>
      <c r="G590" t="n">
        <v>1.5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44585-2025</t>
        </is>
      </c>
      <c r="B591" s="1" t="n">
        <v>45917</v>
      </c>
      <c r="C591" s="1" t="n">
        <v>46012</v>
      </c>
      <c r="D591" t="inlineStr">
        <is>
          <t>VÄRMLANDS LÄN</t>
        </is>
      </c>
      <c r="E591" t="inlineStr">
        <is>
          <t>ARVIKA</t>
        </is>
      </c>
      <c r="G591" t="n">
        <v>1.2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44586-2025</t>
        </is>
      </c>
      <c r="B592" s="1" t="n">
        <v>45917</v>
      </c>
      <c r="C592" s="1" t="n">
        <v>46012</v>
      </c>
      <c r="D592" t="inlineStr">
        <is>
          <t>VÄRMLANDS LÄN</t>
        </is>
      </c>
      <c r="E592" t="inlineStr">
        <is>
          <t>ARVIKA</t>
        </is>
      </c>
      <c r="G592" t="n">
        <v>0.9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38009-2024</t>
        </is>
      </c>
      <c r="B593" s="1" t="n">
        <v>45544.62174768518</v>
      </c>
      <c r="C593" s="1" t="n">
        <v>46012</v>
      </c>
      <c r="D593" t="inlineStr">
        <is>
          <t>VÄRMLANDS LÄN</t>
        </is>
      </c>
      <c r="E593" t="inlineStr">
        <is>
          <t>ARVIKA</t>
        </is>
      </c>
      <c r="F593" t="inlineStr">
        <is>
          <t>Bergvik skog väst AB</t>
        </is>
      </c>
      <c r="G593" t="n">
        <v>1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32453-2025</t>
        </is>
      </c>
      <c r="B594" s="1" t="n">
        <v>45838</v>
      </c>
      <c r="C594" s="1" t="n">
        <v>46012</v>
      </c>
      <c r="D594" t="inlineStr">
        <is>
          <t>VÄRMLANDS LÄN</t>
        </is>
      </c>
      <c r="E594" t="inlineStr">
        <is>
          <t>ARVIKA</t>
        </is>
      </c>
      <c r="F594" t="inlineStr">
        <is>
          <t>Bergvik skog väst AB</t>
        </is>
      </c>
      <c r="G594" t="n">
        <v>4.4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31924-2025</t>
        </is>
      </c>
      <c r="B595" s="1" t="n">
        <v>45834.85216435185</v>
      </c>
      <c r="C595" s="1" t="n">
        <v>46012</v>
      </c>
      <c r="D595" t="inlineStr">
        <is>
          <t>VÄRMLANDS LÄN</t>
        </is>
      </c>
      <c r="E595" t="inlineStr">
        <is>
          <t>ARVIKA</t>
        </is>
      </c>
      <c r="G595" t="n">
        <v>2.7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32008-2025</t>
        </is>
      </c>
      <c r="B596" s="1" t="n">
        <v>45835</v>
      </c>
      <c r="C596" s="1" t="n">
        <v>46012</v>
      </c>
      <c r="D596" t="inlineStr">
        <is>
          <t>VÄRMLANDS LÄN</t>
        </is>
      </c>
      <c r="E596" t="inlineStr">
        <is>
          <t>ARVIKA</t>
        </is>
      </c>
      <c r="G596" t="n">
        <v>1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8512-2023</t>
        </is>
      </c>
      <c r="B597" s="1" t="n">
        <v>44977</v>
      </c>
      <c r="C597" s="1" t="n">
        <v>46012</v>
      </c>
      <c r="D597" t="inlineStr">
        <is>
          <t>VÄRMLANDS LÄN</t>
        </is>
      </c>
      <c r="E597" t="inlineStr">
        <is>
          <t>ARVIKA</t>
        </is>
      </c>
      <c r="G597" t="n">
        <v>2.5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32159-2025</t>
        </is>
      </c>
      <c r="B598" s="1" t="n">
        <v>45835</v>
      </c>
      <c r="C598" s="1" t="n">
        <v>46012</v>
      </c>
      <c r="D598" t="inlineStr">
        <is>
          <t>VÄRMLANDS LÄN</t>
        </is>
      </c>
      <c r="E598" t="inlineStr">
        <is>
          <t>ARVIKA</t>
        </is>
      </c>
      <c r="G598" t="n">
        <v>4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58399-2022</t>
        </is>
      </c>
      <c r="B599" s="1" t="n">
        <v>44901.6680324074</v>
      </c>
      <c r="C599" s="1" t="n">
        <v>46012</v>
      </c>
      <c r="D599" t="inlineStr">
        <is>
          <t>VÄRMLANDS LÄN</t>
        </is>
      </c>
      <c r="E599" t="inlineStr">
        <is>
          <t>ARVIKA</t>
        </is>
      </c>
      <c r="G599" t="n">
        <v>1.3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30869-2024</t>
        </is>
      </c>
      <c r="B600" s="1" t="n">
        <v>45497</v>
      </c>
      <c r="C600" s="1" t="n">
        <v>46012</v>
      </c>
      <c r="D600" t="inlineStr">
        <is>
          <t>VÄRMLANDS LÄN</t>
        </is>
      </c>
      <c r="E600" t="inlineStr">
        <is>
          <t>ARVIKA</t>
        </is>
      </c>
      <c r="G600" t="n">
        <v>0.7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32138-2025</t>
        </is>
      </c>
      <c r="B601" s="1" t="n">
        <v>45835.51975694444</v>
      </c>
      <c r="C601" s="1" t="n">
        <v>46012</v>
      </c>
      <c r="D601" t="inlineStr">
        <is>
          <t>VÄRMLANDS LÄN</t>
        </is>
      </c>
      <c r="E601" t="inlineStr">
        <is>
          <t>ARVIKA</t>
        </is>
      </c>
      <c r="F601" t="inlineStr">
        <is>
          <t>Bergvik skog väst AB</t>
        </is>
      </c>
      <c r="G601" t="n">
        <v>2.9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32147-2025</t>
        </is>
      </c>
      <c r="B602" s="1" t="n">
        <v>45835.5277199074</v>
      </c>
      <c r="C602" s="1" t="n">
        <v>46012</v>
      </c>
      <c r="D602" t="inlineStr">
        <is>
          <t>VÄRMLANDS LÄN</t>
        </is>
      </c>
      <c r="E602" t="inlineStr">
        <is>
          <t>ARVIKA</t>
        </is>
      </c>
      <c r="F602" t="inlineStr">
        <is>
          <t>Bergvik skog väst AB</t>
        </is>
      </c>
      <c r="G602" t="n">
        <v>4.4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20345-2022</t>
        </is>
      </c>
      <c r="B603" s="1" t="n">
        <v>44699</v>
      </c>
      <c r="C603" s="1" t="n">
        <v>46012</v>
      </c>
      <c r="D603" t="inlineStr">
        <is>
          <t>VÄRMLANDS LÄN</t>
        </is>
      </c>
      <c r="E603" t="inlineStr">
        <is>
          <t>ARVIKA</t>
        </is>
      </c>
      <c r="G603" t="n">
        <v>7.5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32079-2025</t>
        </is>
      </c>
      <c r="B604" s="1" t="n">
        <v>45835</v>
      </c>
      <c r="C604" s="1" t="n">
        <v>46012</v>
      </c>
      <c r="D604" t="inlineStr">
        <is>
          <t>VÄRMLANDS LÄN</t>
        </is>
      </c>
      <c r="E604" t="inlineStr">
        <is>
          <t>ARVIKA</t>
        </is>
      </c>
      <c r="G604" t="n">
        <v>0.4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32002-2025</t>
        </is>
      </c>
      <c r="B605" s="1" t="n">
        <v>45835</v>
      </c>
      <c r="C605" s="1" t="n">
        <v>46012</v>
      </c>
      <c r="D605" t="inlineStr">
        <is>
          <t>VÄRMLANDS LÄN</t>
        </is>
      </c>
      <c r="E605" t="inlineStr">
        <is>
          <t>ARVIKA</t>
        </is>
      </c>
      <c r="G605" t="n">
        <v>2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31952-2025</t>
        </is>
      </c>
      <c r="B606" s="1" t="n">
        <v>45835.33601851852</v>
      </c>
      <c r="C606" s="1" t="n">
        <v>46012</v>
      </c>
      <c r="D606" t="inlineStr">
        <is>
          <t>VÄRMLANDS LÄN</t>
        </is>
      </c>
      <c r="E606" t="inlineStr">
        <is>
          <t>ARVIKA</t>
        </is>
      </c>
      <c r="G606" t="n">
        <v>0.7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32568-2025</t>
        </is>
      </c>
      <c r="B607" s="1" t="n">
        <v>45838</v>
      </c>
      <c r="C607" s="1" t="n">
        <v>46012</v>
      </c>
      <c r="D607" t="inlineStr">
        <is>
          <t>VÄRMLANDS LÄN</t>
        </is>
      </c>
      <c r="E607" t="inlineStr">
        <is>
          <t>ARVIKA</t>
        </is>
      </c>
      <c r="G607" t="n">
        <v>0.7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44867-2025</t>
        </is>
      </c>
      <c r="B608" s="1" t="n">
        <v>45918</v>
      </c>
      <c r="C608" s="1" t="n">
        <v>46012</v>
      </c>
      <c r="D608" t="inlineStr">
        <is>
          <t>VÄRMLANDS LÄN</t>
        </is>
      </c>
      <c r="E608" t="inlineStr">
        <is>
          <t>ARVIKA</t>
        </is>
      </c>
      <c r="G608" t="n">
        <v>0.5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44564-2025</t>
        </is>
      </c>
      <c r="B609" s="1" t="n">
        <v>45917</v>
      </c>
      <c r="C609" s="1" t="n">
        <v>46012</v>
      </c>
      <c r="D609" t="inlineStr">
        <is>
          <t>VÄRMLANDS LÄN</t>
        </is>
      </c>
      <c r="E609" t="inlineStr">
        <is>
          <t>ARVIKA</t>
        </is>
      </c>
      <c r="G609" t="n">
        <v>3.9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32046-2025</t>
        </is>
      </c>
      <c r="B610" s="1" t="n">
        <v>45835.43952546296</v>
      </c>
      <c r="C610" s="1" t="n">
        <v>46012</v>
      </c>
      <c r="D610" t="inlineStr">
        <is>
          <t>VÄRMLANDS LÄN</t>
        </is>
      </c>
      <c r="E610" t="inlineStr">
        <is>
          <t>ARVIKA</t>
        </is>
      </c>
      <c r="G610" t="n">
        <v>1.7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32062-2025</t>
        </is>
      </c>
      <c r="B611" s="1" t="n">
        <v>45835.44643518519</v>
      </c>
      <c r="C611" s="1" t="n">
        <v>46012</v>
      </c>
      <c r="D611" t="inlineStr">
        <is>
          <t>VÄRMLANDS LÄN</t>
        </is>
      </c>
      <c r="E611" t="inlineStr">
        <is>
          <t>ARVIKA</t>
        </is>
      </c>
      <c r="G611" t="n">
        <v>1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45081-2023</t>
        </is>
      </c>
      <c r="B612" s="1" t="n">
        <v>45191.40557870371</v>
      </c>
      <c r="C612" s="1" t="n">
        <v>46012</v>
      </c>
      <c r="D612" t="inlineStr">
        <is>
          <t>VÄRMLANDS LÄN</t>
        </is>
      </c>
      <c r="E612" t="inlineStr">
        <is>
          <t>ARVIKA</t>
        </is>
      </c>
      <c r="G612" t="n">
        <v>4.2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45372-2025</t>
        </is>
      </c>
      <c r="B613" s="1" t="n">
        <v>45922.39185185185</v>
      </c>
      <c r="C613" s="1" t="n">
        <v>46012</v>
      </c>
      <c r="D613" t="inlineStr">
        <is>
          <t>VÄRMLANDS LÄN</t>
        </is>
      </c>
      <c r="E613" t="inlineStr">
        <is>
          <t>ARVIKA</t>
        </is>
      </c>
      <c r="G613" t="n">
        <v>0.6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48188-2024</t>
        </is>
      </c>
      <c r="B614" s="1" t="n">
        <v>45590.10390046296</v>
      </c>
      <c r="C614" s="1" t="n">
        <v>46012</v>
      </c>
      <c r="D614" t="inlineStr">
        <is>
          <t>VÄRMLANDS LÄN</t>
        </is>
      </c>
      <c r="E614" t="inlineStr">
        <is>
          <t>ARVIKA</t>
        </is>
      </c>
      <c r="F614" t="inlineStr">
        <is>
          <t>Kommuner</t>
        </is>
      </c>
      <c r="G614" t="n">
        <v>5.3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45324-2025</t>
        </is>
      </c>
      <c r="B615" s="1" t="n">
        <v>45922.31569444444</v>
      </c>
      <c r="C615" s="1" t="n">
        <v>46012</v>
      </c>
      <c r="D615" t="inlineStr">
        <is>
          <t>VÄRMLANDS LÄN</t>
        </is>
      </c>
      <c r="E615" t="inlineStr">
        <is>
          <t>ARVIKA</t>
        </is>
      </c>
      <c r="F615" t="inlineStr">
        <is>
          <t>Bergvik skog väst AB</t>
        </is>
      </c>
      <c r="G615" t="n">
        <v>4.1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10581-2023</t>
        </is>
      </c>
      <c r="B616" s="1" t="n">
        <v>44988.36252314815</v>
      </c>
      <c r="C616" s="1" t="n">
        <v>46012</v>
      </c>
      <c r="D616" t="inlineStr">
        <is>
          <t>VÄRMLANDS LÄN</t>
        </is>
      </c>
      <c r="E616" t="inlineStr">
        <is>
          <t>ARVIKA</t>
        </is>
      </c>
      <c r="G616" t="n">
        <v>0.9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13809-2023</t>
        </is>
      </c>
      <c r="B617" s="1" t="n">
        <v>45007</v>
      </c>
      <c r="C617" s="1" t="n">
        <v>46012</v>
      </c>
      <c r="D617" t="inlineStr">
        <is>
          <t>VÄRMLANDS LÄN</t>
        </is>
      </c>
      <c r="E617" t="inlineStr">
        <is>
          <t>ARVIKA</t>
        </is>
      </c>
      <c r="G617" t="n">
        <v>8.699999999999999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39597-2023</t>
        </is>
      </c>
      <c r="B618" s="1" t="n">
        <v>45163</v>
      </c>
      <c r="C618" s="1" t="n">
        <v>46012</v>
      </c>
      <c r="D618" t="inlineStr">
        <is>
          <t>VÄRMLANDS LÄN</t>
        </is>
      </c>
      <c r="E618" t="inlineStr">
        <is>
          <t>ARVIKA</t>
        </is>
      </c>
      <c r="G618" t="n">
        <v>1.8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45446-2025</t>
        </is>
      </c>
      <c r="B619" s="1" t="n">
        <v>45922.4808449074</v>
      </c>
      <c r="C619" s="1" t="n">
        <v>46012</v>
      </c>
      <c r="D619" t="inlineStr">
        <is>
          <t>VÄRMLANDS LÄN</t>
        </is>
      </c>
      <c r="E619" t="inlineStr">
        <is>
          <t>ARVIKA</t>
        </is>
      </c>
      <c r="G619" t="n">
        <v>2.4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24620-2024</t>
        </is>
      </c>
      <c r="B620" s="1" t="n">
        <v>45460.49582175926</v>
      </c>
      <c r="C620" s="1" t="n">
        <v>46012</v>
      </c>
      <c r="D620" t="inlineStr">
        <is>
          <t>VÄRMLANDS LÄN</t>
        </is>
      </c>
      <c r="E620" t="inlineStr">
        <is>
          <t>ARVIKA</t>
        </is>
      </c>
      <c r="G620" t="n">
        <v>2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45076-2025</t>
        </is>
      </c>
      <c r="B621" s="1" t="n">
        <v>45919</v>
      </c>
      <c r="C621" s="1" t="n">
        <v>46012</v>
      </c>
      <c r="D621" t="inlineStr">
        <is>
          <t>VÄRMLANDS LÄN</t>
        </is>
      </c>
      <c r="E621" t="inlineStr">
        <is>
          <t>ARVIKA</t>
        </is>
      </c>
      <c r="F621" t="inlineStr">
        <is>
          <t>Bergvik skog väst AB</t>
        </is>
      </c>
      <c r="G621" t="n">
        <v>2.7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45111-2025</t>
        </is>
      </c>
      <c r="B622" s="1" t="n">
        <v>45919.42002314814</v>
      </c>
      <c r="C622" s="1" t="n">
        <v>46012</v>
      </c>
      <c r="D622" t="inlineStr">
        <is>
          <t>VÄRMLANDS LÄN</t>
        </is>
      </c>
      <c r="E622" t="inlineStr">
        <is>
          <t>ARVIKA</t>
        </is>
      </c>
      <c r="F622" t="inlineStr">
        <is>
          <t>Bergvik skog väst AB</t>
        </is>
      </c>
      <c r="G622" t="n">
        <v>8.4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45125-2025</t>
        </is>
      </c>
      <c r="B623" s="1" t="n">
        <v>45919.43240740741</v>
      </c>
      <c r="C623" s="1" t="n">
        <v>46012</v>
      </c>
      <c r="D623" t="inlineStr">
        <is>
          <t>VÄRMLANDS LÄN</t>
        </is>
      </c>
      <c r="E623" t="inlineStr">
        <is>
          <t>ARVIKA</t>
        </is>
      </c>
      <c r="F623" t="inlineStr">
        <is>
          <t>Bergvik skog väst AB</t>
        </is>
      </c>
      <c r="G623" t="n">
        <v>5.7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13490-2025</t>
        </is>
      </c>
      <c r="B624" s="1" t="n">
        <v>45736</v>
      </c>
      <c r="C624" s="1" t="n">
        <v>46012</v>
      </c>
      <c r="D624" t="inlineStr">
        <is>
          <t>VÄRMLANDS LÄN</t>
        </is>
      </c>
      <c r="E624" t="inlineStr">
        <is>
          <t>ARVIKA</t>
        </is>
      </c>
      <c r="G624" t="n">
        <v>2.5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45433-2025</t>
        </is>
      </c>
      <c r="B625" s="1" t="n">
        <v>45922.46289351852</v>
      </c>
      <c r="C625" s="1" t="n">
        <v>46012</v>
      </c>
      <c r="D625" t="inlineStr">
        <is>
          <t>VÄRMLANDS LÄN</t>
        </is>
      </c>
      <c r="E625" t="inlineStr">
        <is>
          <t>ARVIKA</t>
        </is>
      </c>
      <c r="G625" t="n">
        <v>3.1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45313-2025</t>
        </is>
      </c>
      <c r="B626" s="1" t="n">
        <v>45921.80666666666</v>
      </c>
      <c r="C626" s="1" t="n">
        <v>46012</v>
      </c>
      <c r="D626" t="inlineStr">
        <is>
          <t>VÄRMLANDS LÄN</t>
        </is>
      </c>
      <c r="E626" t="inlineStr">
        <is>
          <t>ARVIKA</t>
        </is>
      </c>
      <c r="G626" t="n">
        <v>1.2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21233-2024</t>
        </is>
      </c>
      <c r="B627" s="1" t="n">
        <v>45440.58263888889</v>
      </c>
      <c r="C627" s="1" t="n">
        <v>46012</v>
      </c>
      <c r="D627" t="inlineStr">
        <is>
          <t>VÄRMLANDS LÄN</t>
        </is>
      </c>
      <c r="E627" t="inlineStr">
        <is>
          <t>ARVIKA</t>
        </is>
      </c>
      <c r="F627" t="inlineStr">
        <is>
          <t>Bergvik skog väst AB</t>
        </is>
      </c>
      <c r="G627" t="n">
        <v>2.1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46014-2025</t>
        </is>
      </c>
      <c r="B628" s="1" t="n">
        <v>45924</v>
      </c>
      <c r="C628" s="1" t="n">
        <v>46012</v>
      </c>
      <c r="D628" t="inlineStr">
        <is>
          <t>VÄRMLANDS LÄN</t>
        </is>
      </c>
      <c r="E628" t="inlineStr">
        <is>
          <t>ARVIKA</t>
        </is>
      </c>
      <c r="G628" t="n">
        <v>2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33575-2025</t>
        </is>
      </c>
      <c r="B629" s="1" t="n">
        <v>45841</v>
      </c>
      <c r="C629" s="1" t="n">
        <v>46012</v>
      </c>
      <c r="D629" t="inlineStr">
        <is>
          <t>VÄRMLANDS LÄN</t>
        </is>
      </c>
      <c r="E629" t="inlineStr">
        <is>
          <t>ARVIKA</t>
        </is>
      </c>
      <c r="G629" t="n">
        <v>14.3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33961-2025</t>
        </is>
      </c>
      <c r="B630" s="1" t="n">
        <v>45842</v>
      </c>
      <c r="C630" s="1" t="n">
        <v>46012</v>
      </c>
      <c r="D630" t="inlineStr">
        <is>
          <t>VÄRMLANDS LÄN</t>
        </is>
      </c>
      <c r="E630" t="inlineStr">
        <is>
          <t>ARVIKA</t>
        </is>
      </c>
      <c r="F630" t="inlineStr">
        <is>
          <t>Bergvik skog väst AB</t>
        </is>
      </c>
      <c r="G630" t="n">
        <v>5.3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59755-2023</t>
        </is>
      </c>
      <c r="B631" s="1" t="n">
        <v>45257</v>
      </c>
      <c r="C631" s="1" t="n">
        <v>46012</v>
      </c>
      <c r="D631" t="inlineStr">
        <is>
          <t>VÄRMLANDS LÄN</t>
        </is>
      </c>
      <c r="E631" t="inlineStr">
        <is>
          <t>ARVIKA</t>
        </is>
      </c>
      <c r="G631" t="n">
        <v>3.1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25463-2025</t>
        </is>
      </c>
      <c r="B632" s="1" t="n">
        <v>45802</v>
      </c>
      <c r="C632" s="1" t="n">
        <v>46012</v>
      </c>
      <c r="D632" t="inlineStr">
        <is>
          <t>VÄRMLANDS LÄN</t>
        </is>
      </c>
      <c r="E632" t="inlineStr">
        <is>
          <t>ARVIKA</t>
        </is>
      </c>
      <c r="G632" t="n">
        <v>4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4065-2025</t>
        </is>
      </c>
      <c r="B633" s="1" t="n">
        <v>45684.63273148148</v>
      </c>
      <c r="C633" s="1" t="n">
        <v>46012</v>
      </c>
      <c r="D633" t="inlineStr">
        <is>
          <t>VÄRMLANDS LÄN</t>
        </is>
      </c>
      <c r="E633" t="inlineStr">
        <is>
          <t>ARVIKA</t>
        </is>
      </c>
      <c r="G633" t="n">
        <v>4.5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42997-2023</t>
        </is>
      </c>
      <c r="B634" s="1" t="n">
        <v>45182.62891203703</v>
      </c>
      <c r="C634" s="1" t="n">
        <v>46012</v>
      </c>
      <c r="D634" t="inlineStr">
        <is>
          <t>VÄRMLANDS LÄN</t>
        </is>
      </c>
      <c r="E634" t="inlineStr">
        <is>
          <t>ARVIKA</t>
        </is>
      </c>
      <c r="G634" t="n">
        <v>1.5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58586-2023</t>
        </is>
      </c>
      <c r="B635" s="1" t="n">
        <v>45251</v>
      </c>
      <c r="C635" s="1" t="n">
        <v>46012</v>
      </c>
      <c r="D635" t="inlineStr">
        <is>
          <t>VÄRMLANDS LÄN</t>
        </is>
      </c>
      <c r="E635" t="inlineStr">
        <is>
          <t>ARVIKA</t>
        </is>
      </c>
      <c r="G635" t="n">
        <v>3.5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33521-2025</t>
        </is>
      </c>
      <c r="B636" s="1" t="n">
        <v>45841</v>
      </c>
      <c r="C636" s="1" t="n">
        <v>46012</v>
      </c>
      <c r="D636" t="inlineStr">
        <is>
          <t>VÄRMLANDS LÄN</t>
        </is>
      </c>
      <c r="E636" t="inlineStr">
        <is>
          <t>ARVIKA</t>
        </is>
      </c>
      <c r="G636" t="n">
        <v>7.3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46758-2025</t>
        </is>
      </c>
      <c r="B637" s="1" t="n">
        <v>45926</v>
      </c>
      <c r="C637" s="1" t="n">
        <v>46012</v>
      </c>
      <c r="D637" t="inlineStr">
        <is>
          <t>VÄRMLANDS LÄN</t>
        </is>
      </c>
      <c r="E637" t="inlineStr">
        <is>
          <t>ARVIKA</t>
        </is>
      </c>
      <c r="G637" t="n">
        <v>0.6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51300-2024</t>
        </is>
      </c>
      <c r="B638" s="1" t="n">
        <v>45604</v>
      </c>
      <c r="C638" s="1" t="n">
        <v>46012</v>
      </c>
      <c r="D638" t="inlineStr">
        <is>
          <t>VÄRMLANDS LÄN</t>
        </is>
      </c>
      <c r="E638" t="inlineStr">
        <is>
          <t>ARVIKA</t>
        </is>
      </c>
      <c r="G638" t="n">
        <v>5.3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34151-2025</t>
        </is>
      </c>
      <c r="B639" s="1" t="n">
        <v>45845</v>
      </c>
      <c r="C639" s="1" t="n">
        <v>46012</v>
      </c>
      <c r="D639" t="inlineStr">
        <is>
          <t>VÄRMLANDS LÄN</t>
        </is>
      </c>
      <c r="E639" t="inlineStr">
        <is>
          <t>ARVIKA</t>
        </is>
      </c>
      <c r="G639" t="n">
        <v>1.4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46514-2025</t>
        </is>
      </c>
      <c r="B640" s="1" t="n">
        <v>45926.28710648148</v>
      </c>
      <c r="C640" s="1" t="n">
        <v>46012</v>
      </c>
      <c r="D640" t="inlineStr">
        <is>
          <t>VÄRMLANDS LÄN</t>
        </is>
      </c>
      <c r="E640" t="inlineStr">
        <is>
          <t>ARVIKA</t>
        </is>
      </c>
      <c r="G640" t="n">
        <v>2.7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34284-2025</t>
        </is>
      </c>
      <c r="B641" s="1" t="n">
        <v>45846</v>
      </c>
      <c r="C641" s="1" t="n">
        <v>46012</v>
      </c>
      <c r="D641" t="inlineStr">
        <is>
          <t>VÄRMLANDS LÄN</t>
        </is>
      </c>
      <c r="E641" t="inlineStr">
        <is>
          <t>ARVIKA</t>
        </is>
      </c>
      <c r="F641" t="inlineStr">
        <is>
          <t>Bergvik skog väst AB</t>
        </is>
      </c>
      <c r="G641" t="n">
        <v>0.7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46680-2025</t>
        </is>
      </c>
      <c r="B642" s="1" t="n">
        <v>45926.54627314815</v>
      </c>
      <c r="C642" s="1" t="n">
        <v>46012</v>
      </c>
      <c r="D642" t="inlineStr">
        <is>
          <t>VÄRMLANDS LÄN</t>
        </is>
      </c>
      <c r="E642" t="inlineStr">
        <is>
          <t>ARVIKA</t>
        </is>
      </c>
      <c r="F642" t="inlineStr">
        <is>
          <t>Bergvik skog väst AB</t>
        </is>
      </c>
      <c r="G642" t="n">
        <v>3.2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46685-2025</t>
        </is>
      </c>
      <c r="B643" s="1" t="n">
        <v>45926.551875</v>
      </c>
      <c r="C643" s="1" t="n">
        <v>46012</v>
      </c>
      <c r="D643" t="inlineStr">
        <is>
          <t>VÄRMLANDS LÄN</t>
        </is>
      </c>
      <c r="E643" t="inlineStr">
        <is>
          <t>ARVIKA</t>
        </is>
      </c>
      <c r="F643" t="inlineStr">
        <is>
          <t>Bergvik skog väst AB</t>
        </is>
      </c>
      <c r="G643" t="n">
        <v>0.6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45920-2025</t>
        </is>
      </c>
      <c r="B644" s="1" t="n">
        <v>45923</v>
      </c>
      <c r="C644" s="1" t="n">
        <v>46012</v>
      </c>
      <c r="D644" t="inlineStr">
        <is>
          <t>VÄRMLANDS LÄN</t>
        </is>
      </c>
      <c r="E644" t="inlineStr">
        <is>
          <t>ARVIKA</t>
        </is>
      </c>
      <c r="G644" t="n">
        <v>2.7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34316-2025</t>
        </is>
      </c>
      <c r="B645" s="1" t="n">
        <v>45846</v>
      </c>
      <c r="C645" s="1" t="n">
        <v>46012</v>
      </c>
      <c r="D645" t="inlineStr">
        <is>
          <t>VÄRMLANDS LÄN</t>
        </is>
      </c>
      <c r="E645" t="inlineStr">
        <is>
          <t>ARVIKA</t>
        </is>
      </c>
      <c r="F645" t="inlineStr">
        <is>
          <t>Bergvik skog väst AB</t>
        </is>
      </c>
      <c r="G645" t="n">
        <v>14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34285-2025</t>
        </is>
      </c>
      <c r="B646" s="1" t="n">
        <v>45846</v>
      </c>
      <c r="C646" s="1" t="n">
        <v>46012</v>
      </c>
      <c r="D646" t="inlineStr">
        <is>
          <t>VÄRMLANDS LÄN</t>
        </is>
      </c>
      <c r="E646" t="inlineStr">
        <is>
          <t>ARVIKA</t>
        </is>
      </c>
      <c r="F646" t="inlineStr">
        <is>
          <t>Bergvik skog väst AB</t>
        </is>
      </c>
      <c r="G646" t="n">
        <v>1.8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41127-2024</t>
        </is>
      </c>
      <c r="B647" s="1" t="n">
        <v>45559</v>
      </c>
      <c r="C647" s="1" t="n">
        <v>46012</v>
      </c>
      <c r="D647" t="inlineStr">
        <is>
          <t>VÄRMLANDS LÄN</t>
        </is>
      </c>
      <c r="E647" t="inlineStr">
        <is>
          <t>ARVIKA</t>
        </is>
      </c>
      <c r="G647" t="n">
        <v>0.8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46714-2025</t>
        </is>
      </c>
      <c r="B648" s="1" t="n">
        <v>45926.57719907408</v>
      </c>
      <c r="C648" s="1" t="n">
        <v>46012</v>
      </c>
      <c r="D648" t="inlineStr">
        <is>
          <t>VÄRMLANDS LÄN</t>
        </is>
      </c>
      <c r="E648" t="inlineStr">
        <is>
          <t>ARVIKA</t>
        </is>
      </c>
      <c r="F648" t="inlineStr">
        <is>
          <t>Bergvik skog väst AB</t>
        </is>
      </c>
      <c r="G648" t="n">
        <v>6.3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34369-2025</t>
        </is>
      </c>
      <c r="B649" s="1" t="n">
        <v>45846</v>
      </c>
      <c r="C649" s="1" t="n">
        <v>46012</v>
      </c>
      <c r="D649" t="inlineStr">
        <is>
          <t>VÄRMLANDS LÄN</t>
        </is>
      </c>
      <c r="E649" t="inlineStr">
        <is>
          <t>ARVIKA</t>
        </is>
      </c>
      <c r="F649" t="inlineStr">
        <is>
          <t>Bergvik skog väst AB</t>
        </is>
      </c>
      <c r="G649" t="n">
        <v>11.6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46748-2025</t>
        </is>
      </c>
      <c r="B650" s="1" t="n">
        <v>45926</v>
      </c>
      <c r="C650" s="1" t="n">
        <v>46012</v>
      </c>
      <c r="D650" t="inlineStr">
        <is>
          <t>VÄRMLANDS LÄN</t>
        </is>
      </c>
      <c r="E650" t="inlineStr">
        <is>
          <t>ARVIKA</t>
        </is>
      </c>
      <c r="G650" t="n">
        <v>1.7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46408-2025</t>
        </is>
      </c>
      <c r="B651" s="1" t="n">
        <v>45925</v>
      </c>
      <c r="C651" s="1" t="n">
        <v>46012</v>
      </c>
      <c r="D651" t="inlineStr">
        <is>
          <t>VÄRMLANDS LÄN</t>
        </is>
      </c>
      <c r="E651" t="inlineStr">
        <is>
          <t>ARVIKA</t>
        </is>
      </c>
      <c r="G651" t="n">
        <v>1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8631-2025</t>
        </is>
      </c>
      <c r="B652" s="1" t="n">
        <v>45711.72951388889</v>
      </c>
      <c r="C652" s="1" t="n">
        <v>46012</v>
      </c>
      <c r="D652" t="inlineStr">
        <is>
          <t>VÄRMLANDS LÄN</t>
        </is>
      </c>
      <c r="E652" t="inlineStr">
        <is>
          <t>ARVIKA</t>
        </is>
      </c>
      <c r="F652" t="inlineStr">
        <is>
          <t>Bergvik skog väst AB</t>
        </is>
      </c>
      <c r="G652" t="n">
        <v>2.4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46765-2025</t>
        </is>
      </c>
      <c r="B653" s="1" t="n">
        <v>45926</v>
      </c>
      <c r="C653" s="1" t="n">
        <v>46012</v>
      </c>
      <c r="D653" t="inlineStr">
        <is>
          <t>VÄRMLANDS LÄN</t>
        </is>
      </c>
      <c r="E653" t="inlineStr">
        <is>
          <t>ARVIKA</t>
        </is>
      </c>
      <c r="G653" t="n">
        <v>3.3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18344-2024</t>
        </is>
      </c>
      <c r="B654" s="1" t="n">
        <v>45422.60321759259</v>
      </c>
      <c r="C654" s="1" t="n">
        <v>46012</v>
      </c>
      <c r="D654" t="inlineStr">
        <is>
          <t>VÄRMLANDS LÄN</t>
        </is>
      </c>
      <c r="E654" t="inlineStr">
        <is>
          <t>ARVIKA</t>
        </is>
      </c>
      <c r="G654" t="n">
        <v>2.5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51815-2024</t>
        </is>
      </c>
      <c r="B655" s="1" t="n">
        <v>45607</v>
      </c>
      <c r="C655" s="1" t="n">
        <v>46012</v>
      </c>
      <c r="D655" t="inlineStr">
        <is>
          <t>VÄRMLANDS LÄN</t>
        </is>
      </c>
      <c r="E655" t="inlineStr">
        <is>
          <t>ARVIKA</t>
        </is>
      </c>
      <c r="G655" t="n">
        <v>1.3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33983-2025</t>
        </is>
      </c>
      <c r="B656" s="1" t="n">
        <v>45843</v>
      </c>
      <c r="C656" s="1" t="n">
        <v>46012</v>
      </c>
      <c r="D656" t="inlineStr">
        <is>
          <t>VÄRMLANDS LÄN</t>
        </is>
      </c>
      <c r="E656" t="inlineStr">
        <is>
          <t>ARVIKA</t>
        </is>
      </c>
      <c r="F656" t="inlineStr">
        <is>
          <t>Bergvik skog väst AB</t>
        </is>
      </c>
      <c r="G656" t="n">
        <v>1.4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33985-2025</t>
        </is>
      </c>
      <c r="B657" s="1" t="n">
        <v>45843</v>
      </c>
      <c r="C657" s="1" t="n">
        <v>46012</v>
      </c>
      <c r="D657" t="inlineStr">
        <is>
          <t>VÄRMLANDS LÄN</t>
        </is>
      </c>
      <c r="E657" t="inlineStr">
        <is>
          <t>ARVIKA</t>
        </is>
      </c>
      <c r="F657" t="inlineStr">
        <is>
          <t>Bergvik skog väst AB</t>
        </is>
      </c>
      <c r="G657" t="n">
        <v>24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46611-2025</t>
        </is>
      </c>
      <c r="B658" s="1" t="n">
        <v>45926.424375</v>
      </c>
      <c r="C658" s="1" t="n">
        <v>46012</v>
      </c>
      <c r="D658" t="inlineStr">
        <is>
          <t>VÄRMLANDS LÄN</t>
        </is>
      </c>
      <c r="E658" t="inlineStr">
        <is>
          <t>ARVIKA</t>
        </is>
      </c>
      <c r="G658" t="n">
        <v>0.6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47187-2025</t>
        </is>
      </c>
      <c r="B659" s="1" t="n">
        <v>45930</v>
      </c>
      <c r="C659" s="1" t="n">
        <v>46012</v>
      </c>
      <c r="D659" t="inlineStr">
        <is>
          <t>VÄRMLANDS LÄN</t>
        </is>
      </c>
      <c r="E659" t="inlineStr">
        <is>
          <t>ARVIKA</t>
        </is>
      </c>
      <c r="G659" t="n">
        <v>1.3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47277-2025</t>
        </is>
      </c>
      <c r="B660" s="1" t="n">
        <v>45930.47084490741</v>
      </c>
      <c r="C660" s="1" t="n">
        <v>46012</v>
      </c>
      <c r="D660" t="inlineStr">
        <is>
          <t>VÄRMLANDS LÄN</t>
        </is>
      </c>
      <c r="E660" t="inlineStr">
        <is>
          <t>ARVIKA</t>
        </is>
      </c>
      <c r="G660" t="n">
        <v>3.4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47024-2025</t>
        </is>
      </c>
      <c r="B661" s="1" t="n">
        <v>45929.57831018518</v>
      </c>
      <c r="C661" s="1" t="n">
        <v>46012</v>
      </c>
      <c r="D661" t="inlineStr">
        <is>
          <t>VÄRMLANDS LÄN</t>
        </is>
      </c>
      <c r="E661" t="inlineStr">
        <is>
          <t>ARVIKA</t>
        </is>
      </c>
      <c r="G661" t="n">
        <v>1.1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55578-2025</t>
        </is>
      </c>
      <c r="B662" s="1" t="n">
        <v>45971.66971064815</v>
      </c>
      <c r="C662" s="1" t="n">
        <v>46012</v>
      </c>
      <c r="D662" t="inlineStr">
        <is>
          <t>VÄRMLANDS LÄN</t>
        </is>
      </c>
      <c r="E662" t="inlineStr">
        <is>
          <t>ARVIKA</t>
        </is>
      </c>
      <c r="G662" t="n">
        <v>2.6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22041-2025</t>
        </is>
      </c>
      <c r="B663" s="1" t="n">
        <v>45785.33200231481</v>
      </c>
      <c r="C663" s="1" t="n">
        <v>46012</v>
      </c>
      <c r="D663" t="inlineStr">
        <is>
          <t>VÄRMLANDS LÄN</t>
        </is>
      </c>
      <c r="E663" t="inlineStr">
        <is>
          <t>ARVIKA</t>
        </is>
      </c>
      <c r="G663" t="n">
        <v>2.6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7583-2024</t>
        </is>
      </c>
      <c r="B664" s="1" t="n">
        <v>45348.49320601852</v>
      </c>
      <c r="C664" s="1" t="n">
        <v>46012</v>
      </c>
      <c r="D664" t="inlineStr">
        <is>
          <t>VÄRMLANDS LÄN</t>
        </is>
      </c>
      <c r="E664" t="inlineStr">
        <is>
          <t>ARVIKA</t>
        </is>
      </c>
      <c r="G664" t="n">
        <v>0.5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3590-2025</t>
        </is>
      </c>
      <c r="B665" s="1" t="n">
        <v>45680</v>
      </c>
      <c r="C665" s="1" t="n">
        <v>46012</v>
      </c>
      <c r="D665" t="inlineStr">
        <is>
          <t>VÄRMLANDS LÄN</t>
        </is>
      </c>
      <c r="E665" t="inlineStr">
        <is>
          <t>ARVIKA</t>
        </is>
      </c>
      <c r="G665" t="n">
        <v>2.3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60607-2022</t>
        </is>
      </c>
      <c r="B666" s="1" t="n">
        <v>44906</v>
      </c>
      <c r="C666" s="1" t="n">
        <v>46012</v>
      </c>
      <c r="D666" t="inlineStr">
        <is>
          <t>VÄRMLANDS LÄN</t>
        </is>
      </c>
      <c r="E666" t="inlineStr">
        <is>
          <t>ARVIKA</t>
        </is>
      </c>
      <c r="G666" t="n">
        <v>5.6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47423-2025</t>
        </is>
      </c>
      <c r="B667" s="1" t="n">
        <v>45930</v>
      </c>
      <c r="C667" s="1" t="n">
        <v>46012</v>
      </c>
      <c r="D667" t="inlineStr">
        <is>
          <t>VÄRMLANDS LÄN</t>
        </is>
      </c>
      <c r="E667" t="inlineStr">
        <is>
          <t>ARVIKA</t>
        </is>
      </c>
      <c r="G667" t="n">
        <v>10.4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34920-2025</t>
        </is>
      </c>
      <c r="B668" s="1" t="n">
        <v>45849.5537962963</v>
      </c>
      <c r="C668" s="1" t="n">
        <v>46012</v>
      </c>
      <c r="D668" t="inlineStr">
        <is>
          <t>VÄRMLANDS LÄN</t>
        </is>
      </c>
      <c r="E668" t="inlineStr">
        <is>
          <t>ARVIKA</t>
        </is>
      </c>
      <c r="G668" t="n">
        <v>1.1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46830-2025</t>
        </is>
      </c>
      <c r="B669" s="1" t="n">
        <v>45927.39802083333</v>
      </c>
      <c r="C669" s="1" t="n">
        <v>46012</v>
      </c>
      <c r="D669" t="inlineStr">
        <is>
          <t>VÄRMLANDS LÄN</t>
        </is>
      </c>
      <c r="E669" t="inlineStr">
        <is>
          <t>ARVIKA</t>
        </is>
      </c>
      <c r="G669" t="n">
        <v>0.8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56137-2024</t>
        </is>
      </c>
      <c r="B670" s="1" t="n">
        <v>45624.48733796296</v>
      </c>
      <c r="C670" s="1" t="n">
        <v>46012</v>
      </c>
      <c r="D670" t="inlineStr">
        <is>
          <t>VÄRMLANDS LÄN</t>
        </is>
      </c>
      <c r="E670" t="inlineStr">
        <is>
          <t>ARVIKA</t>
        </is>
      </c>
      <c r="F670" t="inlineStr">
        <is>
          <t>Bergvik skog väst AB</t>
        </is>
      </c>
      <c r="G670" t="n">
        <v>9.6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55587-2025</t>
        </is>
      </c>
      <c r="B671" s="1" t="n">
        <v>45971.6840625</v>
      </c>
      <c r="C671" s="1" t="n">
        <v>46012</v>
      </c>
      <c r="D671" t="inlineStr">
        <is>
          <t>VÄRMLANDS LÄN</t>
        </is>
      </c>
      <c r="E671" t="inlineStr">
        <is>
          <t>ARVIKA</t>
        </is>
      </c>
      <c r="G671" t="n">
        <v>1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29615-2025</t>
        </is>
      </c>
      <c r="B672" s="1" t="n">
        <v>45825</v>
      </c>
      <c r="C672" s="1" t="n">
        <v>46012</v>
      </c>
      <c r="D672" t="inlineStr">
        <is>
          <t>VÄRMLANDS LÄN</t>
        </is>
      </c>
      <c r="E672" t="inlineStr">
        <is>
          <t>ARVIKA</t>
        </is>
      </c>
      <c r="F672" t="inlineStr">
        <is>
          <t>Bergvik skog väst AB</t>
        </is>
      </c>
      <c r="G672" t="n">
        <v>1.2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35250-2025</t>
        </is>
      </c>
      <c r="B673" s="1" t="n">
        <v>45853.68032407408</v>
      </c>
      <c r="C673" s="1" t="n">
        <v>46012</v>
      </c>
      <c r="D673" t="inlineStr">
        <is>
          <t>VÄRMLANDS LÄN</t>
        </is>
      </c>
      <c r="E673" t="inlineStr">
        <is>
          <t>ARVIKA</t>
        </is>
      </c>
      <c r="G673" t="n">
        <v>3.1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35306-2025</t>
        </is>
      </c>
      <c r="B674" s="1" t="n">
        <v>45854</v>
      </c>
      <c r="C674" s="1" t="n">
        <v>46012</v>
      </c>
      <c r="D674" t="inlineStr">
        <is>
          <t>VÄRMLANDS LÄN</t>
        </is>
      </c>
      <c r="E674" t="inlineStr">
        <is>
          <t>ARVIKA</t>
        </is>
      </c>
      <c r="G674" t="n">
        <v>2.5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35371-2025</t>
        </is>
      </c>
      <c r="B675" s="1" t="n">
        <v>45854</v>
      </c>
      <c r="C675" s="1" t="n">
        <v>46012</v>
      </c>
      <c r="D675" t="inlineStr">
        <is>
          <t>VÄRMLANDS LÄN</t>
        </is>
      </c>
      <c r="E675" t="inlineStr">
        <is>
          <t>ARVIKA</t>
        </is>
      </c>
      <c r="G675" t="n">
        <v>4.2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46889-2025</t>
        </is>
      </c>
      <c r="B676" s="1" t="n">
        <v>45929.36962962963</v>
      </c>
      <c r="C676" s="1" t="n">
        <v>46012</v>
      </c>
      <c r="D676" t="inlineStr">
        <is>
          <t>VÄRMLANDS LÄN</t>
        </is>
      </c>
      <c r="E676" t="inlineStr">
        <is>
          <t>ARVIKA</t>
        </is>
      </c>
      <c r="F676" t="inlineStr">
        <is>
          <t>Bergvik skog väst AB</t>
        </is>
      </c>
      <c r="G676" t="n">
        <v>10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45971-2024</t>
        </is>
      </c>
      <c r="B677" s="1" t="n">
        <v>45580</v>
      </c>
      <c r="C677" s="1" t="n">
        <v>46012</v>
      </c>
      <c r="D677" t="inlineStr">
        <is>
          <t>VÄRMLANDS LÄN</t>
        </is>
      </c>
      <c r="E677" t="inlineStr">
        <is>
          <t>ARVIKA</t>
        </is>
      </c>
      <c r="G677" t="n">
        <v>4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56309-2024</t>
        </is>
      </c>
      <c r="B678" s="1" t="n">
        <v>45624.70613425926</v>
      </c>
      <c r="C678" s="1" t="n">
        <v>46012</v>
      </c>
      <c r="D678" t="inlineStr">
        <is>
          <t>VÄRMLANDS LÄN</t>
        </is>
      </c>
      <c r="E678" t="inlineStr">
        <is>
          <t>ARVIKA</t>
        </is>
      </c>
      <c r="G678" t="n">
        <v>2.4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35342-2025</t>
        </is>
      </c>
      <c r="B679" s="1" t="n">
        <v>45854</v>
      </c>
      <c r="C679" s="1" t="n">
        <v>46012</v>
      </c>
      <c r="D679" t="inlineStr">
        <is>
          <t>VÄRMLANDS LÄN</t>
        </is>
      </c>
      <c r="E679" t="inlineStr">
        <is>
          <t>ARVIKA</t>
        </is>
      </c>
      <c r="F679" t="inlineStr">
        <is>
          <t>Bergvik skog väst AB</t>
        </is>
      </c>
      <c r="G679" t="n">
        <v>2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16157-2023</t>
        </is>
      </c>
      <c r="B680" s="1" t="n">
        <v>45027</v>
      </c>
      <c r="C680" s="1" t="n">
        <v>46012</v>
      </c>
      <c r="D680" t="inlineStr">
        <is>
          <t>VÄRMLANDS LÄN</t>
        </is>
      </c>
      <c r="E680" t="inlineStr">
        <is>
          <t>ARVIKA</t>
        </is>
      </c>
      <c r="G680" t="n">
        <v>4.8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47741-2025</t>
        </is>
      </c>
      <c r="B681" s="1" t="n">
        <v>45931.64393518519</v>
      </c>
      <c r="C681" s="1" t="n">
        <v>46012</v>
      </c>
      <c r="D681" t="inlineStr">
        <is>
          <t>VÄRMLANDS LÄN</t>
        </is>
      </c>
      <c r="E681" t="inlineStr">
        <is>
          <t>ARVIKA</t>
        </is>
      </c>
      <c r="G681" t="n">
        <v>1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47746-2025</t>
        </is>
      </c>
      <c r="B682" s="1" t="n">
        <v>45931.65180555556</v>
      </c>
      <c r="C682" s="1" t="n">
        <v>46012</v>
      </c>
      <c r="D682" t="inlineStr">
        <is>
          <t>VÄRMLANDS LÄN</t>
        </is>
      </c>
      <c r="E682" t="inlineStr">
        <is>
          <t>ARVIKA</t>
        </is>
      </c>
      <c r="G682" t="n">
        <v>1.6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35395-2025</t>
        </is>
      </c>
      <c r="B683" s="1" t="n">
        <v>45855</v>
      </c>
      <c r="C683" s="1" t="n">
        <v>46012</v>
      </c>
      <c r="D683" t="inlineStr">
        <is>
          <t>VÄRMLANDS LÄN</t>
        </is>
      </c>
      <c r="E683" t="inlineStr">
        <is>
          <t>ARVIKA</t>
        </is>
      </c>
      <c r="F683" t="inlineStr">
        <is>
          <t>Bergvik skog väst AB</t>
        </is>
      </c>
      <c r="G683" t="n">
        <v>5.3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35571-2025</t>
        </is>
      </c>
      <c r="B684" s="1" t="n">
        <v>45856</v>
      </c>
      <c r="C684" s="1" t="n">
        <v>46012</v>
      </c>
      <c r="D684" t="inlineStr">
        <is>
          <t>VÄRMLANDS LÄN</t>
        </is>
      </c>
      <c r="E684" t="inlineStr">
        <is>
          <t>ARVIKA</t>
        </is>
      </c>
      <c r="G684" t="n">
        <v>1.6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47815-2025</t>
        </is>
      </c>
      <c r="B685" s="1" t="n">
        <v>45932.32810185185</v>
      </c>
      <c r="C685" s="1" t="n">
        <v>46012</v>
      </c>
      <c r="D685" t="inlineStr">
        <is>
          <t>VÄRMLANDS LÄN</t>
        </is>
      </c>
      <c r="E685" t="inlineStr">
        <is>
          <t>ARVIKA</t>
        </is>
      </c>
      <c r="G685" t="n">
        <v>1.9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66226-2021</t>
        </is>
      </c>
      <c r="B686" s="1" t="n">
        <v>44518</v>
      </c>
      <c r="C686" s="1" t="n">
        <v>46012</v>
      </c>
      <c r="D686" t="inlineStr">
        <is>
          <t>VÄRMLANDS LÄN</t>
        </is>
      </c>
      <c r="E686" t="inlineStr">
        <is>
          <t>ARVIKA</t>
        </is>
      </c>
      <c r="G686" t="n">
        <v>4.9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34381-2025</t>
        </is>
      </c>
      <c r="B687" s="1" t="n">
        <v>45846</v>
      </c>
      <c r="C687" s="1" t="n">
        <v>46012</v>
      </c>
      <c r="D687" t="inlineStr">
        <is>
          <t>VÄRMLANDS LÄN</t>
        </is>
      </c>
      <c r="E687" t="inlineStr">
        <is>
          <t>ARVIKA</t>
        </is>
      </c>
      <c r="G687" t="n">
        <v>3.9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37144-2024</t>
        </is>
      </c>
      <c r="B688" s="1" t="n">
        <v>45538</v>
      </c>
      <c r="C688" s="1" t="n">
        <v>46012</v>
      </c>
      <c r="D688" t="inlineStr">
        <is>
          <t>VÄRMLANDS LÄN</t>
        </is>
      </c>
      <c r="E688" t="inlineStr">
        <is>
          <t>ARVIKA</t>
        </is>
      </c>
      <c r="G688" t="n">
        <v>1.1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35607-2025</t>
        </is>
      </c>
      <c r="B689" s="1" t="n">
        <v>45859</v>
      </c>
      <c r="C689" s="1" t="n">
        <v>46012</v>
      </c>
      <c r="D689" t="inlineStr">
        <is>
          <t>VÄRMLANDS LÄN</t>
        </is>
      </c>
      <c r="E689" t="inlineStr">
        <is>
          <t>ARVIKA</t>
        </is>
      </c>
      <c r="G689" t="n">
        <v>4.4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47524-2025</t>
        </is>
      </c>
      <c r="B690" s="1" t="n">
        <v>45931</v>
      </c>
      <c r="C690" s="1" t="n">
        <v>46012</v>
      </c>
      <c r="D690" t="inlineStr">
        <is>
          <t>VÄRMLANDS LÄN</t>
        </is>
      </c>
      <c r="E690" t="inlineStr">
        <is>
          <t>ARVIKA</t>
        </is>
      </c>
      <c r="G690" t="n">
        <v>2.3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53184-2024</t>
        </is>
      </c>
      <c r="B691" s="1" t="n">
        <v>45611</v>
      </c>
      <c r="C691" s="1" t="n">
        <v>46012</v>
      </c>
      <c r="D691" t="inlineStr">
        <is>
          <t>VÄRMLANDS LÄN</t>
        </is>
      </c>
      <c r="E691" t="inlineStr">
        <is>
          <t>ARVIKA</t>
        </is>
      </c>
      <c r="G691" t="n">
        <v>1.2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53243-2024</t>
        </is>
      </c>
      <c r="B692" s="1" t="n">
        <v>45613</v>
      </c>
      <c r="C692" s="1" t="n">
        <v>46012</v>
      </c>
      <c r="D692" t="inlineStr">
        <is>
          <t>VÄRMLANDS LÄN</t>
        </is>
      </c>
      <c r="E692" t="inlineStr">
        <is>
          <t>ARVIKA</t>
        </is>
      </c>
      <c r="G692" t="n">
        <v>3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47995-2025</t>
        </is>
      </c>
      <c r="B693" s="1" t="n">
        <v>45932.62770833333</v>
      </c>
      <c r="C693" s="1" t="n">
        <v>46012</v>
      </c>
      <c r="D693" t="inlineStr">
        <is>
          <t>VÄRMLANDS LÄN</t>
        </is>
      </c>
      <c r="E693" t="inlineStr">
        <is>
          <t>ARVIKA</t>
        </is>
      </c>
      <c r="G693" t="n">
        <v>0.7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48064-2025</t>
        </is>
      </c>
      <c r="B694" s="1" t="n">
        <v>45932.68791666667</v>
      </c>
      <c r="C694" s="1" t="n">
        <v>46012</v>
      </c>
      <c r="D694" t="inlineStr">
        <is>
          <t>VÄRMLANDS LÄN</t>
        </is>
      </c>
      <c r="E694" t="inlineStr">
        <is>
          <t>ARVIKA</t>
        </is>
      </c>
      <c r="G694" t="n">
        <v>4.3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35678-2025</t>
        </is>
      </c>
      <c r="B695" s="1" t="n">
        <v>45859</v>
      </c>
      <c r="C695" s="1" t="n">
        <v>46012</v>
      </c>
      <c r="D695" t="inlineStr">
        <is>
          <t>VÄRMLANDS LÄN</t>
        </is>
      </c>
      <c r="E695" t="inlineStr">
        <is>
          <t>ARVIKA</t>
        </is>
      </c>
      <c r="G695" t="n">
        <v>1.2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35677-2025</t>
        </is>
      </c>
      <c r="B696" s="1" t="n">
        <v>45859</v>
      </c>
      <c r="C696" s="1" t="n">
        <v>46012</v>
      </c>
      <c r="D696" t="inlineStr">
        <is>
          <t>VÄRMLANDS LÄN</t>
        </is>
      </c>
      <c r="E696" t="inlineStr">
        <is>
          <t>ARVIKA</t>
        </is>
      </c>
      <c r="G696" t="n">
        <v>1.1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35675-2025</t>
        </is>
      </c>
      <c r="B697" s="1" t="n">
        <v>45859</v>
      </c>
      <c r="C697" s="1" t="n">
        <v>46012</v>
      </c>
      <c r="D697" t="inlineStr">
        <is>
          <t>VÄRMLANDS LÄN</t>
        </is>
      </c>
      <c r="E697" t="inlineStr">
        <is>
          <t>ARVIKA</t>
        </is>
      </c>
      <c r="G697" t="n">
        <v>6.8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44432-2021</t>
        </is>
      </c>
      <c r="B698" s="1" t="n">
        <v>44435</v>
      </c>
      <c r="C698" s="1" t="n">
        <v>46012</v>
      </c>
      <c r="D698" t="inlineStr">
        <is>
          <t>VÄRMLANDS LÄN</t>
        </is>
      </c>
      <c r="E698" t="inlineStr">
        <is>
          <t>ARVIKA</t>
        </is>
      </c>
      <c r="G698" t="n">
        <v>4.5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48075-2025</t>
        </is>
      </c>
      <c r="B699" s="1" t="n">
        <v>45932.70664351852</v>
      </c>
      <c r="C699" s="1" t="n">
        <v>46012</v>
      </c>
      <c r="D699" t="inlineStr">
        <is>
          <t>VÄRMLANDS LÄN</t>
        </is>
      </c>
      <c r="E699" t="inlineStr">
        <is>
          <t>ARVIKA</t>
        </is>
      </c>
      <c r="G699" t="n">
        <v>1.3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40011-2022</t>
        </is>
      </c>
      <c r="B700" s="1" t="n">
        <v>44820</v>
      </c>
      <c r="C700" s="1" t="n">
        <v>46012</v>
      </c>
      <c r="D700" t="inlineStr">
        <is>
          <t>VÄRMLANDS LÄN</t>
        </is>
      </c>
      <c r="E700" t="inlineStr">
        <is>
          <t>ARVIKA</t>
        </is>
      </c>
      <c r="G700" t="n">
        <v>6.3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3974-2023</t>
        </is>
      </c>
      <c r="B701" s="1" t="n">
        <v>44952.44694444445</v>
      </c>
      <c r="C701" s="1" t="n">
        <v>46012</v>
      </c>
      <c r="D701" t="inlineStr">
        <is>
          <t>VÄRMLANDS LÄN</t>
        </is>
      </c>
      <c r="E701" t="inlineStr">
        <is>
          <t>ARVIKA</t>
        </is>
      </c>
      <c r="G701" t="n">
        <v>8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35676-2025</t>
        </is>
      </c>
      <c r="B702" s="1" t="n">
        <v>45859</v>
      </c>
      <c r="C702" s="1" t="n">
        <v>46012</v>
      </c>
      <c r="D702" t="inlineStr">
        <is>
          <t>VÄRMLANDS LÄN</t>
        </is>
      </c>
      <c r="E702" t="inlineStr">
        <is>
          <t>ARVIKA</t>
        </is>
      </c>
      <c r="G702" t="n">
        <v>2.4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35892-2025</t>
        </is>
      </c>
      <c r="B703" s="1" t="n">
        <v>45862</v>
      </c>
      <c r="C703" s="1" t="n">
        <v>46012</v>
      </c>
      <c r="D703" t="inlineStr">
        <is>
          <t>VÄRMLANDS LÄN</t>
        </is>
      </c>
      <c r="E703" t="inlineStr">
        <is>
          <t>ARVIKA</t>
        </is>
      </c>
      <c r="F703" t="inlineStr">
        <is>
          <t>Bergvik skog väst AB</t>
        </is>
      </c>
      <c r="G703" t="n">
        <v>4.6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35818-2025</t>
        </is>
      </c>
      <c r="B704" s="1" t="n">
        <v>45861.44469907408</v>
      </c>
      <c r="C704" s="1" t="n">
        <v>46012</v>
      </c>
      <c r="D704" t="inlineStr">
        <is>
          <t>VÄRMLANDS LÄN</t>
        </is>
      </c>
      <c r="E704" t="inlineStr">
        <is>
          <t>ARVIKA</t>
        </is>
      </c>
      <c r="F704" t="inlineStr">
        <is>
          <t>Bergvik skog väst AB</t>
        </is>
      </c>
      <c r="G704" t="n">
        <v>7.5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12020-2023</t>
        </is>
      </c>
      <c r="B705" s="1" t="n">
        <v>44995</v>
      </c>
      <c r="C705" s="1" t="n">
        <v>46012</v>
      </c>
      <c r="D705" t="inlineStr">
        <is>
          <t>VÄRMLANDS LÄN</t>
        </is>
      </c>
      <c r="E705" t="inlineStr">
        <is>
          <t>ARVIKA</t>
        </is>
      </c>
      <c r="G705" t="n">
        <v>2.1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14478-2025</t>
        </is>
      </c>
      <c r="B706" s="1" t="n">
        <v>45741</v>
      </c>
      <c r="C706" s="1" t="n">
        <v>46012</v>
      </c>
      <c r="D706" t="inlineStr">
        <is>
          <t>VÄRMLANDS LÄN</t>
        </is>
      </c>
      <c r="E706" t="inlineStr">
        <is>
          <t>ARVIKA</t>
        </is>
      </c>
      <c r="G706" t="n">
        <v>0.5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47812-2025</t>
        </is>
      </c>
      <c r="B707" s="1" t="n">
        <v>45932</v>
      </c>
      <c r="C707" s="1" t="n">
        <v>46012</v>
      </c>
      <c r="D707" t="inlineStr">
        <is>
          <t>VÄRMLANDS LÄN</t>
        </is>
      </c>
      <c r="E707" t="inlineStr">
        <is>
          <t>ARVIKA</t>
        </is>
      </c>
      <c r="G707" t="n">
        <v>5.7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36042-2025</t>
        </is>
      </c>
      <c r="B708" s="1" t="n">
        <v>45866</v>
      </c>
      <c r="C708" s="1" t="n">
        <v>46012</v>
      </c>
      <c r="D708" t="inlineStr">
        <is>
          <t>VÄRMLANDS LÄN</t>
        </is>
      </c>
      <c r="E708" t="inlineStr">
        <is>
          <t>ARVIKA</t>
        </is>
      </c>
      <c r="G708" t="n">
        <v>1.2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7855-2023</t>
        </is>
      </c>
      <c r="B709" s="1" t="n">
        <v>44973.53122685185</v>
      </c>
      <c r="C709" s="1" t="n">
        <v>46012</v>
      </c>
      <c r="D709" t="inlineStr">
        <is>
          <t>VÄRMLANDS LÄN</t>
        </is>
      </c>
      <c r="E709" t="inlineStr">
        <is>
          <t>ARVIKA</t>
        </is>
      </c>
      <c r="G709" t="n">
        <v>2.5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62610-2022</t>
        </is>
      </c>
      <c r="B710" s="1" t="n">
        <v>44917</v>
      </c>
      <c r="C710" s="1" t="n">
        <v>46012</v>
      </c>
      <c r="D710" t="inlineStr">
        <is>
          <t>VÄRMLANDS LÄN</t>
        </is>
      </c>
      <c r="E710" t="inlineStr">
        <is>
          <t>ARVIKA</t>
        </is>
      </c>
      <c r="G710" t="n">
        <v>1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62619-2022</t>
        </is>
      </c>
      <c r="B711" s="1" t="n">
        <v>44917</v>
      </c>
      <c r="C711" s="1" t="n">
        <v>46012</v>
      </c>
      <c r="D711" t="inlineStr">
        <is>
          <t>VÄRMLANDS LÄN</t>
        </is>
      </c>
      <c r="E711" t="inlineStr">
        <is>
          <t>ARVIKA</t>
        </is>
      </c>
      <c r="G711" t="n">
        <v>1.5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47779-2025</t>
        </is>
      </c>
      <c r="B712" s="1" t="n">
        <v>45931.73188657407</v>
      </c>
      <c r="C712" s="1" t="n">
        <v>46012</v>
      </c>
      <c r="D712" t="inlineStr">
        <is>
          <t>VÄRMLANDS LÄN</t>
        </is>
      </c>
      <c r="E712" t="inlineStr">
        <is>
          <t>ARVIKA</t>
        </is>
      </c>
      <c r="G712" t="n">
        <v>1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47814-2025</t>
        </is>
      </c>
      <c r="B713" s="1" t="n">
        <v>45932.32513888889</v>
      </c>
      <c r="C713" s="1" t="n">
        <v>46012</v>
      </c>
      <c r="D713" t="inlineStr">
        <is>
          <t>VÄRMLANDS LÄN</t>
        </is>
      </c>
      <c r="E713" t="inlineStr">
        <is>
          <t>ARVIKA</t>
        </is>
      </c>
      <c r="G713" t="n">
        <v>0.9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61203-2024</t>
        </is>
      </c>
      <c r="B714" s="1" t="n">
        <v>45645.63922453704</v>
      </c>
      <c r="C714" s="1" t="n">
        <v>46012</v>
      </c>
      <c r="D714" t="inlineStr">
        <is>
          <t>VÄRMLANDS LÄN</t>
        </is>
      </c>
      <c r="E714" t="inlineStr">
        <is>
          <t>ARVIKA</t>
        </is>
      </c>
      <c r="G714" t="n">
        <v>1.1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50789-2024</t>
        </is>
      </c>
      <c r="B715" s="1" t="n">
        <v>45602</v>
      </c>
      <c r="C715" s="1" t="n">
        <v>46012</v>
      </c>
      <c r="D715" t="inlineStr">
        <is>
          <t>VÄRMLANDS LÄN</t>
        </is>
      </c>
      <c r="E715" t="inlineStr">
        <is>
          <t>ARVIKA</t>
        </is>
      </c>
      <c r="F715" t="inlineStr">
        <is>
          <t>Bergvik skog väst AB</t>
        </is>
      </c>
      <c r="G715" t="n">
        <v>0.9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45296-2023</t>
        </is>
      </c>
      <c r="B716" s="1" t="n">
        <v>45191</v>
      </c>
      <c r="C716" s="1" t="n">
        <v>46012</v>
      </c>
      <c r="D716" t="inlineStr">
        <is>
          <t>VÄRMLANDS LÄN</t>
        </is>
      </c>
      <c r="E716" t="inlineStr">
        <is>
          <t>ARVIKA</t>
        </is>
      </c>
      <c r="G716" t="n">
        <v>1.4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45298-2023</t>
        </is>
      </c>
      <c r="B717" s="1" t="n">
        <v>45191</v>
      </c>
      <c r="C717" s="1" t="n">
        <v>46012</v>
      </c>
      <c r="D717" t="inlineStr">
        <is>
          <t>VÄRMLANDS LÄN</t>
        </is>
      </c>
      <c r="E717" t="inlineStr">
        <is>
          <t>ARVIKA</t>
        </is>
      </c>
      <c r="G717" t="n">
        <v>4.5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23660-2023</t>
        </is>
      </c>
      <c r="B718" s="1" t="n">
        <v>45077</v>
      </c>
      <c r="C718" s="1" t="n">
        <v>46012</v>
      </c>
      <c r="D718" t="inlineStr">
        <is>
          <t>VÄRMLANDS LÄN</t>
        </is>
      </c>
      <c r="E718" t="inlineStr">
        <is>
          <t>ARVIKA</t>
        </is>
      </c>
      <c r="F718" t="inlineStr">
        <is>
          <t>Bergvik skog väst AB</t>
        </is>
      </c>
      <c r="G718" t="n">
        <v>1.1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27712-2025</t>
        </is>
      </c>
      <c r="B719" s="1" t="n">
        <v>45813.79571759259</v>
      </c>
      <c r="C719" s="1" t="n">
        <v>46012</v>
      </c>
      <c r="D719" t="inlineStr">
        <is>
          <t>VÄRMLANDS LÄN</t>
        </is>
      </c>
      <c r="E719" t="inlineStr">
        <is>
          <t>ARVIKA</t>
        </is>
      </c>
      <c r="G719" t="n">
        <v>1.4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11091-2023</t>
        </is>
      </c>
      <c r="B720" s="1" t="n">
        <v>44992</v>
      </c>
      <c r="C720" s="1" t="n">
        <v>46012</v>
      </c>
      <c r="D720" t="inlineStr">
        <is>
          <t>VÄRMLANDS LÄN</t>
        </is>
      </c>
      <c r="E720" t="inlineStr">
        <is>
          <t>ARVIKA</t>
        </is>
      </c>
      <c r="G720" t="n">
        <v>9.800000000000001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17142-2025</t>
        </is>
      </c>
      <c r="B721" s="1" t="n">
        <v>45755.88490740741</v>
      </c>
      <c r="C721" s="1" t="n">
        <v>46012</v>
      </c>
      <c r="D721" t="inlineStr">
        <is>
          <t>VÄRMLANDS LÄN</t>
        </is>
      </c>
      <c r="E721" t="inlineStr">
        <is>
          <t>ARVIKA</t>
        </is>
      </c>
      <c r="G721" t="n">
        <v>1.5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36360-2025</t>
        </is>
      </c>
      <c r="B722" s="1" t="n">
        <v>45868</v>
      </c>
      <c r="C722" s="1" t="n">
        <v>46012</v>
      </c>
      <c r="D722" t="inlineStr">
        <is>
          <t>VÄRMLANDS LÄN</t>
        </is>
      </c>
      <c r="E722" t="inlineStr">
        <is>
          <t>ARVIKA</t>
        </is>
      </c>
      <c r="G722" t="n">
        <v>1.2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58062-2024</t>
        </is>
      </c>
      <c r="B723" s="1" t="n">
        <v>45631</v>
      </c>
      <c r="C723" s="1" t="n">
        <v>46012</v>
      </c>
      <c r="D723" t="inlineStr">
        <is>
          <t>VÄRMLANDS LÄN</t>
        </is>
      </c>
      <c r="E723" t="inlineStr">
        <is>
          <t>ARVIKA</t>
        </is>
      </c>
      <c r="G723" t="n">
        <v>1.5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48650-2025</t>
        </is>
      </c>
      <c r="B724" s="1" t="n">
        <v>45936.55185185185</v>
      </c>
      <c r="C724" s="1" t="n">
        <v>46012</v>
      </c>
      <c r="D724" t="inlineStr">
        <is>
          <t>VÄRMLANDS LÄN</t>
        </is>
      </c>
      <c r="E724" t="inlineStr">
        <is>
          <t>ARVIKA</t>
        </is>
      </c>
      <c r="F724" t="inlineStr">
        <is>
          <t>Bergvik skog väst AB</t>
        </is>
      </c>
      <c r="G724" t="n">
        <v>1.1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5072-2025</t>
        </is>
      </c>
      <c r="B725" s="1" t="n">
        <v>45691</v>
      </c>
      <c r="C725" s="1" t="n">
        <v>46012</v>
      </c>
      <c r="D725" t="inlineStr">
        <is>
          <t>VÄRMLANDS LÄN</t>
        </is>
      </c>
      <c r="E725" t="inlineStr">
        <is>
          <t>ARVIKA</t>
        </is>
      </c>
      <c r="G725" t="n">
        <v>3.3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9574-2024</t>
        </is>
      </c>
      <c r="B726" s="1" t="n">
        <v>45360.40841435185</v>
      </c>
      <c r="C726" s="1" t="n">
        <v>46012</v>
      </c>
      <c r="D726" t="inlineStr">
        <is>
          <t>VÄRMLANDS LÄN</t>
        </is>
      </c>
      <c r="E726" t="inlineStr">
        <is>
          <t>ARVIKA</t>
        </is>
      </c>
      <c r="G726" t="n">
        <v>2.1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36364-2025</t>
        </is>
      </c>
      <c r="B727" s="1" t="n">
        <v>45868</v>
      </c>
      <c r="C727" s="1" t="n">
        <v>46012</v>
      </c>
      <c r="D727" t="inlineStr">
        <is>
          <t>VÄRMLANDS LÄN</t>
        </is>
      </c>
      <c r="E727" t="inlineStr">
        <is>
          <t>ARVIKA</t>
        </is>
      </c>
      <c r="G727" t="n">
        <v>2.7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36469-2025</t>
        </is>
      </c>
      <c r="B728" s="1" t="n">
        <v>45869.47287037037</v>
      </c>
      <c r="C728" s="1" t="n">
        <v>46012</v>
      </c>
      <c r="D728" t="inlineStr">
        <is>
          <t>VÄRMLANDS LÄN</t>
        </is>
      </c>
      <c r="E728" t="inlineStr">
        <is>
          <t>ARVIKA</t>
        </is>
      </c>
      <c r="G728" t="n">
        <v>2.1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32869-2023</t>
        </is>
      </c>
      <c r="B729" s="1" t="n">
        <v>45124</v>
      </c>
      <c r="C729" s="1" t="n">
        <v>46012</v>
      </c>
      <c r="D729" t="inlineStr">
        <is>
          <t>VÄRMLANDS LÄN</t>
        </is>
      </c>
      <c r="E729" t="inlineStr">
        <is>
          <t>ARVIKA</t>
        </is>
      </c>
      <c r="G729" t="n">
        <v>1.2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36431-2025</t>
        </is>
      </c>
      <c r="B730" s="1" t="n">
        <v>45869</v>
      </c>
      <c r="C730" s="1" t="n">
        <v>46012</v>
      </c>
      <c r="D730" t="inlineStr">
        <is>
          <t>VÄRMLANDS LÄN</t>
        </is>
      </c>
      <c r="E730" t="inlineStr">
        <is>
          <t>ARVIKA</t>
        </is>
      </c>
      <c r="F730" t="inlineStr">
        <is>
          <t>Bergvik skog väst AB</t>
        </is>
      </c>
      <c r="G730" t="n">
        <v>10.2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17460-2023</t>
        </is>
      </c>
      <c r="B731" s="1" t="n">
        <v>45036</v>
      </c>
      <c r="C731" s="1" t="n">
        <v>46012</v>
      </c>
      <c r="D731" t="inlineStr">
        <is>
          <t>VÄRMLANDS LÄN</t>
        </is>
      </c>
      <c r="E731" t="inlineStr">
        <is>
          <t>ARVIKA</t>
        </is>
      </c>
      <c r="G731" t="n">
        <v>1.9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36466-2025</t>
        </is>
      </c>
      <c r="B732" s="1" t="n">
        <v>45869.46987268519</v>
      </c>
      <c r="C732" s="1" t="n">
        <v>46012</v>
      </c>
      <c r="D732" t="inlineStr">
        <is>
          <t>VÄRMLANDS LÄN</t>
        </is>
      </c>
      <c r="E732" t="inlineStr">
        <is>
          <t>ARVIKA</t>
        </is>
      </c>
      <c r="G732" t="n">
        <v>2.2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61067-2024</t>
        </is>
      </c>
      <c r="B733" s="1" t="n">
        <v>45645</v>
      </c>
      <c r="C733" s="1" t="n">
        <v>46012</v>
      </c>
      <c r="D733" t="inlineStr">
        <is>
          <t>VÄRMLANDS LÄN</t>
        </is>
      </c>
      <c r="E733" t="inlineStr">
        <is>
          <t>ARVIKA</t>
        </is>
      </c>
      <c r="F733" t="inlineStr">
        <is>
          <t>Bergvik skog väst AB</t>
        </is>
      </c>
      <c r="G733" t="n">
        <v>2.2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5881-2021</t>
        </is>
      </c>
      <c r="B734" s="1" t="n">
        <v>44231</v>
      </c>
      <c r="C734" s="1" t="n">
        <v>46012</v>
      </c>
      <c r="D734" t="inlineStr">
        <is>
          <t>VÄRMLANDS LÄN</t>
        </is>
      </c>
      <c r="E734" t="inlineStr">
        <is>
          <t>ARVIKA</t>
        </is>
      </c>
      <c r="G734" t="n">
        <v>2.5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51400-2022</t>
        </is>
      </c>
      <c r="B735" s="1" t="n">
        <v>44869</v>
      </c>
      <c r="C735" s="1" t="n">
        <v>46012</v>
      </c>
      <c r="D735" t="inlineStr">
        <is>
          <t>VÄRMLANDS LÄN</t>
        </is>
      </c>
      <c r="E735" t="inlineStr">
        <is>
          <t>ARVIKA</t>
        </is>
      </c>
      <c r="F735" t="inlineStr">
        <is>
          <t>Bergvik skog väst AB</t>
        </is>
      </c>
      <c r="G735" t="n">
        <v>0.4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13074-2023</t>
        </is>
      </c>
      <c r="B736" s="1" t="n">
        <v>45001</v>
      </c>
      <c r="C736" s="1" t="n">
        <v>46012</v>
      </c>
      <c r="D736" t="inlineStr">
        <is>
          <t>VÄRMLANDS LÄN</t>
        </is>
      </c>
      <c r="E736" t="inlineStr">
        <is>
          <t>ARVIKA</t>
        </is>
      </c>
      <c r="G736" t="n">
        <v>21.1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7686-2023</t>
        </is>
      </c>
      <c r="B737" s="1" t="n">
        <v>44972</v>
      </c>
      <c r="C737" s="1" t="n">
        <v>46012</v>
      </c>
      <c r="D737" t="inlineStr">
        <is>
          <t>VÄRMLANDS LÄN</t>
        </is>
      </c>
      <c r="E737" t="inlineStr">
        <is>
          <t>ARVIKA</t>
        </is>
      </c>
      <c r="G737" t="n">
        <v>1.5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48680-2025</t>
        </is>
      </c>
      <c r="B738" s="1" t="n">
        <v>45935</v>
      </c>
      <c r="C738" s="1" t="n">
        <v>46012</v>
      </c>
      <c r="D738" t="inlineStr">
        <is>
          <t>VÄRMLANDS LÄN</t>
        </is>
      </c>
      <c r="E738" t="inlineStr">
        <is>
          <t>ARVIKA</t>
        </is>
      </c>
      <c r="G738" t="n">
        <v>1.3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61008-2024</t>
        </is>
      </c>
      <c r="B739" s="1" t="n">
        <v>45645</v>
      </c>
      <c r="C739" s="1" t="n">
        <v>46012</v>
      </c>
      <c r="D739" t="inlineStr">
        <is>
          <t>VÄRMLANDS LÄN</t>
        </is>
      </c>
      <c r="E739" t="inlineStr">
        <is>
          <t>ARVIKA</t>
        </is>
      </c>
      <c r="G739" t="n">
        <v>38.7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48676-2025</t>
        </is>
      </c>
      <c r="B740" s="1" t="n">
        <v>45935</v>
      </c>
      <c r="C740" s="1" t="n">
        <v>46012</v>
      </c>
      <c r="D740" t="inlineStr">
        <is>
          <t>VÄRMLANDS LÄN</t>
        </is>
      </c>
      <c r="E740" t="inlineStr">
        <is>
          <t>ARVIKA</t>
        </is>
      </c>
      <c r="G740" t="n">
        <v>9.1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7685-2023</t>
        </is>
      </c>
      <c r="B741" s="1" t="n">
        <v>44972</v>
      </c>
      <c r="C741" s="1" t="n">
        <v>46012</v>
      </c>
      <c r="D741" t="inlineStr">
        <is>
          <t>VÄRMLANDS LÄN</t>
        </is>
      </c>
      <c r="E741" t="inlineStr">
        <is>
          <t>ARVIKA</t>
        </is>
      </c>
      <c r="G741" t="n">
        <v>0.8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48320-2025</t>
        </is>
      </c>
      <c r="B742" s="1" t="n">
        <v>45933.62635416666</v>
      </c>
      <c r="C742" s="1" t="n">
        <v>46012</v>
      </c>
      <c r="D742" t="inlineStr">
        <is>
          <t>VÄRMLANDS LÄN</t>
        </is>
      </c>
      <c r="E742" t="inlineStr">
        <is>
          <t>ARVIKA</t>
        </is>
      </c>
      <c r="G742" t="n">
        <v>1.5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36655-2025</t>
        </is>
      </c>
      <c r="B743" s="1" t="n">
        <v>45873</v>
      </c>
      <c r="C743" s="1" t="n">
        <v>46012</v>
      </c>
      <c r="D743" t="inlineStr">
        <is>
          <t>VÄRMLANDS LÄN</t>
        </is>
      </c>
      <c r="E743" t="inlineStr">
        <is>
          <t>ARVIKA</t>
        </is>
      </c>
      <c r="G743" t="n">
        <v>2.5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36654-2025</t>
        </is>
      </c>
      <c r="B744" s="1" t="n">
        <v>45873.24579861111</v>
      </c>
      <c r="C744" s="1" t="n">
        <v>46012</v>
      </c>
      <c r="D744" t="inlineStr">
        <is>
          <t>VÄRMLANDS LÄN</t>
        </is>
      </c>
      <c r="E744" t="inlineStr">
        <is>
          <t>ARVIKA</t>
        </is>
      </c>
      <c r="G744" t="n">
        <v>1.3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48417-2025</t>
        </is>
      </c>
      <c r="B745" s="1" t="n">
        <v>45934.55943287037</v>
      </c>
      <c r="C745" s="1" t="n">
        <v>46012</v>
      </c>
      <c r="D745" t="inlineStr">
        <is>
          <t>VÄRMLANDS LÄN</t>
        </is>
      </c>
      <c r="E745" t="inlineStr">
        <is>
          <t>ARVIKA</t>
        </is>
      </c>
      <c r="F745" t="inlineStr">
        <is>
          <t>Bergvik skog väst AB</t>
        </is>
      </c>
      <c r="G745" t="n">
        <v>2.2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52943-2024</t>
        </is>
      </c>
      <c r="B746" s="1" t="n">
        <v>45610</v>
      </c>
      <c r="C746" s="1" t="n">
        <v>46012</v>
      </c>
      <c r="D746" t="inlineStr">
        <is>
          <t>VÄRMLANDS LÄN</t>
        </is>
      </c>
      <c r="E746" t="inlineStr">
        <is>
          <t>ARVIKA</t>
        </is>
      </c>
      <c r="G746" t="n">
        <v>3.9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36852-2025</t>
        </is>
      </c>
      <c r="B747" s="1" t="n">
        <v>45874.39383101852</v>
      </c>
      <c r="C747" s="1" t="n">
        <v>46012</v>
      </c>
      <c r="D747" t="inlineStr">
        <is>
          <t>VÄRMLANDS LÄN</t>
        </is>
      </c>
      <c r="E747" t="inlineStr">
        <is>
          <t>ARVIKA</t>
        </is>
      </c>
      <c r="F747" t="inlineStr">
        <is>
          <t>Bergvik skog väst AB</t>
        </is>
      </c>
      <c r="G747" t="n">
        <v>14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420-2025</t>
        </is>
      </c>
      <c r="B748" s="1" t="n">
        <v>45663.89625</v>
      </c>
      <c r="C748" s="1" t="n">
        <v>46012</v>
      </c>
      <c r="D748" t="inlineStr">
        <is>
          <t>VÄRMLANDS LÄN</t>
        </is>
      </c>
      <c r="E748" t="inlineStr">
        <is>
          <t>ARVIKA</t>
        </is>
      </c>
      <c r="G748" t="n">
        <v>2.6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46171-2023</t>
        </is>
      </c>
      <c r="B749" s="1" t="n">
        <v>45196</v>
      </c>
      <c r="C749" s="1" t="n">
        <v>46012</v>
      </c>
      <c r="D749" t="inlineStr">
        <is>
          <t>VÄRMLANDS LÄN</t>
        </is>
      </c>
      <c r="E749" t="inlineStr">
        <is>
          <t>ARVIKA</t>
        </is>
      </c>
      <c r="G749" t="n">
        <v>3.6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26718-2023</t>
        </is>
      </c>
      <c r="B750" s="1" t="n">
        <v>45093.3868287037</v>
      </c>
      <c r="C750" s="1" t="n">
        <v>46012</v>
      </c>
      <c r="D750" t="inlineStr">
        <is>
          <t>VÄRMLANDS LÄN</t>
        </is>
      </c>
      <c r="E750" t="inlineStr">
        <is>
          <t>ARVIKA</t>
        </is>
      </c>
      <c r="G750" t="n">
        <v>1.8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26722-2023</t>
        </is>
      </c>
      <c r="B751" s="1" t="n">
        <v>45093.39921296296</v>
      </c>
      <c r="C751" s="1" t="n">
        <v>46012</v>
      </c>
      <c r="D751" t="inlineStr">
        <is>
          <t>VÄRMLANDS LÄN</t>
        </is>
      </c>
      <c r="E751" t="inlineStr">
        <is>
          <t>ARVIKA</t>
        </is>
      </c>
      <c r="G751" t="n">
        <v>2.9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26728-2023</t>
        </is>
      </c>
      <c r="B752" s="1" t="n">
        <v>45093</v>
      </c>
      <c r="C752" s="1" t="n">
        <v>46012</v>
      </c>
      <c r="D752" t="inlineStr">
        <is>
          <t>VÄRMLANDS LÄN</t>
        </is>
      </c>
      <c r="E752" t="inlineStr">
        <is>
          <t>ARVIKA</t>
        </is>
      </c>
      <c r="G752" t="n">
        <v>2.2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62170-2024</t>
        </is>
      </c>
      <c r="B753" s="1" t="n">
        <v>45657.62571759259</v>
      </c>
      <c r="C753" s="1" t="n">
        <v>46012</v>
      </c>
      <c r="D753" t="inlineStr">
        <is>
          <t>VÄRMLANDS LÄN</t>
        </is>
      </c>
      <c r="E753" t="inlineStr">
        <is>
          <t>ARVIKA</t>
        </is>
      </c>
      <c r="G753" t="n">
        <v>3.7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49-2025</t>
        </is>
      </c>
      <c r="B754" s="1" t="n">
        <v>45659</v>
      </c>
      <c r="C754" s="1" t="n">
        <v>46012</v>
      </c>
      <c r="D754" t="inlineStr">
        <is>
          <t>VÄRMLANDS LÄN</t>
        </is>
      </c>
      <c r="E754" t="inlineStr">
        <is>
          <t>ARVIKA</t>
        </is>
      </c>
      <c r="G754" t="n">
        <v>3.4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29067-2022</t>
        </is>
      </c>
      <c r="B755" s="1" t="n">
        <v>44750</v>
      </c>
      <c r="C755" s="1" t="n">
        <v>46012</v>
      </c>
      <c r="D755" t="inlineStr">
        <is>
          <t>VÄRMLANDS LÄN</t>
        </is>
      </c>
      <c r="E755" t="inlineStr">
        <is>
          <t>ARVIKA</t>
        </is>
      </c>
      <c r="G755" t="n">
        <v>2.3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29600-2025</t>
        </is>
      </c>
      <c r="B756" s="1" t="n">
        <v>45825</v>
      </c>
      <c r="C756" s="1" t="n">
        <v>46012</v>
      </c>
      <c r="D756" t="inlineStr">
        <is>
          <t>VÄRMLANDS LÄN</t>
        </is>
      </c>
      <c r="E756" t="inlineStr">
        <is>
          <t>ARVIKA</t>
        </is>
      </c>
      <c r="F756" t="inlineStr">
        <is>
          <t>Bergvik skog väst AB</t>
        </is>
      </c>
      <c r="G756" t="n">
        <v>0.6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56746-2025</t>
        </is>
      </c>
      <c r="B757" s="1" t="n">
        <v>45978.36160879629</v>
      </c>
      <c r="C757" s="1" t="n">
        <v>46012</v>
      </c>
      <c r="D757" t="inlineStr">
        <is>
          <t>VÄRMLANDS LÄN</t>
        </is>
      </c>
      <c r="E757" t="inlineStr">
        <is>
          <t>ARVIKA</t>
        </is>
      </c>
      <c r="G757" t="n">
        <v>4.6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32194-2024</t>
        </is>
      </c>
      <c r="B758" s="1" t="n">
        <v>45511</v>
      </c>
      <c r="C758" s="1" t="n">
        <v>46012</v>
      </c>
      <c r="D758" t="inlineStr">
        <is>
          <t>VÄRMLANDS LÄN</t>
        </is>
      </c>
      <c r="E758" t="inlineStr">
        <is>
          <t>ARVIKA</t>
        </is>
      </c>
      <c r="G758" t="n">
        <v>3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48589-2025</t>
        </is>
      </c>
      <c r="B759" s="1" t="n">
        <v>45936</v>
      </c>
      <c r="C759" s="1" t="n">
        <v>46012</v>
      </c>
      <c r="D759" t="inlineStr">
        <is>
          <t>VÄRMLANDS LÄN</t>
        </is>
      </c>
      <c r="E759" t="inlineStr">
        <is>
          <t>ARVIKA</t>
        </is>
      </c>
      <c r="F759" t="inlineStr">
        <is>
          <t>Bergvik skog väst AB</t>
        </is>
      </c>
      <c r="G759" t="n">
        <v>3.5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48334-2025</t>
        </is>
      </c>
      <c r="B760" s="1" t="n">
        <v>45933.63556712963</v>
      </c>
      <c r="C760" s="1" t="n">
        <v>46012</v>
      </c>
      <c r="D760" t="inlineStr">
        <is>
          <t>VÄRMLANDS LÄN</t>
        </is>
      </c>
      <c r="E760" t="inlineStr">
        <is>
          <t>ARVIKA</t>
        </is>
      </c>
      <c r="G760" t="n">
        <v>1.2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36788-2025</t>
        </is>
      </c>
      <c r="B761" s="1" t="n">
        <v>45873.63435185186</v>
      </c>
      <c r="C761" s="1" t="n">
        <v>46012</v>
      </c>
      <c r="D761" t="inlineStr">
        <is>
          <t>VÄRMLANDS LÄN</t>
        </is>
      </c>
      <c r="E761" t="inlineStr">
        <is>
          <t>ARVIKA</t>
        </is>
      </c>
      <c r="F761" t="inlineStr">
        <is>
          <t>Bergvik skog väst AB</t>
        </is>
      </c>
      <c r="G761" t="n">
        <v>2.1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14772-2023</t>
        </is>
      </c>
      <c r="B762" s="1" t="n">
        <v>45014</v>
      </c>
      <c r="C762" s="1" t="n">
        <v>46012</v>
      </c>
      <c r="D762" t="inlineStr">
        <is>
          <t>VÄRMLANDS LÄN</t>
        </is>
      </c>
      <c r="E762" t="inlineStr">
        <is>
          <t>ARVIKA</t>
        </is>
      </c>
      <c r="G762" t="n">
        <v>0.7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21381-2021</t>
        </is>
      </c>
      <c r="B763" s="1" t="n">
        <v>44320</v>
      </c>
      <c r="C763" s="1" t="n">
        <v>46012</v>
      </c>
      <c r="D763" t="inlineStr">
        <is>
          <t>VÄRMLANDS LÄN</t>
        </is>
      </c>
      <c r="E763" t="inlineStr">
        <is>
          <t>ARVIKA</t>
        </is>
      </c>
      <c r="G763" t="n">
        <v>3.2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48637-2024</t>
        </is>
      </c>
      <c r="B764" s="1" t="n">
        <v>45593</v>
      </c>
      <c r="C764" s="1" t="n">
        <v>46012</v>
      </c>
      <c r="D764" t="inlineStr">
        <is>
          <t>VÄRMLANDS LÄN</t>
        </is>
      </c>
      <c r="E764" t="inlineStr">
        <is>
          <t>ARVIKA</t>
        </is>
      </c>
      <c r="G764" t="n">
        <v>4.3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37029-2025</t>
        </is>
      </c>
      <c r="B765" s="1" t="n">
        <v>45874</v>
      </c>
      <c r="C765" s="1" t="n">
        <v>46012</v>
      </c>
      <c r="D765" t="inlineStr">
        <is>
          <t>VÄRMLANDS LÄN</t>
        </is>
      </c>
      <c r="E765" t="inlineStr">
        <is>
          <t>ARVIKA</t>
        </is>
      </c>
      <c r="G765" t="n">
        <v>0.9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58059-2024</t>
        </is>
      </c>
      <c r="B766" s="1" t="n">
        <v>45631</v>
      </c>
      <c r="C766" s="1" t="n">
        <v>46012</v>
      </c>
      <c r="D766" t="inlineStr">
        <is>
          <t>VÄRMLANDS LÄN</t>
        </is>
      </c>
      <c r="E766" t="inlineStr">
        <is>
          <t>ARVIKA</t>
        </is>
      </c>
      <c r="G766" t="n">
        <v>3.3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58066-2024</t>
        </is>
      </c>
      <c r="B767" s="1" t="n">
        <v>45631</v>
      </c>
      <c r="C767" s="1" t="n">
        <v>46012</v>
      </c>
      <c r="D767" t="inlineStr">
        <is>
          <t>VÄRMLANDS LÄN</t>
        </is>
      </c>
      <c r="E767" t="inlineStr">
        <is>
          <t>ARVIKA</t>
        </is>
      </c>
      <c r="G767" t="n">
        <v>3.3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57485-2025</t>
        </is>
      </c>
      <c r="B768" s="1" t="n">
        <v>45980.57888888889</v>
      </c>
      <c r="C768" s="1" t="n">
        <v>46012</v>
      </c>
      <c r="D768" t="inlineStr">
        <is>
          <t>VÄRMLANDS LÄN</t>
        </is>
      </c>
      <c r="E768" t="inlineStr">
        <is>
          <t>ARVIKA</t>
        </is>
      </c>
      <c r="G768" t="n">
        <v>3.4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48920-2025</t>
        </is>
      </c>
      <c r="B769" s="1" t="n">
        <v>45937.49405092592</v>
      </c>
      <c r="C769" s="1" t="n">
        <v>46012</v>
      </c>
      <c r="D769" t="inlineStr">
        <is>
          <t>VÄRMLANDS LÄN</t>
        </is>
      </c>
      <c r="E769" t="inlineStr">
        <is>
          <t>ARVIKA</t>
        </is>
      </c>
      <c r="F769" t="inlineStr">
        <is>
          <t>Bergvik skog väst AB</t>
        </is>
      </c>
      <c r="G769" t="n">
        <v>0.8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47533-2024</t>
        </is>
      </c>
      <c r="B770" s="1" t="n">
        <v>45587</v>
      </c>
      <c r="C770" s="1" t="n">
        <v>46012</v>
      </c>
      <c r="D770" t="inlineStr">
        <is>
          <t>VÄRMLANDS LÄN</t>
        </is>
      </c>
      <c r="E770" t="inlineStr">
        <is>
          <t>ARVIKA</t>
        </is>
      </c>
      <c r="F770" t="inlineStr">
        <is>
          <t>Bergvik skog väst AB</t>
        </is>
      </c>
      <c r="G770" t="n">
        <v>0.5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30787-2025</t>
        </is>
      </c>
      <c r="B771" s="1" t="n">
        <v>45831</v>
      </c>
      <c r="C771" s="1" t="n">
        <v>46012</v>
      </c>
      <c r="D771" t="inlineStr">
        <is>
          <t>VÄRMLANDS LÄN</t>
        </is>
      </c>
      <c r="E771" t="inlineStr">
        <is>
          <t>ARVIKA</t>
        </is>
      </c>
      <c r="G771" t="n">
        <v>5.6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37030-2025</t>
        </is>
      </c>
      <c r="B772" s="1" t="n">
        <v>45874.90478009259</v>
      </c>
      <c r="C772" s="1" t="n">
        <v>46012</v>
      </c>
      <c r="D772" t="inlineStr">
        <is>
          <t>VÄRMLANDS LÄN</t>
        </is>
      </c>
      <c r="E772" t="inlineStr">
        <is>
          <t>ARVIKA</t>
        </is>
      </c>
      <c r="G772" t="n">
        <v>1.3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37031-2025</t>
        </is>
      </c>
      <c r="B773" s="1" t="n">
        <v>45874.91972222222</v>
      </c>
      <c r="C773" s="1" t="n">
        <v>46012</v>
      </c>
      <c r="D773" t="inlineStr">
        <is>
          <t>VÄRMLANDS LÄN</t>
        </is>
      </c>
      <c r="E773" t="inlineStr">
        <is>
          <t>ARVIKA</t>
        </is>
      </c>
      <c r="G773" t="n">
        <v>12.4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19720-2023</t>
        </is>
      </c>
      <c r="B774" s="1" t="n">
        <v>45051</v>
      </c>
      <c r="C774" s="1" t="n">
        <v>46012</v>
      </c>
      <c r="D774" t="inlineStr">
        <is>
          <t>VÄRMLANDS LÄN</t>
        </is>
      </c>
      <c r="E774" t="inlineStr">
        <is>
          <t>ARVIKA</t>
        </is>
      </c>
      <c r="G774" t="n">
        <v>2.6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60968-2024</t>
        </is>
      </c>
      <c r="B775" s="1" t="n">
        <v>45645</v>
      </c>
      <c r="C775" s="1" t="n">
        <v>46012</v>
      </c>
      <c r="D775" t="inlineStr">
        <is>
          <t>VÄRMLANDS LÄN</t>
        </is>
      </c>
      <c r="E775" t="inlineStr">
        <is>
          <t>ARVIKA</t>
        </is>
      </c>
      <c r="G775" t="n">
        <v>2.9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60971-2024</t>
        </is>
      </c>
      <c r="B776" s="1" t="n">
        <v>45645</v>
      </c>
      <c r="C776" s="1" t="n">
        <v>46012</v>
      </c>
      <c r="D776" t="inlineStr">
        <is>
          <t>VÄRMLANDS LÄN</t>
        </is>
      </c>
      <c r="E776" t="inlineStr">
        <is>
          <t>ARVIKA</t>
        </is>
      </c>
      <c r="G776" t="n">
        <v>2.5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48779-2025</t>
        </is>
      </c>
      <c r="B777" s="1" t="n">
        <v>45937</v>
      </c>
      <c r="C777" s="1" t="n">
        <v>46012</v>
      </c>
      <c r="D777" t="inlineStr">
        <is>
          <t>VÄRMLANDS LÄN</t>
        </is>
      </c>
      <c r="E777" t="inlineStr">
        <is>
          <t>ARVIKA</t>
        </is>
      </c>
      <c r="G777" t="n">
        <v>2.4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33187-2022</t>
        </is>
      </c>
      <c r="B778" s="1" t="n">
        <v>44785.63153935185</v>
      </c>
      <c r="C778" s="1" t="n">
        <v>46012</v>
      </c>
      <c r="D778" t="inlineStr">
        <is>
          <t>VÄRMLANDS LÄN</t>
        </is>
      </c>
      <c r="E778" t="inlineStr">
        <is>
          <t>ARVIKA</t>
        </is>
      </c>
      <c r="G778" t="n">
        <v>0.7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15058-2021</t>
        </is>
      </c>
      <c r="B779" s="1" t="n">
        <v>44281</v>
      </c>
      <c r="C779" s="1" t="n">
        <v>46012</v>
      </c>
      <c r="D779" t="inlineStr">
        <is>
          <t>VÄRMLANDS LÄN</t>
        </is>
      </c>
      <c r="E779" t="inlineStr">
        <is>
          <t>ARVIKA</t>
        </is>
      </c>
      <c r="G779" t="n">
        <v>4.7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57155-2025</t>
        </is>
      </c>
      <c r="B780" s="1" t="n">
        <v>45979.51581018518</v>
      </c>
      <c r="C780" s="1" t="n">
        <v>46012</v>
      </c>
      <c r="D780" t="inlineStr">
        <is>
          <t>VÄRMLANDS LÄN</t>
        </is>
      </c>
      <c r="E780" t="inlineStr">
        <is>
          <t>ARVIKA</t>
        </is>
      </c>
      <c r="G780" t="n">
        <v>0.8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37385-2025</t>
        </is>
      </c>
      <c r="B781" s="1" t="n">
        <v>45877</v>
      </c>
      <c r="C781" s="1" t="n">
        <v>46012</v>
      </c>
      <c r="D781" t="inlineStr">
        <is>
          <t>VÄRMLANDS LÄN</t>
        </is>
      </c>
      <c r="E781" t="inlineStr">
        <is>
          <t>ARVIKA</t>
        </is>
      </c>
      <c r="G781" t="n">
        <v>0.8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58133-2022</t>
        </is>
      </c>
      <c r="B782" s="1" t="n">
        <v>44900.6913425926</v>
      </c>
      <c r="C782" s="1" t="n">
        <v>46012</v>
      </c>
      <c r="D782" t="inlineStr">
        <is>
          <t>VÄRMLANDS LÄN</t>
        </is>
      </c>
      <c r="E782" t="inlineStr">
        <is>
          <t>ARVIKA</t>
        </is>
      </c>
      <c r="G782" t="n">
        <v>1.4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37347-2025</t>
        </is>
      </c>
      <c r="B783" s="1" t="n">
        <v>45876</v>
      </c>
      <c r="C783" s="1" t="n">
        <v>46012</v>
      </c>
      <c r="D783" t="inlineStr">
        <is>
          <t>VÄRMLANDS LÄN</t>
        </is>
      </c>
      <c r="E783" t="inlineStr">
        <is>
          <t>ARVIKA</t>
        </is>
      </c>
      <c r="G783" t="n">
        <v>5.5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27755-2023</t>
        </is>
      </c>
      <c r="B784" s="1" t="n">
        <v>45098.38828703704</v>
      </c>
      <c r="C784" s="1" t="n">
        <v>46012</v>
      </c>
      <c r="D784" t="inlineStr">
        <is>
          <t>VÄRMLANDS LÄN</t>
        </is>
      </c>
      <c r="E784" t="inlineStr">
        <is>
          <t>ARVIKA</t>
        </is>
      </c>
      <c r="G784" t="n">
        <v>1.2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37399-2025</t>
        </is>
      </c>
      <c r="B785" s="1" t="n">
        <v>45877</v>
      </c>
      <c r="C785" s="1" t="n">
        <v>46012</v>
      </c>
      <c r="D785" t="inlineStr">
        <is>
          <t>VÄRMLANDS LÄN</t>
        </is>
      </c>
      <c r="E785" t="inlineStr">
        <is>
          <t>ARVIKA</t>
        </is>
      </c>
      <c r="G785" t="n">
        <v>4.1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16797-2021</t>
        </is>
      </c>
      <c r="B786" s="1" t="n">
        <v>44295</v>
      </c>
      <c r="C786" s="1" t="n">
        <v>46012</v>
      </c>
      <c r="D786" t="inlineStr">
        <is>
          <t>VÄRMLANDS LÄN</t>
        </is>
      </c>
      <c r="E786" t="inlineStr">
        <is>
          <t>ARVIKA</t>
        </is>
      </c>
      <c r="G786" t="n">
        <v>0.3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37344-2025</t>
        </is>
      </c>
      <c r="B787" s="1" t="n">
        <v>45876</v>
      </c>
      <c r="C787" s="1" t="n">
        <v>46012</v>
      </c>
      <c r="D787" t="inlineStr">
        <is>
          <t>VÄRMLANDS LÄN</t>
        </is>
      </c>
      <c r="E787" t="inlineStr">
        <is>
          <t>ARVIKA</t>
        </is>
      </c>
      <c r="G787" t="n">
        <v>5.5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37558-2025</t>
        </is>
      </c>
      <c r="B788" s="1" t="n">
        <v>45880</v>
      </c>
      <c r="C788" s="1" t="n">
        <v>46012</v>
      </c>
      <c r="D788" t="inlineStr">
        <is>
          <t>VÄRMLANDS LÄN</t>
        </is>
      </c>
      <c r="E788" t="inlineStr">
        <is>
          <t>ARVIKA</t>
        </is>
      </c>
      <c r="G788" t="n">
        <v>2.7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54155-2024</t>
        </is>
      </c>
      <c r="B789" s="1" t="n">
        <v>45616.60831018518</v>
      </c>
      <c r="C789" s="1" t="n">
        <v>46012</v>
      </c>
      <c r="D789" t="inlineStr">
        <is>
          <t>VÄRMLANDS LÄN</t>
        </is>
      </c>
      <c r="E789" t="inlineStr">
        <is>
          <t>ARVIKA</t>
        </is>
      </c>
      <c r="F789" t="inlineStr">
        <is>
          <t>Bergvik skog väst AB</t>
        </is>
      </c>
      <c r="G789" t="n">
        <v>1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37638-2025</t>
        </is>
      </c>
      <c r="B790" s="1" t="n">
        <v>45880.4733449074</v>
      </c>
      <c r="C790" s="1" t="n">
        <v>46012</v>
      </c>
      <c r="D790" t="inlineStr">
        <is>
          <t>VÄRMLANDS LÄN</t>
        </is>
      </c>
      <c r="E790" t="inlineStr">
        <is>
          <t>ARVIKA</t>
        </is>
      </c>
      <c r="F790" t="inlineStr">
        <is>
          <t>Bergvik skog väst AB</t>
        </is>
      </c>
      <c r="G790" t="n">
        <v>6.5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35969-2022</t>
        </is>
      </c>
      <c r="B791" s="1" t="n">
        <v>44802.57747685185</v>
      </c>
      <c r="C791" s="1" t="n">
        <v>46012</v>
      </c>
      <c r="D791" t="inlineStr">
        <is>
          <t>VÄRMLANDS LÄN</t>
        </is>
      </c>
      <c r="E791" t="inlineStr">
        <is>
          <t>ARVIKA</t>
        </is>
      </c>
      <c r="G791" t="n">
        <v>2.2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37687-2025</t>
        </is>
      </c>
      <c r="B792" s="1" t="n">
        <v>45880.56207175926</v>
      </c>
      <c r="C792" s="1" t="n">
        <v>46012</v>
      </c>
      <c r="D792" t="inlineStr">
        <is>
          <t>VÄRMLANDS LÄN</t>
        </is>
      </c>
      <c r="E792" t="inlineStr">
        <is>
          <t>ARVIKA</t>
        </is>
      </c>
      <c r="F792" t="inlineStr">
        <is>
          <t>Bergvik skog väst AB</t>
        </is>
      </c>
      <c r="G792" t="n">
        <v>1.2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18269-2025</t>
        </is>
      </c>
      <c r="B793" s="1" t="n">
        <v>45762</v>
      </c>
      <c r="C793" s="1" t="n">
        <v>46012</v>
      </c>
      <c r="D793" t="inlineStr">
        <is>
          <t>VÄRMLANDS LÄN</t>
        </is>
      </c>
      <c r="E793" t="inlineStr">
        <is>
          <t>ARVIKA</t>
        </is>
      </c>
      <c r="G793" t="n">
        <v>1.1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37685-2025</t>
        </is>
      </c>
      <c r="B794" s="1" t="n">
        <v>45880.5540625</v>
      </c>
      <c r="C794" s="1" t="n">
        <v>46012</v>
      </c>
      <c r="D794" t="inlineStr">
        <is>
          <t>VÄRMLANDS LÄN</t>
        </is>
      </c>
      <c r="E794" t="inlineStr">
        <is>
          <t>ARVIKA</t>
        </is>
      </c>
      <c r="F794" t="inlineStr">
        <is>
          <t>Bergvik skog väst AB</t>
        </is>
      </c>
      <c r="G794" t="n">
        <v>6.4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37776-2025</t>
        </is>
      </c>
      <c r="B795" s="1" t="n">
        <v>45880</v>
      </c>
      <c r="C795" s="1" t="n">
        <v>46012</v>
      </c>
      <c r="D795" t="inlineStr">
        <is>
          <t>VÄRMLANDS LÄN</t>
        </is>
      </c>
      <c r="E795" t="inlineStr">
        <is>
          <t>ARVIKA</t>
        </is>
      </c>
      <c r="G795" t="n">
        <v>1.9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13399-2022</t>
        </is>
      </c>
      <c r="B796" s="1" t="n">
        <v>44645</v>
      </c>
      <c r="C796" s="1" t="n">
        <v>46012</v>
      </c>
      <c r="D796" t="inlineStr">
        <is>
          <t>VÄRMLANDS LÄN</t>
        </is>
      </c>
      <c r="E796" t="inlineStr">
        <is>
          <t>ARVIKA</t>
        </is>
      </c>
      <c r="F796" t="inlineStr">
        <is>
          <t>Bergvik skog väst AB</t>
        </is>
      </c>
      <c r="G796" t="n">
        <v>5.9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6978-2025</t>
        </is>
      </c>
      <c r="B797" s="1" t="n">
        <v>45701</v>
      </c>
      <c r="C797" s="1" t="n">
        <v>46012</v>
      </c>
      <c r="D797" t="inlineStr">
        <is>
          <t>VÄRMLANDS LÄN</t>
        </is>
      </c>
      <c r="E797" t="inlineStr">
        <is>
          <t>ARVIKA</t>
        </is>
      </c>
      <c r="G797" t="n">
        <v>1.5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36826-2025</t>
        </is>
      </c>
      <c r="B798" s="1" t="n">
        <v>45874</v>
      </c>
      <c r="C798" s="1" t="n">
        <v>46012</v>
      </c>
      <c r="D798" t="inlineStr">
        <is>
          <t>VÄRMLANDS LÄN</t>
        </is>
      </c>
      <c r="E798" t="inlineStr">
        <is>
          <t>ARVIKA</t>
        </is>
      </c>
      <c r="G798" t="n">
        <v>2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45740-2021</t>
        </is>
      </c>
      <c r="B799" s="1" t="n">
        <v>44435</v>
      </c>
      <c r="C799" s="1" t="n">
        <v>46012</v>
      </c>
      <c r="D799" t="inlineStr">
        <is>
          <t>VÄRMLANDS LÄN</t>
        </is>
      </c>
      <c r="E799" t="inlineStr">
        <is>
          <t>ARVIKA</t>
        </is>
      </c>
      <c r="G799" t="n">
        <v>1.3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59625-2024</t>
        </is>
      </c>
      <c r="B800" s="1" t="n">
        <v>45638</v>
      </c>
      <c r="C800" s="1" t="n">
        <v>46012</v>
      </c>
      <c r="D800" t="inlineStr">
        <is>
          <t>VÄRMLANDS LÄN</t>
        </is>
      </c>
      <c r="E800" t="inlineStr">
        <is>
          <t>ARVIKA</t>
        </is>
      </c>
      <c r="G800" t="n">
        <v>1.8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37836-2025</t>
        </is>
      </c>
      <c r="B801" s="1" t="n">
        <v>45881</v>
      </c>
      <c r="C801" s="1" t="n">
        <v>46012</v>
      </c>
      <c r="D801" t="inlineStr">
        <is>
          <t>VÄRMLANDS LÄN</t>
        </is>
      </c>
      <c r="E801" t="inlineStr">
        <is>
          <t>ARVIKA</t>
        </is>
      </c>
      <c r="F801" t="inlineStr">
        <is>
          <t>Bergvik skog väst AB</t>
        </is>
      </c>
      <c r="G801" t="n">
        <v>0.5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27153-2024</t>
        </is>
      </c>
      <c r="B802" s="1" t="n">
        <v>45471</v>
      </c>
      <c r="C802" s="1" t="n">
        <v>46012</v>
      </c>
      <c r="D802" t="inlineStr">
        <is>
          <t>VÄRMLANDS LÄN</t>
        </is>
      </c>
      <c r="E802" t="inlineStr">
        <is>
          <t>ARVIKA</t>
        </is>
      </c>
      <c r="F802" t="inlineStr">
        <is>
          <t>Bergvik skog väst AB</t>
        </is>
      </c>
      <c r="G802" t="n">
        <v>0.5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11562-2025</t>
        </is>
      </c>
      <c r="B803" s="1" t="n">
        <v>45727.37107638889</v>
      </c>
      <c r="C803" s="1" t="n">
        <v>46012</v>
      </c>
      <c r="D803" t="inlineStr">
        <is>
          <t>VÄRMLANDS LÄN</t>
        </is>
      </c>
      <c r="E803" t="inlineStr">
        <is>
          <t>ARVIKA</t>
        </is>
      </c>
      <c r="G803" t="n">
        <v>3.4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13341-2023</t>
        </is>
      </c>
      <c r="B804" s="1" t="n">
        <v>45005</v>
      </c>
      <c r="C804" s="1" t="n">
        <v>46012</v>
      </c>
      <c r="D804" t="inlineStr">
        <is>
          <t>VÄRMLANDS LÄN</t>
        </is>
      </c>
      <c r="E804" t="inlineStr">
        <is>
          <t>ARVIKA</t>
        </is>
      </c>
      <c r="G804" t="n">
        <v>3.4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38141-2025</t>
        </is>
      </c>
      <c r="B805" s="1" t="n">
        <v>45882</v>
      </c>
      <c r="C805" s="1" t="n">
        <v>46012</v>
      </c>
      <c r="D805" t="inlineStr">
        <is>
          <t>VÄRMLANDS LÄN</t>
        </is>
      </c>
      <c r="E805" t="inlineStr">
        <is>
          <t>ARVIKA</t>
        </is>
      </c>
      <c r="G805" t="n">
        <v>1.5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26090-2022</t>
        </is>
      </c>
      <c r="B806" s="1" t="n">
        <v>44734.76909722222</v>
      </c>
      <c r="C806" s="1" t="n">
        <v>46012</v>
      </c>
      <c r="D806" t="inlineStr">
        <is>
          <t>VÄRMLANDS LÄN</t>
        </is>
      </c>
      <c r="E806" t="inlineStr">
        <is>
          <t>ARVIKA</t>
        </is>
      </c>
      <c r="G806" t="n">
        <v>1.4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1257-2025</t>
        </is>
      </c>
      <c r="B807" s="1" t="n">
        <v>45667.47105324074</v>
      </c>
      <c r="C807" s="1" t="n">
        <v>46012</v>
      </c>
      <c r="D807" t="inlineStr">
        <is>
          <t>VÄRMLANDS LÄN</t>
        </is>
      </c>
      <c r="E807" t="inlineStr">
        <is>
          <t>ARVIKA</t>
        </is>
      </c>
      <c r="F807" t="inlineStr">
        <is>
          <t>Bergvik skog väst AB</t>
        </is>
      </c>
      <c r="G807" t="n">
        <v>2.6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49741-2025</t>
        </is>
      </c>
      <c r="B808" s="1" t="n">
        <v>45940.33380787037</v>
      </c>
      <c r="C808" s="1" t="n">
        <v>46012</v>
      </c>
      <c r="D808" t="inlineStr">
        <is>
          <t>VÄRMLANDS LÄN</t>
        </is>
      </c>
      <c r="E808" t="inlineStr">
        <is>
          <t>ARVIKA</t>
        </is>
      </c>
      <c r="F808" t="inlineStr">
        <is>
          <t>Bergvik skog väst AB</t>
        </is>
      </c>
      <c r="G808" t="n">
        <v>2.5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21851-2023</t>
        </is>
      </c>
      <c r="B809" s="1" t="n">
        <v>45068</v>
      </c>
      <c r="C809" s="1" t="n">
        <v>46012</v>
      </c>
      <c r="D809" t="inlineStr">
        <is>
          <t>VÄRMLANDS LÄN</t>
        </is>
      </c>
      <c r="E809" t="inlineStr">
        <is>
          <t>ARVIKA</t>
        </is>
      </c>
      <c r="G809" t="n">
        <v>1.5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58039-2025</t>
        </is>
      </c>
      <c r="B810" s="1" t="n">
        <v>45982.49550925926</v>
      </c>
      <c r="C810" s="1" t="n">
        <v>46012</v>
      </c>
      <c r="D810" t="inlineStr">
        <is>
          <t>VÄRMLANDS LÄN</t>
        </is>
      </c>
      <c r="E810" t="inlineStr">
        <is>
          <t>ARVIKA</t>
        </is>
      </c>
      <c r="G810" t="n">
        <v>1.8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57605-2025</t>
        </is>
      </c>
      <c r="B811" s="1" t="n">
        <v>45981.32600694444</v>
      </c>
      <c r="C811" s="1" t="n">
        <v>46012</v>
      </c>
      <c r="D811" t="inlineStr">
        <is>
          <t>VÄRMLANDS LÄN</t>
        </is>
      </c>
      <c r="E811" t="inlineStr">
        <is>
          <t>ARVIKA</t>
        </is>
      </c>
      <c r="G811" t="n">
        <v>0.9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32872-2023</t>
        </is>
      </c>
      <c r="B812" s="1" t="n">
        <v>45124</v>
      </c>
      <c r="C812" s="1" t="n">
        <v>46012</v>
      </c>
      <c r="D812" t="inlineStr">
        <is>
          <t>VÄRMLANDS LÄN</t>
        </is>
      </c>
      <c r="E812" t="inlineStr">
        <is>
          <t>ARVIKA</t>
        </is>
      </c>
      <c r="G812" t="n">
        <v>3.6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37853-2025</t>
        </is>
      </c>
      <c r="B813" s="1" t="n">
        <v>45881</v>
      </c>
      <c r="C813" s="1" t="n">
        <v>46012</v>
      </c>
      <c r="D813" t="inlineStr">
        <is>
          <t>VÄRMLANDS LÄN</t>
        </is>
      </c>
      <c r="E813" t="inlineStr">
        <is>
          <t>ARVIKA</t>
        </is>
      </c>
      <c r="F813" t="inlineStr">
        <is>
          <t>Bergvik skog väst AB</t>
        </is>
      </c>
      <c r="G813" t="n">
        <v>7.6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37838-2025</t>
        </is>
      </c>
      <c r="B814" s="1" t="n">
        <v>45881</v>
      </c>
      <c r="C814" s="1" t="n">
        <v>46012</v>
      </c>
      <c r="D814" t="inlineStr">
        <is>
          <t>VÄRMLANDS LÄN</t>
        </is>
      </c>
      <c r="E814" t="inlineStr">
        <is>
          <t>ARVIKA</t>
        </is>
      </c>
      <c r="F814" t="inlineStr">
        <is>
          <t>Bergvik skog väst AB</t>
        </is>
      </c>
      <c r="G814" t="n">
        <v>0.6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49735-2025</t>
        </is>
      </c>
      <c r="B815" s="1" t="n">
        <v>45940</v>
      </c>
      <c r="C815" s="1" t="n">
        <v>46012</v>
      </c>
      <c r="D815" t="inlineStr">
        <is>
          <t>VÄRMLANDS LÄN</t>
        </is>
      </c>
      <c r="E815" t="inlineStr">
        <is>
          <t>ARVIKA</t>
        </is>
      </c>
      <c r="F815" t="inlineStr">
        <is>
          <t>Bergvik skog väst AB</t>
        </is>
      </c>
      <c r="G815" t="n">
        <v>3.1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58135-2025</t>
        </is>
      </c>
      <c r="B816" s="1" t="n">
        <v>45982.6203125</v>
      </c>
      <c r="C816" s="1" t="n">
        <v>46012</v>
      </c>
      <c r="D816" t="inlineStr">
        <is>
          <t>VÄRMLANDS LÄN</t>
        </is>
      </c>
      <c r="E816" t="inlineStr">
        <is>
          <t>ARVIKA</t>
        </is>
      </c>
      <c r="G816" t="n">
        <v>0.7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37840-2025</t>
        </is>
      </c>
      <c r="B817" s="1" t="n">
        <v>45881</v>
      </c>
      <c r="C817" s="1" t="n">
        <v>46012</v>
      </c>
      <c r="D817" t="inlineStr">
        <is>
          <t>VÄRMLANDS LÄN</t>
        </is>
      </c>
      <c r="E817" t="inlineStr">
        <is>
          <t>ARVIKA</t>
        </is>
      </c>
      <c r="F817" t="inlineStr">
        <is>
          <t>Bergvik skog väst AB</t>
        </is>
      </c>
      <c r="G817" t="n">
        <v>1.1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38000-2025</t>
        </is>
      </c>
      <c r="B818" s="1" t="n">
        <v>45881.88496527778</v>
      </c>
      <c r="C818" s="1" t="n">
        <v>46012</v>
      </c>
      <c r="D818" t="inlineStr">
        <is>
          <t>VÄRMLANDS LÄN</t>
        </is>
      </c>
      <c r="E818" t="inlineStr">
        <is>
          <t>ARVIKA</t>
        </is>
      </c>
      <c r="G818" t="n">
        <v>1.5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32009-2022</t>
        </is>
      </c>
      <c r="B819" s="1" t="n">
        <v>44778</v>
      </c>
      <c r="C819" s="1" t="n">
        <v>46012</v>
      </c>
      <c r="D819" t="inlineStr">
        <is>
          <t>VÄRMLANDS LÄN</t>
        </is>
      </c>
      <c r="E819" t="inlineStr">
        <is>
          <t>ARVIKA</t>
        </is>
      </c>
      <c r="G819" t="n">
        <v>1.3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23358-2023</t>
        </is>
      </c>
      <c r="B820" s="1" t="n">
        <v>45076</v>
      </c>
      <c r="C820" s="1" t="n">
        <v>46012</v>
      </c>
      <c r="D820" t="inlineStr">
        <is>
          <t>VÄRMLANDS LÄN</t>
        </is>
      </c>
      <c r="E820" t="inlineStr">
        <is>
          <t>ARVIKA</t>
        </is>
      </c>
      <c r="G820" t="n">
        <v>0.7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57918-2025</t>
        </is>
      </c>
      <c r="B821" s="1" t="n">
        <v>45981.80090277778</v>
      </c>
      <c r="C821" s="1" t="n">
        <v>46012</v>
      </c>
      <c r="D821" t="inlineStr">
        <is>
          <t>VÄRMLANDS LÄN</t>
        </is>
      </c>
      <c r="E821" t="inlineStr">
        <is>
          <t>ARVIKA</t>
        </is>
      </c>
      <c r="G821" t="n">
        <v>1.7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38140-2025</t>
        </is>
      </c>
      <c r="B822" s="1" t="n">
        <v>45882.5735300926</v>
      </c>
      <c r="C822" s="1" t="n">
        <v>46012</v>
      </c>
      <c r="D822" t="inlineStr">
        <is>
          <t>VÄRMLANDS LÄN</t>
        </is>
      </c>
      <c r="E822" t="inlineStr">
        <is>
          <t>ARVIKA</t>
        </is>
      </c>
      <c r="G822" t="n">
        <v>1.4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719-2022</t>
        </is>
      </c>
      <c r="B823" s="1" t="n">
        <v>44568</v>
      </c>
      <c r="C823" s="1" t="n">
        <v>46012</v>
      </c>
      <c r="D823" t="inlineStr">
        <is>
          <t>VÄRMLANDS LÄN</t>
        </is>
      </c>
      <c r="E823" t="inlineStr">
        <is>
          <t>ARVIKA</t>
        </is>
      </c>
      <c r="G823" t="n">
        <v>7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49587-2025</t>
        </is>
      </c>
      <c r="B824" s="1" t="n">
        <v>45939.50821759259</v>
      </c>
      <c r="C824" s="1" t="n">
        <v>46012</v>
      </c>
      <c r="D824" t="inlineStr">
        <is>
          <t>VÄRMLANDS LÄN</t>
        </is>
      </c>
      <c r="E824" t="inlineStr">
        <is>
          <t>ARVIKA</t>
        </is>
      </c>
      <c r="G824" t="n">
        <v>3.7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46-2025</t>
        </is>
      </c>
      <c r="B825" s="1" t="n">
        <v>45659.36717592592</v>
      </c>
      <c r="C825" s="1" t="n">
        <v>46012</v>
      </c>
      <c r="D825" t="inlineStr">
        <is>
          <t>VÄRMLANDS LÄN</t>
        </is>
      </c>
      <c r="E825" t="inlineStr">
        <is>
          <t>ARVIKA</t>
        </is>
      </c>
      <c r="G825" t="n">
        <v>1.4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49738-2025</t>
        </is>
      </c>
      <c r="B826" s="1" t="n">
        <v>45940.33111111111</v>
      </c>
      <c r="C826" s="1" t="n">
        <v>46012</v>
      </c>
      <c r="D826" t="inlineStr">
        <is>
          <t>VÄRMLANDS LÄN</t>
        </is>
      </c>
      <c r="E826" t="inlineStr">
        <is>
          <t>ARVIKA</t>
        </is>
      </c>
      <c r="F826" t="inlineStr">
        <is>
          <t>Bergvik skog väst AB</t>
        </is>
      </c>
      <c r="G826" t="n">
        <v>3.8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23072-2022</t>
        </is>
      </c>
      <c r="B827" s="1" t="n">
        <v>44718</v>
      </c>
      <c r="C827" s="1" t="n">
        <v>46012</v>
      </c>
      <c r="D827" t="inlineStr">
        <is>
          <t>VÄRMLANDS LÄN</t>
        </is>
      </c>
      <c r="E827" t="inlineStr">
        <is>
          <t>ARVIKA</t>
        </is>
      </c>
      <c r="G827" t="n">
        <v>2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28411-2024</t>
        </is>
      </c>
      <c r="B828" s="1" t="n">
        <v>45477</v>
      </c>
      <c r="C828" s="1" t="n">
        <v>46012</v>
      </c>
      <c r="D828" t="inlineStr">
        <is>
          <t>VÄRMLANDS LÄN</t>
        </is>
      </c>
      <c r="E828" t="inlineStr">
        <is>
          <t>ARVIKA</t>
        </is>
      </c>
      <c r="F828" t="inlineStr">
        <is>
          <t>Bergvik skog väst AB</t>
        </is>
      </c>
      <c r="G828" t="n">
        <v>0.9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38549-2025</t>
        </is>
      </c>
      <c r="B829" s="1" t="n">
        <v>45884.4390625</v>
      </c>
      <c r="C829" s="1" t="n">
        <v>46012</v>
      </c>
      <c r="D829" t="inlineStr">
        <is>
          <t>VÄRMLANDS LÄN</t>
        </is>
      </c>
      <c r="E829" t="inlineStr">
        <is>
          <t>ARVIKA</t>
        </is>
      </c>
      <c r="G829" t="n">
        <v>1.2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38554-2025</t>
        </is>
      </c>
      <c r="B830" s="1" t="n">
        <v>45884.44082175926</v>
      </c>
      <c r="C830" s="1" t="n">
        <v>46012</v>
      </c>
      <c r="D830" t="inlineStr">
        <is>
          <t>VÄRMLANDS LÄN</t>
        </is>
      </c>
      <c r="E830" t="inlineStr">
        <is>
          <t>ARVIKA</t>
        </is>
      </c>
      <c r="G830" t="n">
        <v>0.6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57952-2025</t>
        </is>
      </c>
      <c r="B831" s="1" t="n">
        <v>45982</v>
      </c>
      <c r="C831" s="1" t="n">
        <v>46012</v>
      </c>
      <c r="D831" t="inlineStr">
        <is>
          <t>VÄRMLANDS LÄN</t>
        </is>
      </c>
      <c r="E831" t="inlineStr">
        <is>
          <t>ARVIKA</t>
        </is>
      </c>
      <c r="G831" t="n">
        <v>2.5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38687-2025</t>
        </is>
      </c>
      <c r="B832" s="1" t="n">
        <v>45884.65751157407</v>
      </c>
      <c r="C832" s="1" t="n">
        <v>46012</v>
      </c>
      <c r="D832" t="inlineStr">
        <is>
          <t>VÄRMLANDS LÄN</t>
        </is>
      </c>
      <c r="E832" t="inlineStr">
        <is>
          <t>ARVIKA</t>
        </is>
      </c>
      <c r="G832" t="n">
        <v>0.9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69354-2021</t>
        </is>
      </c>
      <c r="B833" s="1" t="n">
        <v>44531</v>
      </c>
      <c r="C833" s="1" t="n">
        <v>46012</v>
      </c>
      <c r="D833" t="inlineStr">
        <is>
          <t>VÄRMLANDS LÄN</t>
        </is>
      </c>
      <c r="E833" t="inlineStr">
        <is>
          <t>ARVIKA</t>
        </is>
      </c>
      <c r="F833" t="inlineStr">
        <is>
          <t>Bergvik skog väst AB</t>
        </is>
      </c>
      <c r="G833" t="n">
        <v>2.2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57609-2025</t>
        </is>
      </c>
      <c r="B834" s="1" t="n">
        <v>45981.33861111111</v>
      </c>
      <c r="C834" s="1" t="n">
        <v>46012</v>
      </c>
      <c r="D834" t="inlineStr">
        <is>
          <t>VÄRMLANDS LÄN</t>
        </is>
      </c>
      <c r="E834" t="inlineStr">
        <is>
          <t>ARVIKA</t>
        </is>
      </c>
      <c r="G834" t="n">
        <v>1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38674-2025</t>
        </is>
      </c>
      <c r="B835" s="1" t="n">
        <v>45884</v>
      </c>
      <c r="C835" s="1" t="n">
        <v>46012</v>
      </c>
      <c r="D835" t="inlineStr">
        <is>
          <t>VÄRMLANDS LÄN</t>
        </is>
      </c>
      <c r="E835" t="inlineStr">
        <is>
          <t>ARVIKA</t>
        </is>
      </c>
      <c r="G835" t="n">
        <v>0.6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26993-2025</t>
        </is>
      </c>
      <c r="B836" s="1" t="n">
        <v>45811</v>
      </c>
      <c r="C836" s="1" t="n">
        <v>46012</v>
      </c>
      <c r="D836" t="inlineStr">
        <is>
          <t>VÄRMLANDS LÄN</t>
        </is>
      </c>
      <c r="E836" t="inlineStr">
        <is>
          <t>ARVIKA</t>
        </is>
      </c>
      <c r="G836" t="n">
        <v>1.9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49296-2025</t>
        </is>
      </c>
      <c r="B837" s="1" t="n">
        <v>45938</v>
      </c>
      <c r="C837" s="1" t="n">
        <v>46012</v>
      </c>
      <c r="D837" t="inlineStr">
        <is>
          <t>VÄRMLANDS LÄN</t>
        </is>
      </c>
      <c r="E837" t="inlineStr">
        <is>
          <t>ARVIKA</t>
        </is>
      </c>
      <c r="G837" t="n">
        <v>1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55544-2025</t>
        </is>
      </c>
      <c r="B838" s="1" t="n">
        <v>45971</v>
      </c>
      <c r="C838" s="1" t="n">
        <v>46012</v>
      </c>
      <c r="D838" t="inlineStr">
        <is>
          <t>VÄRMLANDS LÄN</t>
        </is>
      </c>
      <c r="E838" t="inlineStr">
        <is>
          <t>ARVIKA</t>
        </is>
      </c>
      <c r="F838" t="inlineStr">
        <is>
          <t>Bergvik skog väst AB</t>
        </is>
      </c>
      <c r="G838" t="n">
        <v>2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46167-2025</t>
        </is>
      </c>
      <c r="B839" s="1" t="n">
        <v>45924</v>
      </c>
      <c r="C839" s="1" t="n">
        <v>46012</v>
      </c>
      <c r="D839" t="inlineStr">
        <is>
          <t>VÄRMLANDS LÄN</t>
        </is>
      </c>
      <c r="E839" t="inlineStr">
        <is>
          <t>ARVIKA</t>
        </is>
      </c>
      <c r="G839" t="n">
        <v>2.6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44005-2023</t>
        </is>
      </c>
      <c r="B840" s="1" t="n">
        <v>45188.30975694444</v>
      </c>
      <c r="C840" s="1" t="n">
        <v>46012</v>
      </c>
      <c r="D840" t="inlineStr">
        <is>
          <t>VÄRMLANDS LÄN</t>
        </is>
      </c>
      <c r="E840" t="inlineStr">
        <is>
          <t>ARVIKA</t>
        </is>
      </c>
      <c r="G840" t="n">
        <v>6.6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61866-2024</t>
        </is>
      </c>
      <c r="B841" s="1" t="n">
        <v>45651</v>
      </c>
      <c r="C841" s="1" t="n">
        <v>46012</v>
      </c>
      <c r="D841" t="inlineStr">
        <is>
          <t>VÄRMLANDS LÄN</t>
        </is>
      </c>
      <c r="E841" t="inlineStr">
        <is>
          <t>ARVIKA</t>
        </is>
      </c>
      <c r="G841" t="n">
        <v>2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24929-2023</t>
        </is>
      </c>
      <c r="B842" s="1" t="n">
        <v>45085.51541666667</v>
      </c>
      <c r="C842" s="1" t="n">
        <v>46012</v>
      </c>
      <c r="D842" t="inlineStr">
        <is>
          <t>VÄRMLANDS LÄN</t>
        </is>
      </c>
      <c r="E842" t="inlineStr">
        <is>
          <t>ARVIKA</t>
        </is>
      </c>
      <c r="G842" t="n">
        <v>0.9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46687-2023</t>
        </is>
      </c>
      <c r="B843" s="1" t="n">
        <v>45198</v>
      </c>
      <c r="C843" s="1" t="n">
        <v>46012</v>
      </c>
      <c r="D843" t="inlineStr">
        <is>
          <t>VÄRMLANDS LÄN</t>
        </is>
      </c>
      <c r="E843" t="inlineStr">
        <is>
          <t>ARVIKA</t>
        </is>
      </c>
      <c r="G843" t="n">
        <v>14.9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375-2023</t>
        </is>
      </c>
      <c r="B844" s="1" t="n">
        <v>44922</v>
      </c>
      <c r="C844" s="1" t="n">
        <v>46012</v>
      </c>
      <c r="D844" t="inlineStr">
        <is>
          <t>VÄRMLANDS LÄN</t>
        </is>
      </c>
      <c r="E844" t="inlineStr">
        <is>
          <t>ARVIKA</t>
        </is>
      </c>
      <c r="G844" t="n">
        <v>1.4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50247-2025</t>
        </is>
      </c>
      <c r="B845" s="1" t="n">
        <v>45944.30931712963</v>
      </c>
      <c r="C845" s="1" t="n">
        <v>46012</v>
      </c>
      <c r="D845" t="inlineStr">
        <is>
          <t>VÄRMLANDS LÄN</t>
        </is>
      </c>
      <c r="E845" t="inlineStr">
        <is>
          <t>ARVIKA</t>
        </is>
      </c>
      <c r="F845" t="inlineStr">
        <is>
          <t>Bergvik skog väst AB</t>
        </is>
      </c>
      <c r="G845" t="n">
        <v>1.3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42314-2021</t>
        </is>
      </c>
      <c r="B846" s="1" t="n">
        <v>44427</v>
      </c>
      <c r="C846" s="1" t="n">
        <v>46012</v>
      </c>
      <c r="D846" t="inlineStr">
        <is>
          <t>VÄRMLANDS LÄN</t>
        </is>
      </c>
      <c r="E846" t="inlineStr">
        <is>
          <t>ARVIKA</t>
        </is>
      </c>
      <c r="G846" t="n">
        <v>3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61864-2024</t>
        </is>
      </c>
      <c r="B847" s="1" t="n">
        <v>45650</v>
      </c>
      <c r="C847" s="1" t="n">
        <v>46012</v>
      </c>
      <c r="D847" t="inlineStr">
        <is>
          <t>VÄRMLANDS LÄN</t>
        </is>
      </c>
      <c r="E847" t="inlineStr">
        <is>
          <t>ARVIKA</t>
        </is>
      </c>
      <c r="G847" t="n">
        <v>13.3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3613-2025</t>
        </is>
      </c>
      <c r="B848" s="1" t="n">
        <v>45681.36193287037</v>
      </c>
      <c r="C848" s="1" t="n">
        <v>46012</v>
      </c>
      <c r="D848" t="inlineStr">
        <is>
          <t>VÄRMLANDS LÄN</t>
        </is>
      </c>
      <c r="E848" t="inlineStr">
        <is>
          <t>ARVIKA</t>
        </is>
      </c>
      <c r="G848" t="n">
        <v>0.5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62600-2022</t>
        </is>
      </c>
      <c r="B849" s="1" t="n">
        <v>44917</v>
      </c>
      <c r="C849" s="1" t="n">
        <v>46012</v>
      </c>
      <c r="D849" t="inlineStr">
        <is>
          <t>VÄRMLANDS LÄN</t>
        </is>
      </c>
      <c r="E849" t="inlineStr">
        <is>
          <t>ARVIKA</t>
        </is>
      </c>
      <c r="G849" t="n">
        <v>2.1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32176-2022</t>
        </is>
      </c>
      <c r="B850" s="1" t="n">
        <v>44780</v>
      </c>
      <c r="C850" s="1" t="n">
        <v>46012</v>
      </c>
      <c r="D850" t="inlineStr">
        <is>
          <t>VÄRMLANDS LÄN</t>
        </is>
      </c>
      <c r="E850" t="inlineStr">
        <is>
          <t>ARVIKA</t>
        </is>
      </c>
      <c r="G850" t="n">
        <v>1.9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25400-2023</t>
        </is>
      </c>
      <c r="B851" s="1" t="n">
        <v>45089.36403935185</v>
      </c>
      <c r="C851" s="1" t="n">
        <v>46012</v>
      </c>
      <c r="D851" t="inlineStr">
        <is>
          <t>VÄRMLANDS LÄN</t>
        </is>
      </c>
      <c r="E851" t="inlineStr">
        <is>
          <t>ARVIKA</t>
        </is>
      </c>
      <c r="G851" t="n">
        <v>1.7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4299-2022</t>
        </is>
      </c>
      <c r="B852" s="1" t="n">
        <v>44588.76162037037</v>
      </c>
      <c r="C852" s="1" t="n">
        <v>46012</v>
      </c>
      <c r="D852" t="inlineStr">
        <is>
          <t>VÄRMLANDS LÄN</t>
        </is>
      </c>
      <c r="E852" t="inlineStr">
        <is>
          <t>ARVIKA</t>
        </is>
      </c>
      <c r="G852" t="n">
        <v>2.4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59172-2025</t>
        </is>
      </c>
      <c r="B853" s="1" t="n">
        <v>45988.56655092593</v>
      </c>
      <c r="C853" s="1" t="n">
        <v>46012</v>
      </c>
      <c r="D853" t="inlineStr">
        <is>
          <t>VÄRMLANDS LÄN</t>
        </is>
      </c>
      <c r="E853" t="inlineStr">
        <is>
          <t>ARVIKA</t>
        </is>
      </c>
      <c r="G853" t="n">
        <v>1.9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50451-2025</t>
        </is>
      </c>
      <c r="B854" s="1" t="n">
        <v>45945</v>
      </c>
      <c r="C854" s="1" t="n">
        <v>46012</v>
      </c>
      <c r="D854" t="inlineStr">
        <is>
          <t>VÄRMLANDS LÄN</t>
        </is>
      </c>
      <c r="E854" t="inlineStr">
        <is>
          <t>ARVIKA</t>
        </is>
      </c>
      <c r="F854" t="inlineStr">
        <is>
          <t>Bergvik skog väst AB</t>
        </is>
      </c>
      <c r="G854" t="n">
        <v>3.4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59088-2025</t>
        </is>
      </c>
      <c r="B855" s="1" t="n">
        <v>45988.44495370371</v>
      </c>
      <c r="C855" s="1" t="n">
        <v>46012</v>
      </c>
      <c r="D855" t="inlineStr">
        <is>
          <t>VÄRMLANDS LÄN</t>
        </is>
      </c>
      <c r="E855" t="inlineStr">
        <is>
          <t>ARVIKA</t>
        </is>
      </c>
      <c r="G855" t="n">
        <v>0.6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59195-2025</t>
        </is>
      </c>
      <c r="B856" s="1" t="n">
        <v>45988.59677083333</v>
      </c>
      <c r="C856" s="1" t="n">
        <v>46012</v>
      </c>
      <c r="D856" t="inlineStr">
        <is>
          <t>VÄRMLANDS LÄN</t>
        </is>
      </c>
      <c r="E856" t="inlineStr">
        <is>
          <t>ARVIKA</t>
        </is>
      </c>
      <c r="G856" t="n">
        <v>3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59082-2025</t>
        </is>
      </c>
      <c r="B857" s="1" t="n">
        <v>45988.43575231481</v>
      </c>
      <c r="C857" s="1" t="n">
        <v>46012</v>
      </c>
      <c r="D857" t="inlineStr">
        <is>
          <t>VÄRMLANDS LÄN</t>
        </is>
      </c>
      <c r="E857" t="inlineStr">
        <is>
          <t>ARVIKA</t>
        </is>
      </c>
      <c r="G857" t="n">
        <v>2.3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4238-2025</t>
        </is>
      </c>
      <c r="B858" s="1" t="n">
        <v>45685</v>
      </c>
      <c r="C858" s="1" t="n">
        <v>46012</v>
      </c>
      <c r="D858" t="inlineStr">
        <is>
          <t>VÄRMLANDS LÄN</t>
        </is>
      </c>
      <c r="E858" t="inlineStr">
        <is>
          <t>ARVIKA</t>
        </is>
      </c>
      <c r="G858" t="n">
        <v>4.6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59287-2025</t>
        </is>
      </c>
      <c r="B859" s="1" t="n">
        <v>45988.74680555556</v>
      </c>
      <c r="C859" s="1" t="n">
        <v>46012</v>
      </c>
      <c r="D859" t="inlineStr">
        <is>
          <t>VÄRMLANDS LÄN</t>
        </is>
      </c>
      <c r="E859" t="inlineStr">
        <is>
          <t>ARVIKA</t>
        </is>
      </c>
      <c r="G859" t="n">
        <v>0.8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50857-2025</t>
        </is>
      </c>
      <c r="B860" s="1" t="n">
        <v>45946.59074074074</v>
      </c>
      <c r="C860" s="1" t="n">
        <v>46012</v>
      </c>
      <c r="D860" t="inlineStr">
        <is>
          <t>VÄRMLANDS LÄN</t>
        </is>
      </c>
      <c r="E860" t="inlineStr">
        <is>
          <t>ARVIKA</t>
        </is>
      </c>
      <c r="G860" t="n">
        <v>0.8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59282-2025</t>
        </is>
      </c>
      <c r="B861" s="1" t="n">
        <v>45988.726875</v>
      </c>
      <c r="C861" s="1" t="n">
        <v>46012</v>
      </c>
      <c r="D861" t="inlineStr">
        <is>
          <t>VÄRMLANDS LÄN</t>
        </is>
      </c>
      <c r="E861" t="inlineStr">
        <is>
          <t>ARVIKA</t>
        </is>
      </c>
      <c r="G861" t="n">
        <v>0.9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6478-2021</t>
        </is>
      </c>
      <c r="B862" s="1" t="n">
        <v>44235</v>
      </c>
      <c r="C862" s="1" t="n">
        <v>46012</v>
      </c>
      <c r="D862" t="inlineStr">
        <is>
          <t>VÄRMLANDS LÄN</t>
        </is>
      </c>
      <c r="E862" t="inlineStr">
        <is>
          <t>ARVIKA</t>
        </is>
      </c>
      <c r="G862" t="n">
        <v>0.4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50441-2025</t>
        </is>
      </c>
      <c r="B863" s="1" t="n">
        <v>45944.82958333333</v>
      </c>
      <c r="C863" s="1" t="n">
        <v>46012</v>
      </c>
      <c r="D863" t="inlineStr">
        <is>
          <t>VÄRMLANDS LÄN</t>
        </is>
      </c>
      <c r="E863" t="inlineStr">
        <is>
          <t>ARVIKA</t>
        </is>
      </c>
      <c r="G863" t="n">
        <v>0.8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59166-2025</t>
        </is>
      </c>
      <c r="B864" s="1" t="n">
        <v>45988.55993055556</v>
      </c>
      <c r="C864" s="1" t="n">
        <v>46012</v>
      </c>
      <c r="D864" t="inlineStr">
        <is>
          <t>VÄRMLANDS LÄN</t>
        </is>
      </c>
      <c r="E864" t="inlineStr">
        <is>
          <t>ARVIKA</t>
        </is>
      </c>
      <c r="G864" t="n">
        <v>0.6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15878-2025</t>
        </is>
      </c>
      <c r="B865" s="1" t="n">
        <v>45749.38857638889</v>
      </c>
      <c r="C865" s="1" t="n">
        <v>46012</v>
      </c>
      <c r="D865" t="inlineStr">
        <is>
          <t>VÄRMLANDS LÄN</t>
        </is>
      </c>
      <c r="E865" t="inlineStr">
        <is>
          <t>ARVIKA</t>
        </is>
      </c>
      <c r="G865" t="n">
        <v>1.8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56714-2022</t>
        </is>
      </c>
      <c r="B866" s="1" t="n">
        <v>44893.86241898148</v>
      </c>
      <c r="C866" s="1" t="n">
        <v>46012</v>
      </c>
      <c r="D866" t="inlineStr">
        <is>
          <t>VÄRMLANDS LÄN</t>
        </is>
      </c>
      <c r="E866" t="inlineStr">
        <is>
          <t>ARVIKA</t>
        </is>
      </c>
      <c r="G866" t="n">
        <v>4.1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14626-2025</t>
        </is>
      </c>
      <c r="B867" s="1" t="n">
        <v>45742.42351851852</v>
      </c>
      <c r="C867" s="1" t="n">
        <v>46012</v>
      </c>
      <c r="D867" t="inlineStr">
        <is>
          <t>VÄRMLANDS LÄN</t>
        </is>
      </c>
      <c r="E867" t="inlineStr">
        <is>
          <t>ARVIKA</t>
        </is>
      </c>
      <c r="G867" t="n">
        <v>14.9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19586-2025</t>
        </is>
      </c>
      <c r="B868" s="1" t="n">
        <v>45770.5678587963</v>
      </c>
      <c r="C868" s="1" t="n">
        <v>46012</v>
      </c>
      <c r="D868" t="inlineStr">
        <is>
          <t>VÄRMLANDS LÄN</t>
        </is>
      </c>
      <c r="E868" t="inlineStr">
        <is>
          <t>ARVIKA</t>
        </is>
      </c>
      <c r="G868" t="n">
        <v>4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19591-2025</t>
        </is>
      </c>
      <c r="B869" s="1" t="n">
        <v>45770.57542824074</v>
      </c>
      <c r="C869" s="1" t="n">
        <v>46012</v>
      </c>
      <c r="D869" t="inlineStr">
        <is>
          <t>VÄRMLANDS LÄN</t>
        </is>
      </c>
      <c r="E869" t="inlineStr">
        <is>
          <t>ARVIKA</t>
        </is>
      </c>
      <c r="G869" t="n">
        <v>2.4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51364-2025</t>
        </is>
      </c>
      <c r="B870" s="1" t="n">
        <v>45950</v>
      </c>
      <c r="C870" s="1" t="n">
        <v>46012</v>
      </c>
      <c r="D870" t="inlineStr">
        <is>
          <t>VÄRMLANDS LÄN</t>
        </is>
      </c>
      <c r="E870" t="inlineStr">
        <is>
          <t>ARVIKA</t>
        </is>
      </c>
      <c r="F870" t="inlineStr">
        <is>
          <t>Bergvik skog väst AB</t>
        </is>
      </c>
      <c r="G870" t="n">
        <v>6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15755-2025</t>
        </is>
      </c>
      <c r="B871" s="1" t="n">
        <v>45748</v>
      </c>
      <c r="C871" s="1" t="n">
        <v>46012</v>
      </c>
      <c r="D871" t="inlineStr">
        <is>
          <t>VÄRMLANDS LÄN</t>
        </is>
      </c>
      <c r="E871" t="inlineStr">
        <is>
          <t>ARVIKA</t>
        </is>
      </c>
      <c r="F871" t="inlineStr">
        <is>
          <t>Bergvik skog väst AB</t>
        </is>
      </c>
      <c r="G871" t="n">
        <v>9.5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  <c r="U871">
        <f>HYPERLINK("https://klasma.github.io/Logging_1784/knärot/A 15755-2025 karta knärot.png", "A 15755-2025")</f>
        <v/>
      </c>
      <c r="V871">
        <f>HYPERLINK("https://klasma.github.io/Logging_1784/klagomål/A 15755-2025 FSC-klagomål.docx", "A 15755-2025")</f>
        <v/>
      </c>
      <c r="W871">
        <f>HYPERLINK("https://klasma.github.io/Logging_1784/klagomålsmail/A 15755-2025 FSC-klagomål mail.docx", "A 15755-2025")</f>
        <v/>
      </c>
      <c r="X871">
        <f>HYPERLINK("https://klasma.github.io/Logging_1784/tillsyn/A 15755-2025 tillsynsbegäran.docx", "A 15755-2025")</f>
        <v/>
      </c>
      <c r="Y871">
        <f>HYPERLINK("https://klasma.github.io/Logging_1784/tillsynsmail/A 15755-2025 tillsynsbegäran mail.docx", "A 15755-2025")</f>
        <v/>
      </c>
    </row>
    <row r="872" ht="15" customHeight="1">
      <c r="A872" t="inlineStr">
        <is>
          <t>A 20319-2025</t>
        </is>
      </c>
      <c r="B872" s="1" t="n">
        <v>45775</v>
      </c>
      <c r="C872" s="1" t="n">
        <v>46012</v>
      </c>
      <c r="D872" t="inlineStr">
        <is>
          <t>VÄRMLANDS LÄN</t>
        </is>
      </c>
      <c r="E872" t="inlineStr">
        <is>
          <t>ARVIKA</t>
        </is>
      </c>
      <c r="F872" t="inlineStr">
        <is>
          <t>Bergvik skog väst AB</t>
        </is>
      </c>
      <c r="G872" t="n">
        <v>2.9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50975-2025</t>
        </is>
      </c>
      <c r="B873" s="1" t="n">
        <v>45947.31748842593</v>
      </c>
      <c r="C873" s="1" t="n">
        <v>46012</v>
      </c>
      <c r="D873" t="inlineStr">
        <is>
          <t>VÄRMLANDS LÄN</t>
        </is>
      </c>
      <c r="E873" t="inlineStr">
        <is>
          <t>ARVIKA</t>
        </is>
      </c>
      <c r="G873" t="n">
        <v>1.2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50967-2025</t>
        </is>
      </c>
      <c r="B874" s="1" t="n">
        <v>45947.25027777778</v>
      </c>
      <c r="C874" s="1" t="n">
        <v>46012</v>
      </c>
      <c r="D874" t="inlineStr">
        <is>
          <t>VÄRMLANDS LÄN</t>
        </is>
      </c>
      <c r="E874" t="inlineStr">
        <is>
          <t>ARVIKA</t>
        </is>
      </c>
      <c r="F874" t="inlineStr">
        <is>
          <t>Bergvik skog väst AB</t>
        </is>
      </c>
      <c r="G874" t="n">
        <v>2.5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310-2025</t>
        </is>
      </c>
      <c r="B875" s="1" t="n">
        <v>45660</v>
      </c>
      <c r="C875" s="1" t="n">
        <v>46012</v>
      </c>
      <c r="D875" t="inlineStr">
        <is>
          <t>VÄRMLANDS LÄN</t>
        </is>
      </c>
      <c r="E875" t="inlineStr">
        <is>
          <t>ARVIKA</t>
        </is>
      </c>
      <c r="G875" t="n">
        <v>1.9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51358-2025</t>
        </is>
      </c>
      <c r="B876" s="1" t="n">
        <v>45950</v>
      </c>
      <c r="C876" s="1" t="n">
        <v>46012</v>
      </c>
      <c r="D876" t="inlineStr">
        <is>
          <t>VÄRMLANDS LÄN</t>
        </is>
      </c>
      <c r="E876" t="inlineStr">
        <is>
          <t>ARVIKA</t>
        </is>
      </c>
      <c r="F876" t="inlineStr">
        <is>
          <t>Bergvik skog väst AB</t>
        </is>
      </c>
      <c r="G876" t="n">
        <v>1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29299-2024</t>
        </is>
      </c>
      <c r="B877" s="1" t="n">
        <v>45483</v>
      </c>
      <c r="C877" s="1" t="n">
        <v>46012</v>
      </c>
      <c r="D877" t="inlineStr">
        <is>
          <t>VÄRMLANDS LÄN</t>
        </is>
      </c>
      <c r="E877" t="inlineStr">
        <is>
          <t>ARVIKA</t>
        </is>
      </c>
      <c r="G877" t="n">
        <v>2.3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29301-2024</t>
        </is>
      </c>
      <c r="B878" s="1" t="n">
        <v>45483</v>
      </c>
      <c r="C878" s="1" t="n">
        <v>46012</v>
      </c>
      <c r="D878" t="inlineStr">
        <is>
          <t>VÄRMLANDS LÄN</t>
        </is>
      </c>
      <c r="E878" t="inlineStr">
        <is>
          <t>ARVIKA</t>
        </is>
      </c>
      <c r="G878" t="n">
        <v>2.4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27329-2021</t>
        </is>
      </c>
      <c r="B879" s="1" t="n">
        <v>44351</v>
      </c>
      <c r="C879" s="1" t="n">
        <v>46012</v>
      </c>
      <c r="D879" t="inlineStr">
        <is>
          <t>VÄRMLANDS LÄN</t>
        </is>
      </c>
      <c r="E879" t="inlineStr">
        <is>
          <t>ARVIKA</t>
        </is>
      </c>
      <c r="G879" t="n">
        <v>0.8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50969-2025</t>
        </is>
      </c>
      <c r="B880" s="1" t="n">
        <v>45947.2847337963</v>
      </c>
      <c r="C880" s="1" t="n">
        <v>46012</v>
      </c>
      <c r="D880" t="inlineStr">
        <is>
          <t>VÄRMLANDS LÄN</t>
        </is>
      </c>
      <c r="E880" t="inlineStr">
        <is>
          <t>ARVIKA</t>
        </is>
      </c>
      <c r="F880" t="inlineStr">
        <is>
          <t>Bergvik skog väst AB</t>
        </is>
      </c>
      <c r="G880" t="n">
        <v>6.7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8633-2025</t>
        </is>
      </c>
      <c r="B881" s="1" t="n">
        <v>45711.74731481481</v>
      </c>
      <c r="C881" s="1" t="n">
        <v>46012</v>
      </c>
      <c r="D881" t="inlineStr">
        <is>
          <t>VÄRMLANDS LÄN</t>
        </is>
      </c>
      <c r="E881" t="inlineStr">
        <is>
          <t>ARVIKA</t>
        </is>
      </c>
      <c r="F881" t="inlineStr">
        <is>
          <t>Bergvik skog väst AB</t>
        </is>
      </c>
      <c r="G881" t="n">
        <v>1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55486-2025</t>
        </is>
      </c>
      <c r="B882" s="1" t="n">
        <v>45971</v>
      </c>
      <c r="C882" s="1" t="n">
        <v>46012</v>
      </c>
      <c r="D882" t="inlineStr">
        <is>
          <t>VÄRMLANDS LÄN</t>
        </is>
      </c>
      <c r="E882" t="inlineStr">
        <is>
          <t>ARVIKA</t>
        </is>
      </c>
      <c r="F882" t="inlineStr">
        <is>
          <t>Bergvik skog väst AB</t>
        </is>
      </c>
      <c r="G882" t="n">
        <v>6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59102-2025</t>
        </is>
      </c>
      <c r="B883" s="1" t="n">
        <v>45988</v>
      </c>
      <c r="C883" s="1" t="n">
        <v>46012</v>
      </c>
      <c r="D883" t="inlineStr">
        <is>
          <t>VÄRMLANDS LÄN</t>
        </is>
      </c>
      <c r="E883" t="inlineStr">
        <is>
          <t>ARVIKA</t>
        </is>
      </c>
      <c r="G883" t="n">
        <v>9.800000000000001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20020-2025</t>
        </is>
      </c>
      <c r="B884" s="1" t="n">
        <v>45772</v>
      </c>
      <c r="C884" s="1" t="n">
        <v>46012</v>
      </c>
      <c r="D884" t="inlineStr">
        <is>
          <t>VÄRMLANDS LÄN</t>
        </is>
      </c>
      <c r="E884" t="inlineStr">
        <is>
          <t>ARVIKA</t>
        </is>
      </c>
      <c r="F884" t="inlineStr">
        <is>
          <t>Bergvik skog väst AB</t>
        </is>
      </c>
      <c r="G884" t="n">
        <v>1.2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51278-2025</t>
        </is>
      </c>
      <c r="B885" s="1" t="n">
        <v>45950.24048611111</v>
      </c>
      <c r="C885" s="1" t="n">
        <v>46012</v>
      </c>
      <c r="D885" t="inlineStr">
        <is>
          <t>VÄRMLANDS LÄN</t>
        </is>
      </c>
      <c r="E885" t="inlineStr">
        <is>
          <t>ARVIKA</t>
        </is>
      </c>
      <c r="F885" t="inlineStr">
        <is>
          <t>Bergvik skog väst AB</t>
        </is>
      </c>
      <c r="G885" t="n">
        <v>1.1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51017-2025</t>
        </is>
      </c>
      <c r="B886" s="1" t="n">
        <v>45947.38442129629</v>
      </c>
      <c r="C886" s="1" t="n">
        <v>46012</v>
      </c>
      <c r="D886" t="inlineStr">
        <is>
          <t>VÄRMLANDS LÄN</t>
        </is>
      </c>
      <c r="E886" t="inlineStr">
        <is>
          <t>ARVIKA</t>
        </is>
      </c>
      <c r="G886" t="n">
        <v>3.4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12531-2025</t>
        </is>
      </c>
      <c r="B887" s="1" t="n">
        <v>45730.69025462963</v>
      </c>
      <c r="C887" s="1" t="n">
        <v>46012</v>
      </c>
      <c r="D887" t="inlineStr">
        <is>
          <t>VÄRMLANDS LÄN</t>
        </is>
      </c>
      <c r="E887" t="inlineStr">
        <is>
          <t>ARVIKA</t>
        </is>
      </c>
      <c r="F887" t="inlineStr">
        <is>
          <t>Bergvik skog väst AB</t>
        </is>
      </c>
      <c r="G887" t="n">
        <v>2.5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35288-2021</t>
        </is>
      </c>
      <c r="B888" s="1" t="n">
        <v>44383</v>
      </c>
      <c r="C888" s="1" t="n">
        <v>46012</v>
      </c>
      <c r="D888" t="inlineStr">
        <is>
          <t>VÄRMLANDS LÄN</t>
        </is>
      </c>
      <c r="E888" t="inlineStr">
        <is>
          <t>ARVIKA</t>
        </is>
      </c>
      <c r="G888" t="n">
        <v>1.6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51595-2025</t>
        </is>
      </c>
      <c r="B889" s="1" t="n">
        <v>45951.36814814815</v>
      </c>
      <c r="C889" s="1" t="n">
        <v>46012</v>
      </c>
      <c r="D889" t="inlineStr">
        <is>
          <t>VÄRMLANDS LÄN</t>
        </is>
      </c>
      <c r="E889" t="inlineStr">
        <is>
          <t>ARVIKA</t>
        </is>
      </c>
      <c r="G889" t="n">
        <v>1.8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18238-2025</t>
        </is>
      </c>
      <c r="B890" s="1" t="n">
        <v>45761.98936342593</v>
      </c>
      <c r="C890" s="1" t="n">
        <v>46012</v>
      </c>
      <c r="D890" t="inlineStr">
        <is>
          <t>VÄRMLANDS LÄN</t>
        </is>
      </c>
      <c r="E890" t="inlineStr">
        <is>
          <t>ARVIKA</t>
        </is>
      </c>
      <c r="G890" t="n">
        <v>2.6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51781-2025</t>
        </is>
      </c>
      <c r="B891" s="1" t="n">
        <v>45951.65829861111</v>
      </c>
      <c r="C891" s="1" t="n">
        <v>46012</v>
      </c>
      <c r="D891" t="inlineStr">
        <is>
          <t>VÄRMLANDS LÄN</t>
        </is>
      </c>
      <c r="E891" t="inlineStr">
        <is>
          <t>ARVIKA</t>
        </is>
      </c>
      <c r="G891" t="n">
        <v>0.7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56561-2025</t>
        </is>
      </c>
      <c r="B892" s="1" t="n">
        <v>45975</v>
      </c>
      <c r="C892" s="1" t="n">
        <v>46012</v>
      </c>
      <c r="D892" t="inlineStr">
        <is>
          <t>VÄRMLANDS LÄN</t>
        </is>
      </c>
      <c r="E892" t="inlineStr">
        <is>
          <t>ARVIKA</t>
        </is>
      </c>
      <c r="G892" t="n">
        <v>1.9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50380-2025</t>
        </is>
      </c>
      <c r="B893" s="1" t="n">
        <v>45944</v>
      </c>
      <c r="C893" s="1" t="n">
        <v>46012</v>
      </c>
      <c r="D893" t="inlineStr">
        <is>
          <t>VÄRMLANDS LÄN</t>
        </is>
      </c>
      <c r="E893" t="inlineStr">
        <is>
          <t>ARVIKA</t>
        </is>
      </c>
      <c r="G893" t="n">
        <v>2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51075-2025</t>
        </is>
      </c>
      <c r="B894" s="1" t="n">
        <v>45946</v>
      </c>
      <c r="C894" s="1" t="n">
        <v>46012</v>
      </c>
      <c r="D894" t="inlineStr">
        <is>
          <t>VÄRMLANDS LÄN</t>
        </is>
      </c>
      <c r="E894" t="inlineStr">
        <is>
          <t>ARVIKA</t>
        </is>
      </c>
      <c r="G894" t="n">
        <v>2.3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20498-2025</t>
        </is>
      </c>
      <c r="B895" s="1" t="n">
        <v>45775.57571759259</v>
      </c>
      <c r="C895" s="1" t="n">
        <v>46012</v>
      </c>
      <c r="D895" t="inlineStr">
        <is>
          <t>VÄRMLANDS LÄN</t>
        </is>
      </c>
      <c r="E895" t="inlineStr">
        <is>
          <t>ARVIKA</t>
        </is>
      </c>
      <c r="F895" t="inlineStr">
        <is>
          <t>Bergvik skog väst AB</t>
        </is>
      </c>
      <c r="G895" t="n">
        <v>2.9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4214-2025</t>
        </is>
      </c>
      <c r="B896" s="1" t="n">
        <v>45685</v>
      </c>
      <c r="C896" s="1" t="n">
        <v>46012</v>
      </c>
      <c r="D896" t="inlineStr">
        <is>
          <t>VÄRMLANDS LÄN</t>
        </is>
      </c>
      <c r="E896" t="inlineStr">
        <is>
          <t>ARVIKA</t>
        </is>
      </c>
      <c r="G896" t="n">
        <v>0.7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51868-2025</t>
        </is>
      </c>
      <c r="B897" s="1" t="n">
        <v>45952</v>
      </c>
      <c r="C897" s="1" t="n">
        <v>46012</v>
      </c>
      <c r="D897" t="inlineStr">
        <is>
          <t>VÄRMLANDS LÄN</t>
        </is>
      </c>
      <c r="E897" t="inlineStr">
        <is>
          <t>ARVIKA</t>
        </is>
      </c>
      <c r="F897" t="inlineStr">
        <is>
          <t>Bergvik skog väst AB</t>
        </is>
      </c>
      <c r="G897" t="n">
        <v>7.4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4466-2025</t>
        </is>
      </c>
      <c r="B898" s="1" t="n">
        <v>45686</v>
      </c>
      <c r="C898" s="1" t="n">
        <v>46012</v>
      </c>
      <c r="D898" t="inlineStr">
        <is>
          <t>VÄRMLANDS LÄN</t>
        </is>
      </c>
      <c r="E898" t="inlineStr">
        <is>
          <t>ARVIKA</t>
        </is>
      </c>
      <c r="G898" t="n">
        <v>1.2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21464-2023</t>
        </is>
      </c>
      <c r="B899" s="1" t="n">
        <v>45063.46725694444</v>
      </c>
      <c r="C899" s="1" t="n">
        <v>46012</v>
      </c>
      <c r="D899" t="inlineStr">
        <is>
          <t>VÄRMLANDS LÄN</t>
        </is>
      </c>
      <c r="E899" t="inlineStr">
        <is>
          <t>ARVIKA</t>
        </is>
      </c>
      <c r="G899" t="n">
        <v>4.7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51602-2025</t>
        </is>
      </c>
      <c r="B900" s="1" t="n">
        <v>45951.37796296296</v>
      </c>
      <c r="C900" s="1" t="n">
        <v>46012</v>
      </c>
      <c r="D900" t="inlineStr">
        <is>
          <t>VÄRMLANDS LÄN</t>
        </is>
      </c>
      <c r="E900" t="inlineStr">
        <is>
          <t>ARVIKA</t>
        </is>
      </c>
      <c r="G900" t="n">
        <v>1.1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60041-2025</t>
        </is>
      </c>
      <c r="B901" s="1" t="n">
        <v>45992</v>
      </c>
      <c r="C901" s="1" t="n">
        <v>46012</v>
      </c>
      <c r="D901" t="inlineStr">
        <is>
          <t>VÄRMLANDS LÄN</t>
        </is>
      </c>
      <c r="E901" t="inlineStr">
        <is>
          <t>ARVIKA</t>
        </is>
      </c>
      <c r="G901" t="n">
        <v>0.9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37854-2023</t>
        </is>
      </c>
      <c r="B902" s="1" t="n">
        <v>45158</v>
      </c>
      <c r="C902" s="1" t="n">
        <v>46012</v>
      </c>
      <c r="D902" t="inlineStr">
        <is>
          <t>VÄRMLANDS LÄN</t>
        </is>
      </c>
      <c r="E902" t="inlineStr">
        <is>
          <t>ARVIKA</t>
        </is>
      </c>
      <c r="G902" t="n">
        <v>1.2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40688-2025</t>
        </is>
      </c>
      <c r="B903" s="1" t="n">
        <v>45896</v>
      </c>
      <c r="C903" s="1" t="n">
        <v>46012</v>
      </c>
      <c r="D903" t="inlineStr">
        <is>
          <t>VÄRMLANDS LÄN</t>
        </is>
      </c>
      <c r="E903" t="inlineStr">
        <is>
          <t>ARVIKA</t>
        </is>
      </c>
      <c r="G903" t="n">
        <v>9.5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60046-2025</t>
        </is>
      </c>
      <c r="B904" s="1" t="n">
        <v>45992</v>
      </c>
      <c r="C904" s="1" t="n">
        <v>46012</v>
      </c>
      <c r="D904" t="inlineStr">
        <is>
          <t>VÄRMLANDS LÄN</t>
        </is>
      </c>
      <c r="E904" t="inlineStr">
        <is>
          <t>ARVIKA</t>
        </is>
      </c>
      <c r="G904" t="n">
        <v>1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47041-2024</t>
        </is>
      </c>
      <c r="B905" s="1" t="n">
        <v>45586.44325231481</v>
      </c>
      <c r="C905" s="1" t="n">
        <v>46012</v>
      </c>
      <c r="D905" t="inlineStr">
        <is>
          <t>VÄRMLANDS LÄN</t>
        </is>
      </c>
      <c r="E905" t="inlineStr">
        <is>
          <t>ARVIKA</t>
        </is>
      </c>
      <c r="F905" t="inlineStr">
        <is>
          <t>Bergvik skog väst AB</t>
        </is>
      </c>
      <c r="G905" t="n">
        <v>0.5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51866-2025</t>
        </is>
      </c>
      <c r="B906" s="1" t="n">
        <v>45952</v>
      </c>
      <c r="C906" s="1" t="n">
        <v>46012</v>
      </c>
      <c r="D906" t="inlineStr">
        <is>
          <t>VÄRMLANDS LÄN</t>
        </is>
      </c>
      <c r="E906" t="inlineStr">
        <is>
          <t>ARVIKA</t>
        </is>
      </c>
      <c r="G906" t="n">
        <v>2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59943-2025</t>
        </is>
      </c>
      <c r="B907" s="1" t="n">
        <v>45993.44114583333</v>
      </c>
      <c r="C907" s="1" t="n">
        <v>46012</v>
      </c>
      <c r="D907" t="inlineStr">
        <is>
          <t>VÄRMLANDS LÄN</t>
        </is>
      </c>
      <c r="E907" t="inlineStr">
        <is>
          <t>ARVIKA</t>
        </is>
      </c>
      <c r="G907" t="n">
        <v>1.7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13188-2023</t>
        </is>
      </c>
      <c r="B908" s="1" t="n">
        <v>45002</v>
      </c>
      <c r="C908" s="1" t="n">
        <v>46012</v>
      </c>
      <c r="D908" t="inlineStr">
        <is>
          <t>VÄRMLANDS LÄN</t>
        </is>
      </c>
      <c r="E908" t="inlineStr">
        <is>
          <t>ARVIKA</t>
        </is>
      </c>
      <c r="G908" t="n">
        <v>1.6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59297-2025</t>
        </is>
      </c>
      <c r="B909" s="1" t="n">
        <v>45988</v>
      </c>
      <c r="C909" s="1" t="n">
        <v>46012</v>
      </c>
      <c r="D909" t="inlineStr">
        <is>
          <t>VÄRMLANDS LÄN</t>
        </is>
      </c>
      <c r="E909" t="inlineStr">
        <is>
          <t>ARVIKA</t>
        </is>
      </c>
      <c r="G909" t="n">
        <v>8.5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51917-2025</t>
        </is>
      </c>
      <c r="B910" s="1" t="n">
        <v>45952.47792824074</v>
      </c>
      <c r="C910" s="1" t="n">
        <v>46012</v>
      </c>
      <c r="D910" t="inlineStr">
        <is>
          <t>VÄRMLANDS LÄN</t>
        </is>
      </c>
      <c r="E910" t="inlineStr">
        <is>
          <t>ARVIKA</t>
        </is>
      </c>
      <c r="G910" t="n">
        <v>0.4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60043-2025</t>
        </is>
      </c>
      <c r="B911" s="1" t="n">
        <v>45992</v>
      </c>
      <c r="C911" s="1" t="n">
        <v>46012</v>
      </c>
      <c r="D911" t="inlineStr">
        <is>
          <t>VÄRMLANDS LÄN</t>
        </is>
      </c>
      <c r="E911" t="inlineStr">
        <is>
          <t>ARVIKA</t>
        </is>
      </c>
      <c r="G911" t="n">
        <v>2.3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60541-2025</t>
        </is>
      </c>
      <c r="B912" s="1" t="n">
        <v>45995.67907407408</v>
      </c>
      <c r="C912" s="1" t="n">
        <v>46012</v>
      </c>
      <c r="D912" t="inlineStr">
        <is>
          <t>VÄRMLANDS LÄN</t>
        </is>
      </c>
      <c r="E912" t="inlineStr">
        <is>
          <t>ARVIKA</t>
        </is>
      </c>
      <c r="G912" t="n">
        <v>1.1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60691-2025</t>
        </is>
      </c>
      <c r="B913" s="1" t="n">
        <v>45996.59162037037</v>
      </c>
      <c r="C913" s="1" t="n">
        <v>46012</v>
      </c>
      <c r="D913" t="inlineStr">
        <is>
          <t>VÄRMLANDS LÄN</t>
        </is>
      </c>
      <c r="E913" t="inlineStr">
        <is>
          <t>ARVIKA</t>
        </is>
      </c>
      <c r="G913" t="n">
        <v>0.9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19379-2025</t>
        </is>
      </c>
      <c r="B914" s="1" t="n">
        <v>45769.65373842593</v>
      </c>
      <c r="C914" s="1" t="n">
        <v>46012</v>
      </c>
      <c r="D914" t="inlineStr">
        <is>
          <t>VÄRMLANDS LÄN</t>
        </is>
      </c>
      <c r="E914" t="inlineStr">
        <is>
          <t>ARVIKA</t>
        </is>
      </c>
      <c r="G914" t="n">
        <v>3.4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19390-2025</t>
        </is>
      </c>
      <c r="B915" s="1" t="n">
        <v>45769</v>
      </c>
      <c r="C915" s="1" t="n">
        <v>46012</v>
      </c>
      <c r="D915" t="inlineStr">
        <is>
          <t>VÄRMLANDS LÄN</t>
        </is>
      </c>
      <c r="E915" t="inlineStr">
        <is>
          <t>ARVIKA</t>
        </is>
      </c>
      <c r="F915" t="inlineStr">
        <is>
          <t>Bergvik skog väst AB</t>
        </is>
      </c>
      <c r="G915" t="n">
        <v>3.9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11713-2023</t>
        </is>
      </c>
      <c r="B916" s="1" t="n">
        <v>44994.54960648148</v>
      </c>
      <c r="C916" s="1" t="n">
        <v>46012</v>
      </c>
      <c r="D916" t="inlineStr">
        <is>
          <t>VÄRMLANDS LÄN</t>
        </is>
      </c>
      <c r="E916" t="inlineStr">
        <is>
          <t>ARVIKA</t>
        </is>
      </c>
      <c r="G916" t="n">
        <v>0.9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60627-2025</t>
        </is>
      </c>
      <c r="B917" s="1" t="n">
        <v>45996.40677083333</v>
      </c>
      <c r="C917" s="1" t="n">
        <v>46012</v>
      </c>
      <c r="D917" t="inlineStr">
        <is>
          <t>VÄRMLANDS LÄN</t>
        </is>
      </c>
      <c r="E917" t="inlineStr">
        <is>
          <t>ARVIKA</t>
        </is>
      </c>
      <c r="G917" t="n">
        <v>2.2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39219-2023</t>
        </is>
      </c>
      <c r="B918" s="1" t="n">
        <v>45166</v>
      </c>
      <c r="C918" s="1" t="n">
        <v>46012</v>
      </c>
      <c r="D918" t="inlineStr">
        <is>
          <t>VÄRMLANDS LÄN</t>
        </is>
      </c>
      <c r="E918" t="inlineStr">
        <is>
          <t>ARVIKA</t>
        </is>
      </c>
      <c r="G918" t="n">
        <v>1.4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62603-2022</t>
        </is>
      </c>
      <c r="B919" s="1" t="n">
        <v>44917</v>
      </c>
      <c r="C919" s="1" t="n">
        <v>46012</v>
      </c>
      <c r="D919" t="inlineStr">
        <is>
          <t>VÄRMLANDS LÄN</t>
        </is>
      </c>
      <c r="E919" t="inlineStr">
        <is>
          <t>ARVIKA</t>
        </is>
      </c>
      <c r="G919" t="n">
        <v>1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62614-2022</t>
        </is>
      </c>
      <c r="B920" s="1" t="n">
        <v>44917</v>
      </c>
      <c r="C920" s="1" t="n">
        <v>46012</v>
      </c>
      <c r="D920" t="inlineStr">
        <is>
          <t>VÄRMLANDS LÄN</t>
        </is>
      </c>
      <c r="E920" t="inlineStr">
        <is>
          <t>ARVIKA</t>
        </is>
      </c>
      <c r="G920" t="n">
        <v>1.7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62624-2022</t>
        </is>
      </c>
      <c r="B921" s="1" t="n">
        <v>44917</v>
      </c>
      <c r="C921" s="1" t="n">
        <v>46012</v>
      </c>
      <c r="D921" t="inlineStr">
        <is>
          <t>VÄRMLANDS LÄN</t>
        </is>
      </c>
      <c r="E921" t="inlineStr">
        <is>
          <t>ARVIKA</t>
        </is>
      </c>
      <c r="G921" t="n">
        <v>0.6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14467-2023</t>
        </is>
      </c>
      <c r="B922" s="1" t="n">
        <v>45012</v>
      </c>
      <c r="C922" s="1" t="n">
        <v>46012</v>
      </c>
      <c r="D922" t="inlineStr">
        <is>
          <t>VÄRMLANDS LÄN</t>
        </is>
      </c>
      <c r="E922" t="inlineStr">
        <is>
          <t>ARVIKA</t>
        </is>
      </c>
      <c r="G922" t="n">
        <v>7.4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44-2024</t>
        </is>
      </c>
      <c r="B923" s="1" t="n">
        <v>45293</v>
      </c>
      <c r="C923" s="1" t="n">
        <v>46012</v>
      </c>
      <c r="D923" t="inlineStr">
        <is>
          <t>VÄRMLANDS LÄN</t>
        </is>
      </c>
      <c r="E923" t="inlineStr">
        <is>
          <t>ARVIKA</t>
        </is>
      </c>
      <c r="F923" t="inlineStr">
        <is>
          <t>Kyrkan</t>
        </is>
      </c>
      <c r="G923" t="n">
        <v>3.3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14483-2025</t>
        </is>
      </c>
      <c r="B924" s="1" t="n">
        <v>45741</v>
      </c>
      <c r="C924" s="1" t="n">
        <v>46012</v>
      </c>
      <c r="D924" t="inlineStr">
        <is>
          <t>VÄRMLANDS LÄN</t>
        </is>
      </c>
      <c r="E924" t="inlineStr">
        <is>
          <t>ARVIKA</t>
        </is>
      </c>
      <c r="G924" t="n">
        <v>1.6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49744-2021</t>
        </is>
      </c>
      <c r="B925" s="1" t="n">
        <v>44455</v>
      </c>
      <c r="C925" s="1" t="n">
        <v>46012</v>
      </c>
      <c r="D925" t="inlineStr">
        <is>
          <t>VÄRMLANDS LÄN</t>
        </is>
      </c>
      <c r="E925" t="inlineStr">
        <is>
          <t>ARVIKA</t>
        </is>
      </c>
      <c r="F925" t="inlineStr">
        <is>
          <t>Bergvik skog väst AB</t>
        </is>
      </c>
      <c r="G925" t="n">
        <v>2.2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60359-2025</t>
        </is>
      </c>
      <c r="B926" s="1" t="n">
        <v>45995.32582175926</v>
      </c>
      <c r="C926" s="1" t="n">
        <v>46012</v>
      </c>
      <c r="D926" t="inlineStr">
        <is>
          <t>VÄRMLANDS LÄN</t>
        </is>
      </c>
      <c r="E926" t="inlineStr">
        <is>
          <t>ARVIKA</t>
        </is>
      </c>
      <c r="G926" t="n">
        <v>1.2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23089-2024</t>
        </is>
      </c>
      <c r="B927" s="1" t="n">
        <v>45450</v>
      </c>
      <c r="C927" s="1" t="n">
        <v>46012</v>
      </c>
      <c r="D927" t="inlineStr">
        <is>
          <t>VÄRMLANDS LÄN</t>
        </is>
      </c>
      <c r="E927" t="inlineStr">
        <is>
          <t>ARVIKA</t>
        </is>
      </c>
      <c r="F927" t="inlineStr">
        <is>
          <t>Bergvik skog väst AB</t>
        </is>
      </c>
      <c r="G927" t="n">
        <v>0.7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  <c r="U927">
        <f>HYPERLINK("https://klasma.github.io/Logging_1784/knärot/A 23089-2024 karta knärot.png", "A 23089-2024")</f>
        <v/>
      </c>
      <c r="V927">
        <f>HYPERLINK("https://klasma.github.io/Logging_1784/klagomål/A 23089-2024 FSC-klagomål.docx", "A 23089-2024")</f>
        <v/>
      </c>
      <c r="W927">
        <f>HYPERLINK("https://klasma.github.io/Logging_1784/klagomålsmail/A 23089-2024 FSC-klagomål mail.docx", "A 23089-2024")</f>
        <v/>
      </c>
      <c r="X927">
        <f>HYPERLINK("https://klasma.github.io/Logging_1784/tillsyn/A 23089-2024 tillsynsbegäran.docx", "A 23089-2024")</f>
        <v/>
      </c>
      <c r="Y927">
        <f>HYPERLINK("https://klasma.github.io/Logging_1784/tillsynsmail/A 23089-2024 tillsynsbegäran mail.docx", "A 23089-2024")</f>
        <v/>
      </c>
    </row>
    <row r="928" ht="15" customHeight="1">
      <c r="A928" t="inlineStr">
        <is>
          <t>A 25227-2023</t>
        </is>
      </c>
      <c r="B928" s="1" t="n">
        <v>45086</v>
      </c>
      <c r="C928" s="1" t="n">
        <v>46012</v>
      </c>
      <c r="D928" t="inlineStr">
        <is>
          <t>VÄRMLANDS LÄN</t>
        </is>
      </c>
      <c r="E928" t="inlineStr">
        <is>
          <t>ARVIKA</t>
        </is>
      </c>
      <c r="F928" t="inlineStr">
        <is>
          <t>Bergvik skog väst AB</t>
        </is>
      </c>
      <c r="G928" t="n">
        <v>2.1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50263-2022</t>
        </is>
      </c>
      <c r="B929" s="1" t="n">
        <v>44865.6884375</v>
      </c>
      <c r="C929" s="1" t="n">
        <v>46012</v>
      </c>
      <c r="D929" t="inlineStr">
        <is>
          <t>VÄRMLANDS LÄN</t>
        </is>
      </c>
      <c r="E929" t="inlineStr">
        <is>
          <t>ARVIKA</t>
        </is>
      </c>
      <c r="G929" t="n">
        <v>2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11230-2025</t>
        </is>
      </c>
      <c r="B930" s="1" t="n">
        <v>45726.35431712963</v>
      </c>
      <c r="C930" s="1" t="n">
        <v>46012</v>
      </c>
      <c r="D930" t="inlineStr">
        <is>
          <t>VÄRMLANDS LÄN</t>
        </is>
      </c>
      <c r="E930" t="inlineStr">
        <is>
          <t>ARVIKA</t>
        </is>
      </c>
      <c r="F930" t="inlineStr">
        <is>
          <t>Bergvik skog väst AB</t>
        </is>
      </c>
      <c r="G930" t="n">
        <v>2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52505-2025</t>
        </is>
      </c>
      <c r="B931" s="1" t="n">
        <v>45954.50017361111</v>
      </c>
      <c r="C931" s="1" t="n">
        <v>46012</v>
      </c>
      <c r="D931" t="inlineStr">
        <is>
          <t>VÄRMLANDS LÄN</t>
        </is>
      </c>
      <c r="E931" t="inlineStr">
        <is>
          <t>ARVIKA</t>
        </is>
      </c>
      <c r="F931" t="inlineStr">
        <is>
          <t>Bergvik skog väst AB</t>
        </is>
      </c>
      <c r="G931" t="n">
        <v>7.7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23601-2023</t>
        </is>
      </c>
      <c r="B932" s="1" t="n">
        <v>45077.45690972222</v>
      </c>
      <c r="C932" s="1" t="n">
        <v>46012</v>
      </c>
      <c r="D932" t="inlineStr">
        <is>
          <t>VÄRMLANDS LÄN</t>
        </is>
      </c>
      <c r="E932" t="inlineStr">
        <is>
          <t>ARVIKA</t>
        </is>
      </c>
      <c r="G932" t="n">
        <v>10.6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54756-2022</t>
        </is>
      </c>
      <c r="B933" s="1" t="n">
        <v>44883</v>
      </c>
      <c r="C933" s="1" t="n">
        <v>46012</v>
      </c>
      <c r="D933" t="inlineStr">
        <is>
          <t>VÄRMLANDS LÄN</t>
        </is>
      </c>
      <c r="E933" t="inlineStr">
        <is>
          <t>ARVIKA</t>
        </is>
      </c>
      <c r="F933" t="inlineStr">
        <is>
          <t>Bergvik skog väst AB</t>
        </is>
      </c>
      <c r="G933" t="n">
        <v>1.9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20188-2025</t>
        </is>
      </c>
      <c r="B934" s="1" t="n">
        <v>45772</v>
      </c>
      <c r="C934" s="1" t="n">
        <v>46012</v>
      </c>
      <c r="D934" t="inlineStr">
        <is>
          <t>VÄRMLANDS LÄN</t>
        </is>
      </c>
      <c r="E934" t="inlineStr">
        <is>
          <t>ARVIKA</t>
        </is>
      </c>
      <c r="F934" t="inlineStr">
        <is>
          <t>Bergvik skog väst AB</t>
        </is>
      </c>
      <c r="G934" t="n">
        <v>4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9213-2025</t>
        </is>
      </c>
      <c r="B935" s="1" t="n">
        <v>45714</v>
      </c>
      <c r="C935" s="1" t="n">
        <v>46012</v>
      </c>
      <c r="D935" t="inlineStr">
        <is>
          <t>VÄRMLANDS LÄN</t>
        </is>
      </c>
      <c r="E935" t="inlineStr">
        <is>
          <t>ARVIKA</t>
        </is>
      </c>
      <c r="G935" t="n">
        <v>0.9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20071-2025</t>
        </is>
      </c>
      <c r="B936" s="1" t="n">
        <v>45772.44461805555</v>
      </c>
      <c r="C936" s="1" t="n">
        <v>46012</v>
      </c>
      <c r="D936" t="inlineStr">
        <is>
          <t>VÄRMLANDS LÄN</t>
        </is>
      </c>
      <c r="E936" t="inlineStr">
        <is>
          <t>ARVIKA</t>
        </is>
      </c>
      <c r="G936" t="n">
        <v>1.6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21953-2023</t>
        </is>
      </c>
      <c r="B937" s="1" t="n">
        <v>45068</v>
      </c>
      <c r="C937" s="1" t="n">
        <v>46012</v>
      </c>
      <c r="D937" t="inlineStr">
        <is>
          <t>VÄRMLANDS LÄN</t>
        </is>
      </c>
      <c r="E937" t="inlineStr">
        <is>
          <t>ARVIKA</t>
        </is>
      </c>
      <c r="G937" t="n">
        <v>1.1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56497-2025</t>
        </is>
      </c>
      <c r="B938" s="1" t="n">
        <v>45975</v>
      </c>
      <c r="C938" s="1" t="n">
        <v>46012</v>
      </c>
      <c r="D938" t="inlineStr">
        <is>
          <t>VÄRMLANDS LÄN</t>
        </is>
      </c>
      <c r="E938" t="inlineStr">
        <is>
          <t>ARVIKA</t>
        </is>
      </c>
      <c r="G938" t="n">
        <v>2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17957-2025</t>
        </is>
      </c>
      <c r="B939" s="1" t="n">
        <v>45760.95818287037</v>
      </c>
      <c r="C939" s="1" t="n">
        <v>46012</v>
      </c>
      <c r="D939" t="inlineStr">
        <is>
          <t>VÄRMLANDS LÄN</t>
        </is>
      </c>
      <c r="E939" t="inlineStr">
        <is>
          <t>ARVIKA</t>
        </is>
      </c>
      <c r="G939" t="n">
        <v>1.5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46530-2022</t>
        </is>
      </c>
      <c r="B940" s="1" t="n">
        <v>44848</v>
      </c>
      <c r="C940" s="1" t="n">
        <v>46012</v>
      </c>
      <c r="D940" t="inlineStr">
        <is>
          <t>VÄRMLANDS LÄN</t>
        </is>
      </c>
      <c r="E940" t="inlineStr">
        <is>
          <t>ARVIKA</t>
        </is>
      </c>
      <c r="G940" t="n">
        <v>1.5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20349-2025</t>
        </is>
      </c>
      <c r="B941" s="1" t="n">
        <v>45775</v>
      </c>
      <c r="C941" s="1" t="n">
        <v>46012</v>
      </c>
      <c r="D941" t="inlineStr">
        <is>
          <t>VÄRMLANDS LÄN</t>
        </is>
      </c>
      <c r="E941" t="inlineStr">
        <is>
          <t>ARVIKA</t>
        </is>
      </c>
      <c r="F941" t="inlineStr">
        <is>
          <t>Bergvik skog väst AB</t>
        </is>
      </c>
      <c r="G941" t="n">
        <v>1.8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52357-2021</t>
        </is>
      </c>
      <c r="B942" s="1" t="n">
        <v>44464</v>
      </c>
      <c r="C942" s="1" t="n">
        <v>46012</v>
      </c>
      <c r="D942" t="inlineStr">
        <is>
          <t>VÄRMLANDS LÄN</t>
        </is>
      </c>
      <c r="E942" t="inlineStr">
        <is>
          <t>ARVIKA</t>
        </is>
      </c>
      <c r="G942" t="n">
        <v>3.4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42064-2021</t>
        </is>
      </c>
      <c r="B943" s="1" t="n">
        <v>44426</v>
      </c>
      <c r="C943" s="1" t="n">
        <v>46012</v>
      </c>
      <c r="D943" t="inlineStr">
        <is>
          <t>VÄRMLANDS LÄN</t>
        </is>
      </c>
      <c r="E943" t="inlineStr">
        <is>
          <t>ARVIKA</t>
        </is>
      </c>
      <c r="G943" t="n">
        <v>6.6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60366-2023</t>
        </is>
      </c>
      <c r="B944" s="1" t="n">
        <v>45259</v>
      </c>
      <c r="C944" s="1" t="n">
        <v>46012</v>
      </c>
      <c r="D944" t="inlineStr">
        <is>
          <t>VÄRMLANDS LÄN</t>
        </is>
      </c>
      <c r="E944" t="inlineStr">
        <is>
          <t>ARVIKA</t>
        </is>
      </c>
      <c r="G944" t="n">
        <v>4.9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60343-2025</t>
        </is>
      </c>
      <c r="B945" s="1" t="n">
        <v>45994</v>
      </c>
      <c r="C945" s="1" t="n">
        <v>46012</v>
      </c>
      <c r="D945" t="inlineStr">
        <is>
          <t>VÄRMLANDS LÄN</t>
        </is>
      </c>
      <c r="E945" t="inlineStr">
        <is>
          <t>ARVIKA</t>
        </is>
      </c>
      <c r="G945" t="n">
        <v>2.9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26544-2023</t>
        </is>
      </c>
      <c r="B946" s="1" t="n">
        <v>45092.59253472222</v>
      </c>
      <c r="C946" s="1" t="n">
        <v>46012</v>
      </c>
      <c r="D946" t="inlineStr">
        <is>
          <t>VÄRMLANDS LÄN</t>
        </is>
      </c>
      <c r="E946" t="inlineStr">
        <is>
          <t>ARVIKA</t>
        </is>
      </c>
      <c r="F946" t="inlineStr">
        <is>
          <t>Bergvik skog väst AB</t>
        </is>
      </c>
      <c r="G946" t="n">
        <v>1.2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57346-2022</t>
        </is>
      </c>
      <c r="B947" s="1" t="n">
        <v>44896.40659722222</v>
      </c>
      <c r="C947" s="1" t="n">
        <v>46012</v>
      </c>
      <c r="D947" t="inlineStr">
        <is>
          <t>VÄRMLANDS LÄN</t>
        </is>
      </c>
      <c r="E947" t="inlineStr">
        <is>
          <t>ARVIKA</t>
        </is>
      </c>
      <c r="G947" t="n">
        <v>1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22496-2023</t>
        </is>
      </c>
      <c r="B948" s="1" t="n">
        <v>45071</v>
      </c>
      <c r="C948" s="1" t="n">
        <v>46012</v>
      </c>
      <c r="D948" t="inlineStr">
        <is>
          <t>VÄRMLANDS LÄN</t>
        </is>
      </c>
      <c r="E948" t="inlineStr">
        <is>
          <t>ARVIKA</t>
        </is>
      </c>
      <c r="G948" t="n">
        <v>0.9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53131-2025</t>
        </is>
      </c>
      <c r="B949" s="1" t="n">
        <v>45958.46607638889</v>
      </c>
      <c r="C949" s="1" t="n">
        <v>46012</v>
      </c>
      <c r="D949" t="inlineStr">
        <is>
          <t>VÄRMLANDS LÄN</t>
        </is>
      </c>
      <c r="E949" t="inlineStr">
        <is>
          <t>ARVIKA</t>
        </is>
      </c>
      <c r="G949" t="n">
        <v>1.3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53188-2025</t>
        </is>
      </c>
      <c r="B950" s="1" t="n">
        <v>45958.56060185185</v>
      </c>
      <c r="C950" s="1" t="n">
        <v>46012</v>
      </c>
      <c r="D950" t="inlineStr">
        <is>
          <t>VÄRMLANDS LÄN</t>
        </is>
      </c>
      <c r="E950" t="inlineStr">
        <is>
          <t>ARVIKA</t>
        </is>
      </c>
      <c r="G950" t="n">
        <v>1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567-2024</t>
        </is>
      </c>
      <c r="B951" s="1" t="n">
        <v>45299</v>
      </c>
      <c r="C951" s="1" t="n">
        <v>46012</v>
      </c>
      <c r="D951" t="inlineStr">
        <is>
          <t>VÄRMLANDS LÄN</t>
        </is>
      </c>
      <c r="E951" t="inlineStr">
        <is>
          <t>ARVIKA</t>
        </is>
      </c>
      <c r="G951" t="n">
        <v>1.2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52689-2025</t>
        </is>
      </c>
      <c r="B952" s="1" t="n">
        <v>45956.39648148148</v>
      </c>
      <c r="C952" s="1" t="n">
        <v>46012</v>
      </c>
      <c r="D952" t="inlineStr">
        <is>
          <t>VÄRMLANDS LÄN</t>
        </is>
      </c>
      <c r="E952" t="inlineStr">
        <is>
          <t>ARVIKA</t>
        </is>
      </c>
      <c r="G952" t="n">
        <v>1.2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52705-2025</t>
        </is>
      </c>
      <c r="B953" s="1" t="n">
        <v>45957.2830787037</v>
      </c>
      <c r="C953" s="1" t="n">
        <v>46012</v>
      </c>
      <c r="D953" t="inlineStr">
        <is>
          <t>VÄRMLANDS LÄN</t>
        </is>
      </c>
      <c r="E953" t="inlineStr">
        <is>
          <t>ARVIKA</t>
        </is>
      </c>
      <c r="G953" t="n">
        <v>1.5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52708-2025</t>
        </is>
      </c>
      <c r="B954" s="1" t="n">
        <v>45957.29231481482</v>
      </c>
      <c r="C954" s="1" t="n">
        <v>46012</v>
      </c>
      <c r="D954" t="inlineStr">
        <is>
          <t>VÄRMLANDS LÄN</t>
        </is>
      </c>
      <c r="E954" t="inlineStr">
        <is>
          <t>ARVIKA</t>
        </is>
      </c>
      <c r="G954" t="n">
        <v>2.9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35339-2024</t>
        </is>
      </c>
      <c r="B955" s="1" t="n">
        <v>45530.87145833333</v>
      </c>
      <c r="C955" s="1" t="n">
        <v>46012</v>
      </c>
      <c r="D955" t="inlineStr">
        <is>
          <t>VÄRMLANDS LÄN</t>
        </is>
      </c>
      <c r="E955" t="inlineStr">
        <is>
          <t>ARVIKA</t>
        </is>
      </c>
      <c r="G955" t="n">
        <v>3.2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46750-2024</t>
        </is>
      </c>
      <c r="B956" s="1" t="n">
        <v>45583.48366898148</v>
      </c>
      <c r="C956" s="1" t="n">
        <v>46012</v>
      </c>
      <c r="D956" t="inlineStr">
        <is>
          <t>VÄRMLANDS LÄN</t>
        </is>
      </c>
      <c r="E956" t="inlineStr">
        <is>
          <t>ARVIKA</t>
        </is>
      </c>
      <c r="F956" t="inlineStr">
        <is>
          <t>Bergvik skog väst AB</t>
        </is>
      </c>
      <c r="G956" t="n">
        <v>4.9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55515-2021</t>
        </is>
      </c>
      <c r="B957" s="1" t="n">
        <v>44475.64054398148</v>
      </c>
      <c r="C957" s="1" t="n">
        <v>46012</v>
      </c>
      <c r="D957" t="inlineStr">
        <is>
          <t>VÄRMLANDS LÄN</t>
        </is>
      </c>
      <c r="E957" t="inlineStr">
        <is>
          <t>ARVIKA</t>
        </is>
      </c>
      <c r="G957" t="n">
        <v>1.7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60739-2025</t>
        </is>
      </c>
      <c r="B958" s="1" t="n">
        <v>45996.87302083334</v>
      </c>
      <c r="C958" s="1" t="n">
        <v>46012</v>
      </c>
      <c r="D958" t="inlineStr">
        <is>
          <t>VÄRMLANDS LÄN</t>
        </is>
      </c>
      <c r="E958" t="inlineStr">
        <is>
          <t>ARVIKA</t>
        </is>
      </c>
      <c r="G958" t="n">
        <v>3.2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42321-2023</t>
        </is>
      </c>
      <c r="B959" s="1" t="n">
        <v>45180.47474537037</v>
      </c>
      <c r="C959" s="1" t="n">
        <v>46012</v>
      </c>
      <c r="D959" t="inlineStr">
        <is>
          <t>VÄRMLANDS LÄN</t>
        </is>
      </c>
      <c r="E959" t="inlineStr">
        <is>
          <t>ARVIKA</t>
        </is>
      </c>
      <c r="F959" t="inlineStr">
        <is>
          <t>Bergvik skog väst AB</t>
        </is>
      </c>
      <c r="G959" t="n">
        <v>5.8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69361-2020</t>
        </is>
      </c>
      <c r="B960" s="1" t="n">
        <v>44193</v>
      </c>
      <c r="C960" s="1" t="n">
        <v>46012</v>
      </c>
      <c r="D960" t="inlineStr">
        <is>
          <t>VÄRMLANDS LÄN</t>
        </is>
      </c>
      <c r="E960" t="inlineStr">
        <is>
          <t>ARVIKA</t>
        </is>
      </c>
      <c r="G960" t="n">
        <v>4.7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382-2023</t>
        </is>
      </c>
      <c r="B961" s="1" t="n">
        <v>44922</v>
      </c>
      <c r="C961" s="1" t="n">
        <v>46012</v>
      </c>
      <c r="D961" t="inlineStr">
        <is>
          <t>VÄRMLANDS LÄN</t>
        </is>
      </c>
      <c r="E961" t="inlineStr">
        <is>
          <t>ARVIKA</t>
        </is>
      </c>
      <c r="G961" t="n">
        <v>0.9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58635-2022</t>
        </is>
      </c>
      <c r="B962" s="1" t="n">
        <v>44902.62333333334</v>
      </c>
      <c r="C962" s="1" t="n">
        <v>46012</v>
      </c>
      <c r="D962" t="inlineStr">
        <is>
          <t>VÄRMLANDS LÄN</t>
        </is>
      </c>
      <c r="E962" t="inlineStr">
        <is>
          <t>ARVIKA</t>
        </is>
      </c>
      <c r="F962" t="inlineStr">
        <is>
          <t>Bergvik skog väst AB</t>
        </is>
      </c>
      <c r="G962" t="n">
        <v>4.7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44974-2021</t>
        </is>
      </c>
      <c r="B963" s="1" t="n">
        <v>44438.78177083333</v>
      </c>
      <c r="C963" s="1" t="n">
        <v>46012</v>
      </c>
      <c r="D963" t="inlineStr">
        <is>
          <t>VÄRMLANDS LÄN</t>
        </is>
      </c>
      <c r="E963" t="inlineStr">
        <is>
          <t>ARVIKA</t>
        </is>
      </c>
      <c r="G963" t="n">
        <v>1.3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14551-2023</t>
        </is>
      </c>
      <c r="B964" s="1" t="n">
        <v>45013.42649305556</v>
      </c>
      <c r="C964" s="1" t="n">
        <v>46012</v>
      </c>
      <c r="D964" t="inlineStr">
        <is>
          <t>VÄRMLANDS LÄN</t>
        </is>
      </c>
      <c r="E964" t="inlineStr">
        <is>
          <t>ARVIKA</t>
        </is>
      </c>
      <c r="G964" t="n">
        <v>0.6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53430-2025</t>
        </is>
      </c>
      <c r="B965" s="1" t="n">
        <v>45959.62450231481</v>
      </c>
      <c r="C965" s="1" t="n">
        <v>46012</v>
      </c>
      <c r="D965" t="inlineStr">
        <is>
          <t>VÄRMLANDS LÄN</t>
        </is>
      </c>
      <c r="E965" t="inlineStr">
        <is>
          <t>ARVIKA</t>
        </is>
      </c>
      <c r="F965" t="inlineStr">
        <is>
          <t>Bergvik skog väst AB</t>
        </is>
      </c>
      <c r="G965" t="n">
        <v>2.6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53301-2025</t>
        </is>
      </c>
      <c r="B966" s="1" t="n">
        <v>45959.32900462963</v>
      </c>
      <c r="C966" s="1" t="n">
        <v>46012</v>
      </c>
      <c r="D966" t="inlineStr">
        <is>
          <t>VÄRMLANDS LÄN</t>
        </is>
      </c>
      <c r="E966" t="inlineStr">
        <is>
          <t>ARVIKA</t>
        </is>
      </c>
      <c r="G966" t="n">
        <v>1.2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61513-2025</t>
        </is>
      </c>
      <c r="B967" s="1" t="n">
        <v>46001.68435185185</v>
      </c>
      <c r="C967" s="1" t="n">
        <v>46012</v>
      </c>
      <c r="D967" t="inlineStr">
        <is>
          <t>VÄRMLANDS LÄN</t>
        </is>
      </c>
      <c r="E967" t="inlineStr">
        <is>
          <t>ARVIKA</t>
        </is>
      </c>
      <c r="G967" t="n">
        <v>1.9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25251-2023</t>
        </is>
      </c>
      <c r="B968" s="1" t="n">
        <v>45086</v>
      </c>
      <c r="C968" s="1" t="n">
        <v>46012</v>
      </c>
      <c r="D968" t="inlineStr">
        <is>
          <t>VÄRMLANDS LÄN</t>
        </is>
      </c>
      <c r="E968" t="inlineStr">
        <is>
          <t>ARVIKA</t>
        </is>
      </c>
      <c r="G968" t="n">
        <v>1.5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38987-2022</t>
        </is>
      </c>
      <c r="B969" s="1" t="n">
        <v>44816.88849537037</v>
      </c>
      <c r="C969" s="1" t="n">
        <v>46012</v>
      </c>
      <c r="D969" t="inlineStr">
        <is>
          <t>VÄRMLANDS LÄN</t>
        </is>
      </c>
      <c r="E969" t="inlineStr">
        <is>
          <t>ARVIKA</t>
        </is>
      </c>
      <c r="G969" t="n">
        <v>1.7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12539-2025</t>
        </is>
      </c>
      <c r="B970" s="1" t="n">
        <v>45730.75067129629</v>
      </c>
      <c r="C970" s="1" t="n">
        <v>46012</v>
      </c>
      <c r="D970" t="inlineStr">
        <is>
          <t>VÄRMLANDS LÄN</t>
        </is>
      </c>
      <c r="E970" t="inlineStr">
        <is>
          <t>ARVIKA</t>
        </is>
      </c>
      <c r="G970" t="n">
        <v>2.1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53488-2025</t>
        </is>
      </c>
      <c r="B971" s="1" t="n">
        <v>45960</v>
      </c>
      <c r="C971" s="1" t="n">
        <v>46012</v>
      </c>
      <c r="D971" t="inlineStr">
        <is>
          <t>VÄRMLANDS LÄN</t>
        </is>
      </c>
      <c r="E971" t="inlineStr">
        <is>
          <t>ARVIKA</t>
        </is>
      </c>
      <c r="G971" t="n">
        <v>4.5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42179-2022</t>
        </is>
      </c>
      <c r="B972" s="1" t="n">
        <v>44830.63068287037</v>
      </c>
      <c r="C972" s="1" t="n">
        <v>46012</v>
      </c>
      <c r="D972" t="inlineStr">
        <is>
          <t>VÄRMLANDS LÄN</t>
        </is>
      </c>
      <c r="E972" t="inlineStr">
        <is>
          <t>ARVIKA</t>
        </is>
      </c>
      <c r="G972" t="n">
        <v>2.8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61246-2025</t>
        </is>
      </c>
      <c r="B973" s="1" t="n">
        <v>46000</v>
      </c>
      <c r="C973" s="1" t="n">
        <v>46012</v>
      </c>
      <c r="D973" t="inlineStr">
        <is>
          <t>VÄRMLANDS LÄN</t>
        </is>
      </c>
      <c r="E973" t="inlineStr">
        <is>
          <t>ARVIKA</t>
        </is>
      </c>
      <c r="G973" t="n">
        <v>1.6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61326-2025</t>
        </is>
      </c>
      <c r="B974" s="1" t="n">
        <v>46001.29766203704</v>
      </c>
      <c r="C974" s="1" t="n">
        <v>46012</v>
      </c>
      <c r="D974" t="inlineStr">
        <is>
          <t>VÄRMLANDS LÄN</t>
        </is>
      </c>
      <c r="E974" t="inlineStr">
        <is>
          <t>ARVIKA</t>
        </is>
      </c>
      <c r="G974" t="n">
        <v>2.8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25491-2023</t>
        </is>
      </c>
      <c r="B975" s="1" t="n">
        <v>45089</v>
      </c>
      <c r="C975" s="1" t="n">
        <v>46012</v>
      </c>
      <c r="D975" t="inlineStr">
        <is>
          <t>VÄRMLANDS LÄN</t>
        </is>
      </c>
      <c r="E975" t="inlineStr">
        <is>
          <t>ARVIKA</t>
        </is>
      </c>
      <c r="G975" t="n">
        <v>3.2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40422-2024</t>
        </is>
      </c>
      <c r="B976" s="1" t="n">
        <v>45555</v>
      </c>
      <c r="C976" s="1" t="n">
        <v>46012</v>
      </c>
      <c r="D976" t="inlineStr">
        <is>
          <t>VÄRMLANDS LÄN</t>
        </is>
      </c>
      <c r="E976" t="inlineStr">
        <is>
          <t>ARVIKA</t>
        </is>
      </c>
      <c r="G976" t="n">
        <v>1.1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61865-2024</t>
        </is>
      </c>
      <c r="B977" s="1" t="n">
        <v>45651</v>
      </c>
      <c r="C977" s="1" t="n">
        <v>46012</v>
      </c>
      <c r="D977" t="inlineStr">
        <is>
          <t>VÄRMLANDS LÄN</t>
        </is>
      </c>
      <c r="E977" t="inlineStr">
        <is>
          <t>ARVIKA</t>
        </is>
      </c>
      <c r="G977" t="n">
        <v>2.8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16757-2025</t>
        </is>
      </c>
      <c r="B978" s="1" t="n">
        <v>45754</v>
      </c>
      <c r="C978" s="1" t="n">
        <v>46012</v>
      </c>
      <c r="D978" t="inlineStr">
        <is>
          <t>VÄRMLANDS LÄN</t>
        </is>
      </c>
      <c r="E978" t="inlineStr">
        <is>
          <t>ARVIKA</t>
        </is>
      </c>
      <c r="G978" t="n">
        <v>6.3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16762-2025</t>
        </is>
      </c>
      <c r="B979" s="1" t="n">
        <v>45754.57711805555</v>
      </c>
      <c r="C979" s="1" t="n">
        <v>46012</v>
      </c>
      <c r="D979" t="inlineStr">
        <is>
          <t>VÄRMLANDS LÄN</t>
        </is>
      </c>
      <c r="E979" t="inlineStr">
        <is>
          <t>ARVIKA</t>
        </is>
      </c>
      <c r="G979" t="n">
        <v>1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69340-2021</t>
        </is>
      </c>
      <c r="B980" s="1" t="n">
        <v>44531</v>
      </c>
      <c r="C980" s="1" t="n">
        <v>46012</v>
      </c>
      <c r="D980" t="inlineStr">
        <is>
          <t>VÄRMLANDS LÄN</t>
        </is>
      </c>
      <c r="E980" t="inlineStr">
        <is>
          <t>ARVIKA</t>
        </is>
      </c>
      <c r="G980" t="n">
        <v>2.4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2157-2023</t>
        </is>
      </c>
      <c r="B981" s="1" t="n">
        <v>44941.60394675926</v>
      </c>
      <c r="C981" s="1" t="n">
        <v>46012</v>
      </c>
      <c r="D981" t="inlineStr">
        <is>
          <t>VÄRMLANDS LÄN</t>
        </is>
      </c>
      <c r="E981" t="inlineStr">
        <is>
          <t>ARVIKA</t>
        </is>
      </c>
      <c r="G981" t="n">
        <v>5.5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53960-2025</t>
        </is>
      </c>
      <c r="B982" s="1" t="n">
        <v>45961.53651620371</v>
      </c>
      <c r="C982" s="1" t="n">
        <v>46012</v>
      </c>
      <c r="D982" t="inlineStr">
        <is>
          <t>VÄRMLANDS LÄN</t>
        </is>
      </c>
      <c r="E982" t="inlineStr">
        <is>
          <t>ARVIKA</t>
        </is>
      </c>
      <c r="G982" t="n">
        <v>2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15857-2025</t>
        </is>
      </c>
      <c r="B983" s="1" t="n">
        <v>45749</v>
      </c>
      <c r="C983" s="1" t="n">
        <v>46012</v>
      </c>
      <c r="D983" t="inlineStr">
        <is>
          <t>VÄRMLANDS LÄN</t>
        </is>
      </c>
      <c r="E983" t="inlineStr">
        <is>
          <t>ARVIKA</t>
        </is>
      </c>
      <c r="F983" t="inlineStr">
        <is>
          <t>Bergvik skog väst AB</t>
        </is>
      </c>
      <c r="G983" t="n">
        <v>1.9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55518-2021</t>
        </is>
      </c>
      <c r="B984" s="1" t="n">
        <v>44475</v>
      </c>
      <c r="C984" s="1" t="n">
        <v>46012</v>
      </c>
      <c r="D984" t="inlineStr">
        <is>
          <t>VÄRMLANDS LÄN</t>
        </is>
      </c>
      <c r="E984" t="inlineStr">
        <is>
          <t>ARVIKA</t>
        </is>
      </c>
      <c r="G984" t="n">
        <v>2.2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15918-2025</t>
        </is>
      </c>
      <c r="B985" s="1" t="n">
        <v>45749</v>
      </c>
      <c r="C985" s="1" t="n">
        <v>46012</v>
      </c>
      <c r="D985" t="inlineStr">
        <is>
          <t>VÄRMLANDS LÄN</t>
        </is>
      </c>
      <c r="E985" t="inlineStr">
        <is>
          <t>ARVIKA</t>
        </is>
      </c>
      <c r="F985" t="inlineStr">
        <is>
          <t>Bergvik skog väst AB</t>
        </is>
      </c>
      <c r="G985" t="n">
        <v>0.9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53821-2025</t>
        </is>
      </c>
      <c r="B986" s="1" t="n">
        <v>45961.32774305555</v>
      </c>
      <c r="C986" s="1" t="n">
        <v>46012</v>
      </c>
      <c r="D986" t="inlineStr">
        <is>
          <t>VÄRMLANDS LÄN</t>
        </is>
      </c>
      <c r="E986" t="inlineStr">
        <is>
          <t>ARVIKA</t>
        </is>
      </c>
      <c r="G986" t="n">
        <v>5.4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53823-2025</t>
        </is>
      </c>
      <c r="B987" s="1" t="n">
        <v>45961.33121527778</v>
      </c>
      <c r="C987" s="1" t="n">
        <v>46012</v>
      </c>
      <c r="D987" t="inlineStr">
        <is>
          <t>VÄRMLANDS LÄN</t>
        </is>
      </c>
      <c r="E987" t="inlineStr">
        <is>
          <t>ARVIKA</t>
        </is>
      </c>
      <c r="G987" t="n">
        <v>1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28627-2023</t>
        </is>
      </c>
      <c r="B988" s="1" t="n">
        <v>45103</v>
      </c>
      <c r="C988" s="1" t="n">
        <v>46012</v>
      </c>
      <c r="D988" t="inlineStr">
        <is>
          <t>VÄRMLANDS LÄN</t>
        </is>
      </c>
      <c r="E988" t="inlineStr">
        <is>
          <t>ARVIKA</t>
        </is>
      </c>
      <c r="F988" t="inlineStr">
        <is>
          <t>Bergvik skog väst AB</t>
        </is>
      </c>
      <c r="G988" t="n">
        <v>2.3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7985-2025</t>
        </is>
      </c>
      <c r="B989" s="1" t="n">
        <v>45707.47486111111</v>
      </c>
      <c r="C989" s="1" t="n">
        <v>46012</v>
      </c>
      <c r="D989" t="inlineStr">
        <is>
          <t>VÄRMLANDS LÄN</t>
        </is>
      </c>
      <c r="E989" t="inlineStr">
        <is>
          <t>ARVIKA</t>
        </is>
      </c>
      <c r="G989" t="n">
        <v>3.4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43365-2023</t>
        </is>
      </c>
      <c r="B990" s="1" t="n">
        <v>45183.7125</v>
      </c>
      <c r="C990" s="1" t="n">
        <v>46012</v>
      </c>
      <c r="D990" t="inlineStr">
        <is>
          <t>VÄRMLANDS LÄN</t>
        </is>
      </c>
      <c r="E990" t="inlineStr">
        <is>
          <t>ARVIKA</t>
        </is>
      </c>
      <c r="G990" t="n">
        <v>2.9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41493-2024</t>
        </is>
      </c>
      <c r="B991" s="1" t="n">
        <v>45560.45288194445</v>
      </c>
      <c r="C991" s="1" t="n">
        <v>46012</v>
      </c>
      <c r="D991" t="inlineStr">
        <is>
          <t>VÄRMLANDS LÄN</t>
        </is>
      </c>
      <c r="E991" t="inlineStr">
        <is>
          <t>ARVIKA</t>
        </is>
      </c>
      <c r="F991" t="inlineStr">
        <is>
          <t>Bergvik skog väst AB</t>
        </is>
      </c>
      <c r="G991" t="n">
        <v>3.8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27760-2023</t>
        </is>
      </c>
      <c r="B992" s="1" t="n">
        <v>45098.40652777778</v>
      </c>
      <c r="C992" s="1" t="n">
        <v>46012</v>
      </c>
      <c r="D992" t="inlineStr">
        <is>
          <t>VÄRMLANDS LÄN</t>
        </is>
      </c>
      <c r="E992" t="inlineStr">
        <is>
          <t>ARVIKA</t>
        </is>
      </c>
      <c r="G992" t="n">
        <v>1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62051-2025</t>
        </is>
      </c>
      <c r="B993" s="1" t="n">
        <v>46006.32009259259</v>
      </c>
      <c r="C993" s="1" t="n">
        <v>46012</v>
      </c>
      <c r="D993" t="inlineStr">
        <is>
          <t>VÄRMLANDS LÄN</t>
        </is>
      </c>
      <c r="E993" t="inlineStr">
        <is>
          <t>ARVIKA</t>
        </is>
      </c>
      <c r="G993" t="n">
        <v>0.5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54124-2025</t>
        </is>
      </c>
      <c r="B994" s="1" t="n">
        <v>45964.45662037037</v>
      </c>
      <c r="C994" s="1" t="n">
        <v>46012</v>
      </c>
      <c r="D994" t="inlineStr">
        <is>
          <t>VÄRMLANDS LÄN</t>
        </is>
      </c>
      <c r="E994" t="inlineStr">
        <is>
          <t>ARVIKA</t>
        </is>
      </c>
      <c r="G994" t="n">
        <v>1.7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53925-2025</t>
        </is>
      </c>
      <c r="B995" s="1" t="n">
        <v>45961.46171296296</v>
      </c>
      <c r="C995" s="1" t="n">
        <v>46012</v>
      </c>
      <c r="D995" t="inlineStr">
        <is>
          <t>VÄRMLANDS LÄN</t>
        </is>
      </c>
      <c r="E995" t="inlineStr">
        <is>
          <t>ARVIKA</t>
        </is>
      </c>
      <c r="G995" t="n">
        <v>2.5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14123-2025</t>
        </is>
      </c>
      <c r="B996" s="1" t="n">
        <v>45740</v>
      </c>
      <c r="C996" s="1" t="n">
        <v>46012</v>
      </c>
      <c r="D996" t="inlineStr">
        <is>
          <t>VÄRMLANDS LÄN</t>
        </is>
      </c>
      <c r="E996" t="inlineStr">
        <is>
          <t>ARVIKA</t>
        </is>
      </c>
      <c r="G996" t="n">
        <v>4.3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16472-2025</t>
        </is>
      </c>
      <c r="B997" s="1" t="n">
        <v>45751.55591435185</v>
      </c>
      <c r="C997" s="1" t="n">
        <v>46012</v>
      </c>
      <c r="D997" t="inlineStr">
        <is>
          <t>VÄRMLANDS LÄN</t>
        </is>
      </c>
      <c r="E997" t="inlineStr">
        <is>
          <t>ARVIKA</t>
        </is>
      </c>
      <c r="G997" t="n">
        <v>4.1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54041-2025</t>
        </is>
      </c>
      <c r="B998" s="1" t="n">
        <v>45963.77166666667</v>
      </c>
      <c r="C998" s="1" t="n">
        <v>46012</v>
      </c>
      <c r="D998" t="inlineStr">
        <is>
          <t>VÄRMLANDS LÄN</t>
        </is>
      </c>
      <c r="E998" t="inlineStr">
        <is>
          <t>ARVIKA</t>
        </is>
      </c>
      <c r="G998" t="n">
        <v>1.6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9690-2025</t>
        </is>
      </c>
      <c r="B999" s="1" t="n">
        <v>45716.36098379629</v>
      </c>
      <c r="C999" s="1" t="n">
        <v>46012</v>
      </c>
      <c r="D999" t="inlineStr">
        <is>
          <t>VÄRMLANDS LÄN</t>
        </is>
      </c>
      <c r="E999" t="inlineStr">
        <is>
          <t>ARVIKA</t>
        </is>
      </c>
      <c r="F999" t="inlineStr">
        <is>
          <t>Bergvik skog väst AB</t>
        </is>
      </c>
      <c r="G999" t="n">
        <v>1.7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9691-2025</t>
        </is>
      </c>
      <c r="B1000" s="1" t="n">
        <v>45716.36652777778</v>
      </c>
      <c r="C1000" s="1" t="n">
        <v>46012</v>
      </c>
      <c r="D1000" t="inlineStr">
        <is>
          <t>VÄRMLANDS LÄN</t>
        </is>
      </c>
      <c r="E1000" t="inlineStr">
        <is>
          <t>ARVIKA</t>
        </is>
      </c>
      <c r="F1000" t="inlineStr">
        <is>
          <t>Bergvik skog väst AB</t>
        </is>
      </c>
      <c r="G1000" t="n">
        <v>0.4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54029-2025</t>
        </is>
      </c>
      <c r="B1001" s="1" t="n">
        <v>45962.43524305556</v>
      </c>
      <c r="C1001" s="1" t="n">
        <v>46012</v>
      </c>
      <c r="D1001" t="inlineStr">
        <is>
          <t>VÄRMLANDS LÄN</t>
        </is>
      </c>
      <c r="E1001" t="inlineStr">
        <is>
          <t>ARVIKA</t>
        </is>
      </c>
      <c r="G1001" t="n">
        <v>3.3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54027-2025</t>
        </is>
      </c>
      <c r="B1002" s="1" t="n">
        <v>45962.42008101852</v>
      </c>
      <c r="C1002" s="1" t="n">
        <v>46012</v>
      </c>
      <c r="D1002" t="inlineStr">
        <is>
          <t>VÄRMLANDS LÄN</t>
        </is>
      </c>
      <c r="E1002" t="inlineStr">
        <is>
          <t>ARVIKA</t>
        </is>
      </c>
      <c r="G1002" t="n">
        <v>2.9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41551-2021</t>
        </is>
      </c>
      <c r="B1003" s="1" t="n">
        <v>44424</v>
      </c>
      <c r="C1003" s="1" t="n">
        <v>46012</v>
      </c>
      <c r="D1003" t="inlineStr">
        <is>
          <t>VÄRMLANDS LÄN</t>
        </is>
      </c>
      <c r="E1003" t="inlineStr">
        <is>
          <t>ARVIKA</t>
        </is>
      </c>
      <c r="G1003" t="n">
        <v>4.5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54028-2025</t>
        </is>
      </c>
      <c r="B1004" s="1" t="n">
        <v>45962.43166666666</v>
      </c>
      <c r="C1004" s="1" t="n">
        <v>46012</v>
      </c>
      <c r="D1004" t="inlineStr">
        <is>
          <t>VÄRMLANDS LÄN</t>
        </is>
      </c>
      <c r="E1004" t="inlineStr">
        <is>
          <t>ARVIKA</t>
        </is>
      </c>
      <c r="G1004" t="n">
        <v>5.7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32856-2023</t>
        </is>
      </c>
      <c r="B1005" s="1" t="n">
        <v>45124</v>
      </c>
      <c r="C1005" s="1" t="n">
        <v>46012</v>
      </c>
      <c r="D1005" t="inlineStr">
        <is>
          <t>VÄRMLANDS LÄN</t>
        </is>
      </c>
      <c r="E1005" t="inlineStr">
        <is>
          <t>ARVIKA</t>
        </is>
      </c>
      <c r="G1005" t="n">
        <v>1.2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53954-2025</t>
        </is>
      </c>
      <c r="B1006" s="1" t="n">
        <v>45961.51763888889</v>
      </c>
      <c r="C1006" s="1" t="n">
        <v>46012</v>
      </c>
      <c r="D1006" t="inlineStr">
        <is>
          <t>VÄRMLANDS LÄN</t>
        </is>
      </c>
      <c r="E1006" t="inlineStr">
        <is>
          <t>ARVIKA</t>
        </is>
      </c>
      <c r="G1006" t="n">
        <v>2.6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54675-2025</t>
        </is>
      </c>
      <c r="B1007" s="1" t="n">
        <v>45966.42137731481</v>
      </c>
      <c r="C1007" s="1" t="n">
        <v>46012</v>
      </c>
      <c r="D1007" t="inlineStr">
        <is>
          <t>VÄRMLANDS LÄN</t>
        </is>
      </c>
      <c r="E1007" t="inlineStr">
        <is>
          <t>ARVIKA</t>
        </is>
      </c>
      <c r="G1007" t="n">
        <v>1.6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59787-2023</t>
        </is>
      </c>
      <c r="B1008" s="1" t="n">
        <v>45257</v>
      </c>
      <c r="C1008" s="1" t="n">
        <v>46012</v>
      </c>
      <c r="D1008" t="inlineStr">
        <is>
          <t>VÄRMLANDS LÄN</t>
        </is>
      </c>
      <c r="E1008" t="inlineStr">
        <is>
          <t>ARVIKA</t>
        </is>
      </c>
      <c r="G1008" t="n">
        <v>1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39025-2024</t>
        </is>
      </c>
      <c r="B1009" s="1" t="n">
        <v>45548.45241898148</v>
      </c>
      <c r="C1009" s="1" t="n">
        <v>46012</v>
      </c>
      <c r="D1009" t="inlineStr">
        <is>
          <t>VÄRMLANDS LÄN</t>
        </is>
      </c>
      <c r="E1009" t="inlineStr">
        <is>
          <t>ARVIKA</t>
        </is>
      </c>
      <c r="G1009" t="n">
        <v>2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54678-2025</t>
        </is>
      </c>
      <c r="B1010" s="1" t="n">
        <v>45966.42299768519</v>
      </c>
      <c r="C1010" s="1" t="n">
        <v>46012</v>
      </c>
      <c r="D1010" t="inlineStr">
        <is>
          <t>VÄRMLANDS LÄN</t>
        </is>
      </c>
      <c r="E1010" t="inlineStr">
        <is>
          <t>ARVIKA</t>
        </is>
      </c>
      <c r="G1010" t="n">
        <v>1.8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54683-2025</t>
        </is>
      </c>
      <c r="B1011" s="1" t="n">
        <v>45966.43714120371</v>
      </c>
      <c r="C1011" s="1" t="n">
        <v>46012</v>
      </c>
      <c r="D1011" t="inlineStr">
        <is>
          <t>VÄRMLANDS LÄN</t>
        </is>
      </c>
      <c r="E1011" t="inlineStr">
        <is>
          <t>ARVIKA</t>
        </is>
      </c>
      <c r="G1011" t="n">
        <v>1.8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54682-2025</t>
        </is>
      </c>
      <c r="B1012" s="1" t="n">
        <v>45966.43693287037</v>
      </c>
      <c r="C1012" s="1" t="n">
        <v>46012</v>
      </c>
      <c r="D1012" t="inlineStr">
        <is>
          <t>VÄRMLANDS LÄN</t>
        </is>
      </c>
      <c r="E1012" t="inlineStr">
        <is>
          <t>ARVIKA</t>
        </is>
      </c>
      <c r="G1012" t="n">
        <v>1.3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47383-2023</t>
        </is>
      </c>
      <c r="B1013" s="1" t="n">
        <v>45202.62162037037</v>
      </c>
      <c r="C1013" s="1" t="n">
        <v>46012</v>
      </c>
      <c r="D1013" t="inlineStr">
        <is>
          <t>VÄRMLANDS LÄN</t>
        </is>
      </c>
      <c r="E1013" t="inlineStr">
        <is>
          <t>ARVIKA</t>
        </is>
      </c>
      <c r="G1013" t="n">
        <v>1.9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42329-2024</t>
        </is>
      </c>
      <c r="B1014" s="1" t="n">
        <v>45562</v>
      </c>
      <c r="C1014" s="1" t="n">
        <v>46012</v>
      </c>
      <c r="D1014" t="inlineStr">
        <is>
          <t>VÄRMLANDS LÄN</t>
        </is>
      </c>
      <c r="E1014" t="inlineStr">
        <is>
          <t>ARVIKA</t>
        </is>
      </c>
      <c r="G1014" t="n">
        <v>1.1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29392-2023</t>
        </is>
      </c>
      <c r="B1015" s="1" t="n">
        <v>45106</v>
      </c>
      <c r="C1015" s="1" t="n">
        <v>46012</v>
      </c>
      <c r="D1015" t="inlineStr">
        <is>
          <t>VÄRMLANDS LÄN</t>
        </is>
      </c>
      <c r="E1015" t="inlineStr">
        <is>
          <t>ARVIKA</t>
        </is>
      </c>
      <c r="G1015" t="n">
        <v>1.2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62385-2025</t>
        </is>
      </c>
      <c r="B1016" s="1" t="n">
        <v>46007.3786574074</v>
      </c>
      <c r="C1016" s="1" t="n">
        <v>46012</v>
      </c>
      <c r="D1016" t="inlineStr">
        <is>
          <t>VÄRMLANDS LÄN</t>
        </is>
      </c>
      <c r="E1016" t="inlineStr">
        <is>
          <t>ARVIKA</t>
        </is>
      </c>
      <c r="G1016" t="n">
        <v>1.6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3980-2023</t>
        </is>
      </c>
      <c r="B1017" s="1" t="n">
        <v>44952.46194444445</v>
      </c>
      <c r="C1017" s="1" t="n">
        <v>46012</v>
      </c>
      <c r="D1017" t="inlineStr">
        <is>
          <t>VÄRMLANDS LÄN</t>
        </is>
      </c>
      <c r="E1017" t="inlineStr">
        <is>
          <t>ARVIKA</t>
        </is>
      </c>
      <c r="G1017" t="n">
        <v>1.1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45178-2023</t>
        </is>
      </c>
      <c r="B1018" s="1" t="n">
        <v>45191.53236111111</v>
      </c>
      <c r="C1018" s="1" t="n">
        <v>46012</v>
      </c>
      <c r="D1018" t="inlineStr">
        <is>
          <t>VÄRMLANDS LÄN</t>
        </is>
      </c>
      <c r="E1018" t="inlineStr">
        <is>
          <t>ARVIKA</t>
        </is>
      </c>
      <c r="G1018" t="n">
        <v>4.2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54597-2025</t>
        </is>
      </c>
      <c r="B1019" s="1" t="n">
        <v>45965.7700462963</v>
      </c>
      <c r="C1019" s="1" t="n">
        <v>46012</v>
      </c>
      <c r="D1019" t="inlineStr">
        <is>
          <t>VÄRMLANDS LÄN</t>
        </is>
      </c>
      <c r="E1019" t="inlineStr">
        <is>
          <t>ARVIKA</t>
        </is>
      </c>
      <c r="G1019" t="n">
        <v>1.7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55734-2024</t>
        </is>
      </c>
      <c r="B1020" s="1" t="n">
        <v>45622</v>
      </c>
      <c r="C1020" s="1" t="n">
        <v>46012</v>
      </c>
      <c r="D1020" t="inlineStr">
        <is>
          <t>VÄRMLANDS LÄN</t>
        </is>
      </c>
      <c r="E1020" t="inlineStr">
        <is>
          <t>ARVIKA</t>
        </is>
      </c>
      <c r="G1020" t="n">
        <v>1.2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62030-2025</t>
        </is>
      </c>
      <c r="B1021" s="1" t="n">
        <v>46003</v>
      </c>
      <c r="C1021" s="1" t="n">
        <v>46012</v>
      </c>
      <c r="D1021" t="inlineStr">
        <is>
          <t>VÄRMLANDS LÄN</t>
        </is>
      </c>
      <c r="E1021" t="inlineStr">
        <is>
          <t>ARVIKA</t>
        </is>
      </c>
      <c r="G1021" t="n">
        <v>1.4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35613-2023</t>
        </is>
      </c>
      <c r="B1022" s="1" t="n">
        <v>45146</v>
      </c>
      <c r="C1022" s="1" t="n">
        <v>46012</v>
      </c>
      <c r="D1022" t="inlineStr">
        <is>
          <t>VÄRMLANDS LÄN</t>
        </is>
      </c>
      <c r="E1022" t="inlineStr">
        <is>
          <t>ARVIKA</t>
        </is>
      </c>
      <c r="G1022" t="n">
        <v>0.9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35628-2023</t>
        </is>
      </c>
      <c r="B1023" s="1" t="n">
        <v>45146</v>
      </c>
      <c r="C1023" s="1" t="n">
        <v>46012</v>
      </c>
      <c r="D1023" t="inlineStr">
        <is>
          <t>VÄRMLANDS LÄN</t>
        </is>
      </c>
      <c r="E1023" t="inlineStr">
        <is>
          <t>ARVIKA</t>
        </is>
      </c>
      <c r="G1023" t="n">
        <v>1.8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969-2023</t>
        </is>
      </c>
      <c r="B1024" s="1" t="n">
        <v>44935.31355324074</v>
      </c>
      <c r="C1024" s="1" t="n">
        <v>46012</v>
      </c>
      <c r="D1024" t="inlineStr">
        <is>
          <t>VÄRMLANDS LÄN</t>
        </is>
      </c>
      <c r="E1024" t="inlineStr">
        <is>
          <t>ARVIKA</t>
        </is>
      </c>
      <c r="G1024" t="n">
        <v>6.9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14219-2024</t>
        </is>
      </c>
      <c r="B1025" s="1" t="n">
        <v>45393.45599537037</v>
      </c>
      <c r="C1025" s="1" t="n">
        <v>46012</v>
      </c>
      <c r="D1025" t="inlineStr">
        <is>
          <t>VÄRMLANDS LÄN</t>
        </is>
      </c>
      <c r="E1025" t="inlineStr">
        <is>
          <t>ARVIKA</t>
        </is>
      </c>
      <c r="G1025" t="n">
        <v>0.5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47432-2024</t>
        </is>
      </c>
      <c r="B1026" s="1" t="n">
        <v>45587</v>
      </c>
      <c r="C1026" s="1" t="n">
        <v>46012</v>
      </c>
      <c r="D1026" t="inlineStr">
        <is>
          <t>VÄRMLANDS LÄN</t>
        </is>
      </c>
      <c r="E1026" t="inlineStr">
        <is>
          <t>ARVIKA</t>
        </is>
      </c>
      <c r="F1026" t="inlineStr">
        <is>
          <t>Bergvik skog väst AB</t>
        </is>
      </c>
      <c r="G1026" t="n">
        <v>1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62348-2025</t>
        </is>
      </c>
      <c r="B1027" s="1" t="n">
        <v>46006</v>
      </c>
      <c r="C1027" s="1" t="n">
        <v>46012</v>
      </c>
      <c r="D1027" t="inlineStr">
        <is>
          <t>VÄRMLANDS LÄN</t>
        </is>
      </c>
      <c r="E1027" t="inlineStr">
        <is>
          <t>ARVIKA</t>
        </is>
      </c>
      <c r="G1027" t="n">
        <v>0.7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60183-2021</t>
        </is>
      </c>
      <c r="B1028" s="1" t="n">
        <v>44495</v>
      </c>
      <c r="C1028" s="1" t="n">
        <v>46012</v>
      </c>
      <c r="D1028" t="inlineStr">
        <is>
          <t>VÄRMLANDS LÄN</t>
        </is>
      </c>
      <c r="E1028" t="inlineStr">
        <is>
          <t>ARVIKA</t>
        </is>
      </c>
      <c r="G1028" t="n">
        <v>1.4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53962-2025</t>
        </is>
      </c>
      <c r="B1029" s="1" t="n">
        <v>45961</v>
      </c>
      <c r="C1029" s="1" t="n">
        <v>46012</v>
      </c>
      <c r="D1029" t="inlineStr">
        <is>
          <t>VÄRMLANDS LÄN</t>
        </is>
      </c>
      <c r="E1029" t="inlineStr">
        <is>
          <t>ARVIKA</t>
        </is>
      </c>
      <c r="G1029" t="n">
        <v>5.9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55264-2025</t>
        </is>
      </c>
      <c r="B1030" s="1" t="n">
        <v>45968.65210648148</v>
      </c>
      <c r="C1030" s="1" t="n">
        <v>46012</v>
      </c>
      <c r="D1030" t="inlineStr">
        <is>
          <t>VÄRMLANDS LÄN</t>
        </is>
      </c>
      <c r="E1030" t="inlineStr">
        <is>
          <t>ARVIKA</t>
        </is>
      </c>
      <c r="G1030" t="n">
        <v>1.5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19683-2025</t>
        </is>
      </c>
      <c r="B1031" s="1" t="n">
        <v>45770.86015046296</v>
      </c>
      <c r="C1031" s="1" t="n">
        <v>46012</v>
      </c>
      <c r="D1031" t="inlineStr">
        <is>
          <t>VÄRMLANDS LÄN</t>
        </is>
      </c>
      <c r="E1031" t="inlineStr">
        <is>
          <t>ARVIKA</t>
        </is>
      </c>
      <c r="G1031" t="n">
        <v>1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73936-2021</t>
        </is>
      </c>
      <c r="B1032" s="1" t="n">
        <v>44552</v>
      </c>
      <c r="C1032" s="1" t="n">
        <v>46012</v>
      </c>
      <c r="D1032" t="inlineStr">
        <is>
          <t>VÄRMLANDS LÄN</t>
        </is>
      </c>
      <c r="E1032" t="inlineStr">
        <is>
          <t>ARVIKA</t>
        </is>
      </c>
      <c r="G1032" t="n">
        <v>4.7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45962-2024</t>
        </is>
      </c>
      <c r="B1033" s="1" t="n">
        <v>45580.57537037037</v>
      </c>
      <c r="C1033" s="1" t="n">
        <v>46012</v>
      </c>
      <c r="D1033" t="inlineStr">
        <is>
          <t>VÄRMLANDS LÄN</t>
        </is>
      </c>
      <c r="E1033" t="inlineStr">
        <is>
          <t>ARVIKA</t>
        </is>
      </c>
      <c r="G1033" t="n">
        <v>1.6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63124-2025</t>
        </is>
      </c>
      <c r="B1034" s="1" t="n">
        <v>46009.89548611111</v>
      </c>
      <c r="C1034" s="1" t="n">
        <v>46012</v>
      </c>
      <c r="D1034" t="inlineStr">
        <is>
          <t>VÄRMLANDS LÄN</t>
        </is>
      </c>
      <c r="E1034" t="inlineStr">
        <is>
          <t>ARVIKA</t>
        </is>
      </c>
      <c r="G1034" t="n">
        <v>1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60627-2022</t>
        </is>
      </c>
      <c r="B1035" s="1" t="n">
        <v>44906</v>
      </c>
      <c r="C1035" s="1" t="n">
        <v>46012</v>
      </c>
      <c r="D1035" t="inlineStr">
        <is>
          <t>VÄRMLANDS LÄN</t>
        </is>
      </c>
      <c r="E1035" t="inlineStr">
        <is>
          <t>ARVIKA</t>
        </is>
      </c>
      <c r="G1035" t="n">
        <v>6.5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60059-2022</t>
        </is>
      </c>
      <c r="B1036" s="1" t="n">
        <v>44909</v>
      </c>
      <c r="C1036" s="1" t="n">
        <v>46012</v>
      </c>
      <c r="D1036" t="inlineStr">
        <is>
          <t>VÄRMLANDS LÄN</t>
        </is>
      </c>
      <c r="E1036" t="inlineStr">
        <is>
          <t>ARVIKA</t>
        </is>
      </c>
      <c r="G1036" t="n">
        <v>2.2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4630-2021</t>
        </is>
      </c>
      <c r="B1037" s="1" t="n">
        <v>44224</v>
      </c>
      <c r="C1037" s="1" t="n">
        <v>46012</v>
      </c>
      <c r="D1037" t="inlineStr">
        <is>
          <t>VÄRMLANDS LÄN</t>
        </is>
      </c>
      <c r="E1037" t="inlineStr">
        <is>
          <t>ARVIKA</t>
        </is>
      </c>
      <c r="G1037" t="n">
        <v>3.9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57998-2023</t>
        </is>
      </c>
      <c r="B1038" s="1" t="n">
        <v>45247</v>
      </c>
      <c r="C1038" s="1" t="n">
        <v>46012</v>
      </c>
      <c r="D1038" t="inlineStr">
        <is>
          <t>VÄRMLANDS LÄN</t>
        </is>
      </c>
      <c r="E1038" t="inlineStr">
        <is>
          <t>ARVIKA</t>
        </is>
      </c>
      <c r="G1038" t="n">
        <v>3.7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7347-2025</t>
        </is>
      </c>
      <c r="B1039" s="1" t="n">
        <v>45703</v>
      </c>
      <c r="C1039" s="1" t="n">
        <v>46012</v>
      </c>
      <c r="D1039" t="inlineStr">
        <is>
          <t>VÄRMLANDS LÄN</t>
        </is>
      </c>
      <c r="E1039" t="inlineStr">
        <is>
          <t>ARVIKA</t>
        </is>
      </c>
      <c r="G1039" t="n">
        <v>1.5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58408-2022</t>
        </is>
      </c>
      <c r="B1040" s="1" t="n">
        <v>44901</v>
      </c>
      <c r="C1040" s="1" t="n">
        <v>46012</v>
      </c>
      <c r="D1040" t="inlineStr">
        <is>
          <t>VÄRMLANDS LÄN</t>
        </is>
      </c>
      <c r="E1040" t="inlineStr">
        <is>
          <t>ARVIKA</t>
        </is>
      </c>
      <c r="G1040" t="n">
        <v>16.4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39120-2025</t>
        </is>
      </c>
      <c r="B1041" s="1" t="n">
        <v>45887</v>
      </c>
      <c r="C1041" s="1" t="n">
        <v>46012</v>
      </c>
      <c r="D1041" t="inlineStr">
        <is>
          <t>VÄRMLANDS LÄN</t>
        </is>
      </c>
      <c r="E1041" t="inlineStr">
        <is>
          <t>ARVIKA</t>
        </is>
      </c>
      <c r="G1041" t="n">
        <v>2.5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54929-2025</t>
        </is>
      </c>
      <c r="B1042" s="1" t="n">
        <v>45967</v>
      </c>
      <c r="C1042" s="1" t="n">
        <v>46012</v>
      </c>
      <c r="D1042" t="inlineStr">
        <is>
          <t>VÄRMLANDS LÄN</t>
        </is>
      </c>
      <c r="E1042" t="inlineStr">
        <is>
          <t>ARVIKA</t>
        </is>
      </c>
      <c r="G1042" t="n">
        <v>1.7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63202-2025</t>
        </is>
      </c>
      <c r="B1043" s="1" t="n">
        <v>46009</v>
      </c>
      <c r="C1043" s="1" t="n">
        <v>46012</v>
      </c>
      <c r="D1043" t="inlineStr">
        <is>
          <t>VÄRMLANDS LÄN</t>
        </is>
      </c>
      <c r="E1043" t="inlineStr">
        <is>
          <t>ARVIKA</t>
        </is>
      </c>
      <c r="G1043" t="n">
        <v>1.1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54987-2025</t>
        </is>
      </c>
      <c r="B1044" s="1" t="n">
        <v>45967.57083333333</v>
      </c>
      <c r="C1044" s="1" t="n">
        <v>46012</v>
      </c>
      <c r="D1044" t="inlineStr">
        <is>
          <t>VÄRMLANDS LÄN</t>
        </is>
      </c>
      <c r="E1044" t="inlineStr">
        <is>
          <t>ARVIKA</t>
        </is>
      </c>
      <c r="G1044" t="n">
        <v>0.9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54971-2025</t>
        </is>
      </c>
      <c r="B1045" s="1" t="n">
        <v>45967.49662037037</v>
      </c>
      <c r="C1045" s="1" t="n">
        <v>46012</v>
      </c>
      <c r="D1045" t="inlineStr">
        <is>
          <t>VÄRMLANDS LÄN</t>
        </is>
      </c>
      <c r="E1045" t="inlineStr">
        <is>
          <t>ARVIKA</t>
        </is>
      </c>
      <c r="G1045" t="n">
        <v>11.5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54986-2025</t>
        </is>
      </c>
      <c r="B1046" s="1" t="n">
        <v>45967.56366898148</v>
      </c>
      <c r="C1046" s="1" t="n">
        <v>46012</v>
      </c>
      <c r="D1046" t="inlineStr">
        <is>
          <t>VÄRMLANDS LÄN</t>
        </is>
      </c>
      <c r="E1046" t="inlineStr">
        <is>
          <t>ARVIKA</t>
        </is>
      </c>
      <c r="G1046" t="n">
        <v>2.6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63123-2025</t>
        </is>
      </c>
      <c r="B1047" s="1" t="n">
        <v>46009.88842592593</v>
      </c>
      <c r="C1047" s="1" t="n">
        <v>46012</v>
      </c>
      <c r="D1047" t="inlineStr">
        <is>
          <t>VÄRMLANDS LÄN</t>
        </is>
      </c>
      <c r="E1047" t="inlineStr">
        <is>
          <t>ARVIKA</t>
        </is>
      </c>
      <c r="G1047" t="n">
        <v>1.4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54989-2025</t>
        </is>
      </c>
      <c r="B1048" s="1" t="n">
        <v>45967.57284722223</v>
      </c>
      <c r="C1048" s="1" t="n">
        <v>46012</v>
      </c>
      <c r="D1048" t="inlineStr">
        <is>
          <t>VÄRMLANDS LÄN</t>
        </is>
      </c>
      <c r="E1048" t="inlineStr">
        <is>
          <t>ARVIKA</t>
        </is>
      </c>
      <c r="G1048" t="n">
        <v>0.8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3636-2023</t>
        </is>
      </c>
      <c r="B1049" s="1" t="n">
        <v>44950</v>
      </c>
      <c r="C1049" s="1" t="n">
        <v>46012</v>
      </c>
      <c r="D1049" t="inlineStr">
        <is>
          <t>VÄRMLANDS LÄN</t>
        </is>
      </c>
      <c r="E1049" t="inlineStr">
        <is>
          <t>ARVIKA</t>
        </is>
      </c>
      <c r="F1049" t="inlineStr">
        <is>
          <t>Bergvik skog väst AB</t>
        </is>
      </c>
      <c r="G1049" t="n">
        <v>13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3640-2023</t>
        </is>
      </c>
      <c r="B1050" s="1" t="n">
        <v>44950.68668981481</v>
      </c>
      <c r="C1050" s="1" t="n">
        <v>46012</v>
      </c>
      <c r="D1050" t="inlineStr">
        <is>
          <t>VÄRMLANDS LÄN</t>
        </is>
      </c>
      <c r="E1050" t="inlineStr">
        <is>
          <t>ARVIKA</t>
        </is>
      </c>
      <c r="G1050" t="n">
        <v>0.5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27170-2024</t>
        </is>
      </c>
      <c r="B1051" s="1" t="n">
        <v>45471</v>
      </c>
      <c r="C1051" s="1" t="n">
        <v>46012</v>
      </c>
      <c r="D1051" t="inlineStr">
        <is>
          <t>VÄRMLANDS LÄN</t>
        </is>
      </c>
      <c r="E1051" t="inlineStr">
        <is>
          <t>ARVIKA</t>
        </is>
      </c>
      <c r="F1051" t="inlineStr">
        <is>
          <t>Bergvik skog väst AB</t>
        </is>
      </c>
      <c r="G1051" t="n">
        <v>0.5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4993-2024</t>
        </is>
      </c>
      <c r="B1052" s="1" t="n">
        <v>45329</v>
      </c>
      <c r="C1052" s="1" t="n">
        <v>46012</v>
      </c>
      <c r="D1052" t="inlineStr">
        <is>
          <t>VÄRMLANDS LÄN</t>
        </is>
      </c>
      <c r="E1052" t="inlineStr">
        <is>
          <t>ARVIKA</t>
        </is>
      </c>
      <c r="F1052" t="inlineStr">
        <is>
          <t>Bergvik skog väst AB</t>
        </is>
      </c>
      <c r="G1052" t="n">
        <v>0.6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32503-2024</t>
        </is>
      </c>
      <c r="B1053" s="1" t="n">
        <v>45513.43894675926</v>
      </c>
      <c r="C1053" s="1" t="n">
        <v>46012</v>
      </c>
      <c r="D1053" t="inlineStr">
        <is>
          <t>VÄRMLANDS LÄN</t>
        </is>
      </c>
      <c r="E1053" t="inlineStr">
        <is>
          <t>ARVIKA</t>
        </is>
      </c>
      <c r="G1053" t="n">
        <v>1.2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12744-2024</t>
        </is>
      </c>
      <c r="B1054" s="1" t="n">
        <v>45384.54175925926</v>
      </c>
      <c r="C1054" s="1" t="n">
        <v>46012</v>
      </c>
      <c r="D1054" t="inlineStr">
        <is>
          <t>VÄRMLANDS LÄN</t>
        </is>
      </c>
      <c r="E1054" t="inlineStr">
        <is>
          <t>ARVIKA</t>
        </is>
      </c>
      <c r="G1054" t="n">
        <v>0.6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62607-2022</t>
        </is>
      </c>
      <c r="B1055" s="1" t="n">
        <v>44917</v>
      </c>
      <c r="C1055" s="1" t="n">
        <v>46012</v>
      </c>
      <c r="D1055" t="inlineStr">
        <is>
          <t>VÄRMLANDS LÄN</t>
        </is>
      </c>
      <c r="E1055" t="inlineStr">
        <is>
          <t>ARVIKA</t>
        </is>
      </c>
      <c r="G1055" t="n">
        <v>1.8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62609-2022</t>
        </is>
      </c>
      <c r="B1056" s="1" t="n">
        <v>44917</v>
      </c>
      <c r="C1056" s="1" t="n">
        <v>46012</v>
      </c>
      <c r="D1056" t="inlineStr">
        <is>
          <t>VÄRMLANDS LÄN</t>
        </is>
      </c>
      <c r="E1056" t="inlineStr">
        <is>
          <t>ARVIKA</t>
        </is>
      </c>
      <c r="G1056" t="n">
        <v>0.8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62612-2022</t>
        </is>
      </c>
      <c r="B1057" s="1" t="n">
        <v>44917</v>
      </c>
      <c r="C1057" s="1" t="n">
        <v>46012</v>
      </c>
      <c r="D1057" t="inlineStr">
        <is>
          <t>VÄRMLANDS LÄN</t>
        </is>
      </c>
      <c r="E1057" t="inlineStr">
        <is>
          <t>ARVIKA</t>
        </is>
      </c>
      <c r="G1057" t="n">
        <v>1.1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37929-2024</t>
        </is>
      </c>
      <c r="B1058" s="1" t="n">
        <v>45544</v>
      </c>
      <c r="C1058" s="1" t="n">
        <v>46012</v>
      </c>
      <c r="D1058" t="inlineStr">
        <is>
          <t>VÄRMLANDS LÄN</t>
        </is>
      </c>
      <c r="E1058" t="inlineStr">
        <is>
          <t>ARVIKA</t>
        </is>
      </c>
      <c r="F1058" t="inlineStr">
        <is>
          <t>Bergvik skog väst AB</t>
        </is>
      </c>
      <c r="G1058" t="n">
        <v>3.1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16496-2023</t>
        </is>
      </c>
      <c r="B1059" s="1" t="n">
        <v>45029</v>
      </c>
      <c r="C1059" s="1" t="n">
        <v>46012</v>
      </c>
      <c r="D1059" t="inlineStr">
        <is>
          <t>VÄRMLANDS LÄN</t>
        </is>
      </c>
      <c r="E1059" t="inlineStr">
        <is>
          <t>ARVIKA</t>
        </is>
      </c>
      <c r="F1059" t="inlineStr">
        <is>
          <t>Bergvik skog väst AB</t>
        </is>
      </c>
      <c r="G1059" t="n">
        <v>5.4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44270-2022</t>
        </is>
      </c>
      <c r="B1060" s="1" t="n">
        <v>44839.57755787037</v>
      </c>
      <c r="C1060" s="1" t="n">
        <v>46012</v>
      </c>
      <c r="D1060" t="inlineStr">
        <is>
          <t>VÄRMLANDS LÄN</t>
        </is>
      </c>
      <c r="E1060" t="inlineStr">
        <is>
          <t>ARVIKA</t>
        </is>
      </c>
      <c r="G1060" t="n">
        <v>1.3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60344-2023</t>
        </is>
      </c>
      <c r="B1061" s="1" t="n">
        <v>45259</v>
      </c>
      <c r="C1061" s="1" t="n">
        <v>46012</v>
      </c>
      <c r="D1061" t="inlineStr">
        <is>
          <t>VÄRMLANDS LÄN</t>
        </is>
      </c>
      <c r="E1061" t="inlineStr">
        <is>
          <t>ARVIKA</t>
        </is>
      </c>
      <c r="G1061" t="n">
        <v>3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37227-2024</t>
        </is>
      </c>
      <c r="B1062" s="1" t="n">
        <v>45539.90851851852</v>
      </c>
      <c r="C1062" s="1" t="n">
        <v>46012</v>
      </c>
      <c r="D1062" t="inlineStr">
        <is>
          <t>VÄRMLANDS LÄN</t>
        </is>
      </c>
      <c r="E1062" t="inlineStr">
        <is>
          <t>ARVIKA</t>
        </is>
      </c>
      <c r="G1062" t="n">
        <v>0.9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48858-2024</t>
        </is>
      </c>
      <c r="B1063" s="1" t="n">
        <v>45593</v>
      </c>
      <c r="C1063" s="1" t="n">
        <v>46012</v>
      </c>
      <c r="D1063" t="inlineStr">
        <is>
          <t>VÄRMLANDS LÄN</t>
        </is>
      </c>
      <c r="E1063" t="inlineStr">
        <is>
          <t>ARVIKA</t>
        </is>
      </c>
      <c r="F1063" t="inlineStr">
        <is>
          <t>Kommuner</t>
        </is>
      </c>
      <c r="G1063" t="n">
        <v>0.8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34400-2023</t>
        </is>
      </c>
      <c r="B1064" s="1" t="n">
        <v>45132</v>
      </c>
      <c r="C1064" s="1" t="n">
        <v>46012</v>
      </c>
      <c r="D1064" t="inlineStr">
        <is>
          <t>VÄRMLANDS LÄN</t>
        </is>
      </c>
      <c r="E1064" t="inlineStr">
        <is>
          <t>ARVIKA</t>
        </is>
      </c>
      <c r="G1064" t="n">
        <v>2.2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33641-2024</t>
        </is>
      </c>
      <c r="B1065" s="1" t="n">
        <v>45520.44603009259</v>
      </c>
      <c r="C1065" s="1" t="n">
        <v>46012</v>
      </c>
      <c r="D1065" t="inlineStr">
        <is>
          <t>VÄRMLANDS LÄN</t>
        </is>
      </c>
      <c r="E1065" t="inlineStr">
        <is>
          <t>ARVIKA</t>
        </is>
      </c>
      <c r="F1065" t="inlineStr">
        <is>
          <t>Bergvik skog väst AB</t>
        </is>
      </c>
      <c r="G1065" t="n">
        <v>3.4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19109-2024</t>
        </is>
      </c>
      <c r="B1066" s="1" t="n">
        <v>45428</v>
      </c>
      <c r="C1066" s="1" t="n">
        <v>46012</v>
      </c>
      <c r="D1066" t="inlineStr">
        <is>
          <t>VÄRMLANDS LÄN</t>
        </is>
      </c>
      <c r="E1066" t="inlineStr">
        <is>
          <t>ARVIKA</t>
        </is>
      </c>
      <c r="G1066" t="n">
        <v>2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36479-2024</t>
        </is>
      </c>
      <c r="B1067" s="1" t="n">
        <v>45537.3708449074</v>
      </c>
      <c r="C1067" s="1" t="n">
        <v>46012</v>
      </c>
      <c r="D1067" t="inlineStr">
        <is>
          <t>VÄRMLANDS LÄN</t>
        </is>
      </c>
      <c r="E1067" t="inlineStr">
        <is>
          <t>ARVIKA</t>
        </is>
      </c>
      <c r="G1067" t="n">
        <v>1.7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36717-2023</t>
        </is>
      </c>
      <c r="B1068" s="1" t="n">
        <v>45153</v>
      </c>
      <c r="C1068" s="1" t="n">
        <v>46012</v>
      </c>
      <c r="D1068" t="inlineStr">
        <is>
          <t>VÄRMLANDS LÄN</t>
        </is>
      </c>
      <c r="E1068" t="inlineStr">
        <is>
          <t>ARVIKA</t>
        </is>
      </c>
      <c r="F1068" t="inlineStr">
        <is>
          <t>Bergvik skog väst AB</t>
        </is>
      </c>
      <c r="G1068" t="n">
        <v>2.4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26175-2024</t>
        </is>
      </c>
      <c r="B1069" s="1" t="n">
        <v>45468</v>
      </c>
      <c r="C1069" s="1" t="n">
        <v>46012</v>
      </c>
      <c r="D1069" t="inlineStr">
        <is>
          <t>VÄRMLANDS LÄN</t>
        </is>
      </c>
      <c r="E1069" t="inlineStr">
        <is>
          <t>ARVIKA</t>
        </is>
      </c>
      <c r="F1069" t="inlineStr">
        <is>
          <t>Bergvik skog väst AB</t>
        </is>
      </c>
      <c r="G1069" t="n">
        <v>0.8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17704-2023</t>
        </is>
      </c>
      <c r="B1070" s="1" t="n">
        <v>45035</v>
      </c>
      <c r="C1070" s="1" t="n">
        <v>46012</v>
      </c>
      <c r="D1070" t="inlineStr">
        <is>
          <t>VÄRMLANDS LÄN</t>
        </is>
      </c>
      <c r="E1070" t="inlineStr">
        <is>
          <t>ARVIKA</t>
        </is>
      </c>
      <c r="G1070" t="n">
        <v>2.8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27617-2024</t>
        </is>
      </c>
      <c r="B1071" s="1" t="n">
        <v>45474.84886574074</v>
      </c>
      <c r="C1071" s="1" t="n">
        <v>46012</v>
      </c>
      <c r="D1071" t="inlineStr">
        <is>
          <t>VÄRMLANDS LÄN</t>
        </is>
      </c>
      <c r="E1071" t="inlineStr">
        <is>
          <t>ARVIKA</t>
        </is>
      </c>
      <c r="G1071" t="n">
        <v>3.4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49883-2024</t>
        </is>
      </c>
      <c r="B1072" s="1" t="n">
        <v>45597</v>
      </c>
      <c r="C1072" s="1" t="n">
        <v>46012</v>
      </c>
      <c r="D1072" t="inlineStr">
        <is>
          <t>VÄRMLANDS LÄN</t>
        </is>
      </c>
      <c r="E1072" t="inlineStr">
        <is>
          <t>ARVIKA</t>
        </is>
      </c>
      <c r="F1072" t="inlineStr">
        <is>
          <t>Bergvik skog väst AB</t>
        </is>
      </c>
      <c r="G1072" t="n">
        <v>4.6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63208-2023</t>
        </is>
      </c>
      <c r="B1073" s="1" t="n">
        <v>45273.61193287037</v>
      </c>
      <c r="C1073" s="1" t="n">
        <v>46012</v>
      </c>
      <c r="D1073" t="inlineStr">
        <is>
          <t>VÄRMLANDS LÄN</t>
        </is>
      </c>
      <c r="E1073" t="inlineStr">
        <is>
          <t>ARVIKA</t>
        </is>
      </c>
      <c r="G1073" t="n">
        <v>0.8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24986-2024</t>
        </is>
      </c>
      <c r="B1074" s="1" t="n">
        <v>45461</v>
      </c>
      <c r="C1074" s="1" t="n">
        <v>46012</v>
      </c>
      <c r="D1074" t="inlineStr">
        <is>
          <t>VÄRMLANDS LÄN</t>
        </is>
      </c>
      <c r="E1074" t="inlineStr">
        <is>
          <t>ARVIKA</t>
        </is>
      </c>
      <c r="G1074" t="n">
        <v>0.7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11913-2025</t>
        </is>
      </c>
      <c r="B1075" s="1" t="n">
        <v>45728.48829861111</v>
      </c>
      <c r="C1075" s="1" t="n">
        <v>46012</v>
      </c>
      <c r="D1075" t="inlineStr">
        <is>
          <t>VÄRMLANDS LÄN</t>
        </is>
      </c>
      <c r="E1075" t="inlineStr">
        <is>
          <t>ARVIKA</t>
        </is>
      </c>
      <c r="G1075" t="n">
        <v>1.1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414-2024</t>
        </is>
      </c>
      <c r="B1076" s="1" t="n">
        <v>45296.4865625</v>
      </c>
      <c r="C1076" s="1" t="n">
        <v>46012</v>
      </c>
      <c r="D1076" t="inlineStr">
        <is>
          <t>VÄRMLANDS LÄN</t>
        </is>
      </c>
      <c r="E1076" t="inlineStr">
        <is>
          <t>ARVIKA</t>
        </is>
      </c>
      <c r="G1076" t="n">
        <v>1.6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22316-2023</t>
        </is>
      </c>
      <c r="B1077" s="1" t="n">
        <v>45070</v>
      </c>
      <c r="C1077" s="1" t="n">
        <v>46012</v>
      </c>
      <c r="D1077" t="inlineStr">
        <is>
          <t>VÄRMLANDS LÄN</t>
        </is>
      </c>
      <c r="E1077" t="inlineStr">
        <is>
          <t>ARVIKA</t>
        </is>
      </c>
      <c r="G1077" t="n">
        <v>2.3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14488-2025</t>
        </is>
      </c>
      <c r="B1078" s="1" t="n">
        <v>45741</v>
      </c>
      <c r="C1078" s="1" t="n">
        <v>46012</v>
      </c>
      <c r="D1078" t="inlineStr">
        <is>
          <t>VÄRMLANDS LÄN</t>
        </is>
      </c>
      <c r="E1078" t="inlineStr">
        <is>
          <t>ARVIKA</t>
        </is>
      </c>
      <c r="G1078" t="n">
        <v>1.1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61945-2024</t>
        </is>
      </c>
      <c r="B1079" s="1" t="n">
        <v>45653.49907407408</v>
      </c>
      <c r="C1079" s="1" t="n">
        <v>46012</v>
      </c>
      <c r="D1079" t="inlineStr">
        <is>
          <t>VÄRMLANDS LÄN</t>
        </is>
      </c>
      <c r="E1079" t="inlineStr">
        <is>
          <t>ARVIKA</t>
        </is>
      </c>
      <c r="F1079" t="inlineStr">
        <is>
          <t>Bergvik skog väst AB</t>
        </is>
      </c>
      <c r="G1079" t="n">
        <v>5.3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67196-2021</t>
        </is>
      </c>
      <c r="B1080" s="1" t="n">
        <v>44523.45806712963</v>
      </c>
      <c r="C1080" s="1" t="n">
        <v>46012</v>
      </c>
      <c r="D1080" t="inlineStr">
        <is>
          <t>VÄRMLANDS LÄN</t>
        </is>
      </c>
      <c r="E1080" t="inlineStr">
        <is>
          <t>ARVIKA</t>
        </is>
      </c>
      <c r="G1080" t="n">
        <v>4.7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58058-2024</t>
        </is>
      </c>
      <c r="B1081" s="1" t="n">
        <v>45631</v>
      </c>
      <c r="C1081" s="1" t="n">
        <v>46012</v>
      </c>
      <c r="D1081" t="inlineStr">
        <is>
          <t>VÄRMLANDS LÄN</t>
        </is>
      </c>
      <c r="E1081" t="inlineStr">
        <is>
          <t>ARVIKA</t>
        </is>
      </c>
      <c r="G1081" t="n">
        <v>2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16778-2025</t>
        </is>
      </c>
      <c r="B1082" s="1" t="n">
        <v>45754.58761574074</v>
      </c>
      <c r="C1082" s="1" t="n">
        <v>46012</v>
      </c>
      <c r="D1082" t="inlineStr">
        <is>
          <t>VÄRMLANDS LÄN</t>
        </is>
      </c>
      <c r="E1082" t="inlineStr">
        <is>
          <t>ARVIKA</t>
        </is>
      </c>
      <c r="G1082" t="n">
        <v>1.9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41607-2023</t>
        </is>
      </c>
      <c r="B1083" s="1" t="n">
        <v>45175.65452546296</v>
      </c>
      <c r="C1083" s="1" t="n">
        <v>46012</v>
      </c>
      <c r="D1083" t="inlineStr">
        <is>
          <t>VÄRMLANDS LÄN</t>
        </is>
      </c>
      <c r="E1083" t="inlineStr">
        <is>
          <t>ARVIKA</t>
        </is>
      </c>
      <c r="G1083" t="n">
        <v>5.3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16731-2024</t>
        </is>
      </c>
      <c r="B1084" s="1" t="n">
        <v>45410.73828703703</v>
      </c>
      <c r="C1084" s="1" t="n">
        <v>46012</v>
      </c>
      <c r="D1084" t="inlineStr">
        <is>
          <t>VÄRMLANDS LÄN</t>
        </is>
      </c>
      <c r="E1084" t="inlineStr">
        <is>
          <t>ARVIKA</t>
        </is>
      </c>
      <c r="G1084" t="n">
        <v>1.5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16739-2024</t>
        </is>
      </c>
      <c r="B1085" s="1" t="n">
        <v>45410.86518518518</v>
      </c>
      <c r="C1085" s="1" t="n">
        <v>46012</v>
      </c>
      <c r="D1085" t="inlineStr">
        <is>
          <t>VÄRMLANDS LÄN</t>
        </is>
      </c>
      <c r="E1085" t="inlineStr">
        <is>
          <t>ARVIKA</t>
        </is>
      </c>
      <c r="G1085" t="n">
        <v>1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19922-2024</t>
        </is>
      </c>
      <c r="B1086" s="1" t="n">
        <v>45433</v>
      </c>
      <c r="C1086" s="1" t="n">
        <v>46012</v>
      </c>
      <c r="D1086" t="inlineStr">
        <is>
          <t>VÄRMLANDS LÄN</t>
        </is>
      </c>
      <c r="E1086" t="inlineStr">
        <is>
          <t>ARVIKA</t>
        </is>
      </c>
      <c r="G1086" t="n">
        <v>1.1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47538-2024</t>
        </is>
      </c>
      <c r="B1087" s="1" t="n">
        <v>45587</v>
      </c>
      <c r="C1087" s="1" t="n">
        <v>46012</v>
      </c>
      <c r="D1087" t="inlineStr">
        <is>
          <t>VÄRMLANDS LÄN</t>
        </is>
      </c>
      <c r="E1087" t="inlineStr">
        <is>
          <t>ARVIKA</t>
        </is>
      </c>
      <c r="F1087" t="inlineStr">
        <is>
          <t>Bergvik skog väst AB</t>
        </is>
      </c>
      <c r="G1087" t="n">
        <v>1.7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31615-2023</t>
        </is>
      </c>
      <c r="B1088" s="1" t="n">
        <v>45117.5430787037</v>
      </c>
      <c r="C1088" s="1" t="n">
        <v>46012</v>
      </c>
      <c r="D1088" t="inlineStr">
        <is>
          <t>VÄRMLANDS LÄN</t>
        </is>
      </c>
      <c r="E1088" t="inlineStr">
        <is>
          <t>ARVIKA</t>
        </is>
      </c>
      <c r="G1088" t="n">
        <v>2.2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60842-2021</t>
        </is>
      </c>
      <c r="B1089" s="1" t="n">
        <v>44496</v>
      </c>
      <c r="C1089" s="1" t="n">
        <v>46012</v>
      </c>
      <c r="D1089" t="inlineStr">
        <is>
          <t>VÄRMLANDS LÄN</t>
        </is>
      </c>
      <c r="E1089" t="inlineStr">
        <is>
          <t>ARVIKA</t>
        </is>
      </c>
      <c r="G1089" t="n">
        <v>2.7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31053-2023</t>
        </is>
      </c>
      <c r="B1090" s="1" t="n">
        <v>45113</v>
      </c>
      <c r="C1090" s="1" t="n">
        <v>46012</v>
      </c>
      <c r="D1090" t="inlineStr">
        <is>
          <t>VÄRMLANDS LÄN</t>
        </is>
      </c>
      <c r="E1090" t="inlineStr">
        <is>
          <t>ARVIKA</t>
        </is>
      </c>
      <c r="G1090" t="n">
        <v>2.7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21468-2023</t>
        </is>
      </c>
      <c r="B1091" s="1" t="n">
        <v>45063.47018518519</v>
      </c>
      <c r="C1091" s="1" t="n">
        <v>46012</v>
      </c>
      <c r="D1091" t="inlineStr">
        <is>
          <t>VÄRMLANDS LÄN</t>
        </is>
      </c>
      <c r="E1091" t="inlineStr">
        <is>
          <t>ARVIKA</t>
        </is>
      </c>
      <c r="G1091" t="n">
        <v>3.6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7741-2025</t>
        </is>
      </c>
      <c r="B1092" s="1" t="n">
        <v>45706</v>
      </c>
      <c r="C1092" s="1" t="n">
        <v>46012</v>
      </c>
      <c r="D1092" t="inlineStr">
        <is>
          <t>VÄRMLANDS LÄN</t>
        </is>
      </c>
      <c r="E1092" t="inlineStr">
        <is>
          <t>ARVIKA</t>
        </is>
      </c>
      <c r="F1092" t="inlineStr">
        <is>
          <t>Bergvik skog väst AB</t>
        </is>
      </c>
      <c r="G1092" t="n">
        <v>9.199999999999999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7792-2025</t>
        </is>
      </c>
      <c r="B1093" s="1" t="n">
        <v>45706.59540509259</v>
      </c>
      <c r="C1093" s="1" t="n">
        <v>46012</v>
      </c>
      <c r="D1093" t="inlineStr">
        <is>
          <t>VÄRMLANDS LÄN</t>
        </is>
      </c>
      <c r="E1093" t="inlineStr">
        <is>
          <t>ARVIKA</t>
        </is>
      </c>
      <c r="F1093" t="inlineStr">
        <is>
          <t>Bergvik skog väst AB</t>
        </is>
      </c>
      <c r="G1093" t="n">
        <v>4.1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48451-2024</t>
        </is>
      </c>
      <c r="B1094" s="1" t="n">
        <v>45590</v>
      </c>
      <c r="C1094" s="1" t="n">
        <v>46012</v>
      </c>
      <c r="D1094" t="inlineStr">
        <is>
          <t>VÄRMLANDS LÄN</t>
        </is>
      </c>
      <c r="E1094" t="inlineStr">
        <is>
          <t>ARVIKA</t>
        </is>
      </c>
      <c r="F1094" t="inlineStr">
        <is>
          <t>Bergvik skog väst AB</t>
        </is>
      </c>
      <c r="G1094" t="n">
        <v>1.8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41175-2024</t>
        </is>
      </c>
      <c r="B1095" s="1" t="n">
        <v>45559.4950925926</v>
      </c>
      <c r="C1095" s="1" t="n">
        <v>46012</v>
      </c>
      <c r="D1095" t="inlineStr">
        <is>
          <t>VÄRMLANDS LÄN</t>
        </is>
      </c>
      <c r="E1095" t="inlineStr">
        <is>
          <t>ARVIKA</t>
        </is>
      </c>
      <c r="G1095" t="n">
        <v>1.1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71886-2021</t>
        </is>
      </c>
      <c r="B1096" s="1" t="n">
        <v>44543</v>
      </c>
      <c r="C1096" s="1" t="n">
        <v>46012</v>
      </c>
      <c r="D1096" t="inlineStr">
        <is>
          <t>VÄRMLANDS LÄN</t>
        </is>
      </c>
      <c r="E1096" t="inlineStr">
        <is>
          <t>ARVIKA</t>
        </is>
      </c>
      <c r="G1096" t="n">
        <v>8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1511-2025</t>
        </is>
      </c>
      <c r="B1097" s="1" t="n">
        <v>45670</v>
      </c>
      <c r="C1097" s="1" t="n">
        <v>46012</v>
      </c>
      <c r="D1097" t="inlineStr">
        <is>
          <t>VÄRMLANDS LÄN</t>
        </is>
      </c>
      <c r="E1097" t="inlineStr">
        <is>
          <t>ARVIKA</t>
        </is>
      </c>
      <c r="G1097" t="n">
        <v>3.1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37561-2024</t>
        </is>
      </c>
      <c r="B1098" s="1" t="n">
        <v>45541</v>
      </c>
      <c r="C1098" s="1" t="n">
        <v>46012</v>
      </c>
      <c r="D1098" t="inlineStr">
        <is>
          <t>VÄRMLANDS LÄN</t>
        </is>
      </c>
      <c r="E1098" t="inlineStr">
        <is>
          <t>ARVIKA</t>
        </is>
      </c>
      <c r="G1098" t="n">
        <v>8.699999999999999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48449-2024</t>
        </is>
      </c>
      <c r="B1099" s="1" t="n">
        <v>45590</v>
      </c>
      <c r="C1099" s="1" t="n">
        <v>46012</v>
      </c>
      <c r="D1099" t="inlineStr">
        <is>
          <t>VÄRMLANDS LÄN</t>
        </is>
      </c>
      <c r="E1099" t="inlineStr">
        <is>
          <t>ARVIKA</t>
        </is>
      </c>
      <c r="F1099" t="inlineStr">
        <is>
          <t>Bergvik skog väst AB</t>
        </is>
      </c>
      <c r="G1099" t="n">
        <v>1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40509-2024</t>
        </is>
      </c>
      <c r="B1100" s="1" t="n">
        <v>45555.58422453704</v>
      </c>
      <c r="C1100" s="1" t="n">
        <v>46012</v>
      </c>
      <c r="D1100" t="inlineStr">
        <is>
          <t>VÄRMLANDS LÄN</t>
        </is>
      </c>
      <c r="E1100" t="inlineStr">
        <is>
          <t>ARVIKA</t>
        </is>
      </c>
      <c r="F1100" t="inlineStr">
        <is>
          <t>Kommuner</t>
        </is>
      </c>
      <c r="G1100" t="n">
        <v>1.2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6250-2025</t>
        </is>
      </c>
      <c r="B1101" s="1" t="n">
        <v>45698.57707175926</v>
      </c>
      <c r="C1101" s="1" t="n">
        <v>46012</v>
      </c>
      <c r="D1101" t="inlineStr">
        <is>
          <t>VÄRMLANDS LÄN</t>
        </is>
      </c>
      <c r="E1101" t="inlineStr">
        <is>
          <t>ARVIKA</t>
        </is>
      </c>
      <c r="G1101" t="n">
        <v>1.1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4754-2024</t>
        </is>
      </c>
      <c r="B1102" s="1" t="n">
        <v>45328</v>
      </c>
      <c r="C1102" s="1" t="n">
        <v>46012</v>
      </c>
      <c r="D1102" t="inlineStr">
        <is>
          <t>VÄRMLANDS LÄN</t>
        </is>
      </c>
      <c r="E1102" t="inlineStr">
        <is>
          <t>ARVIKA</t>
        </is>
      </c>
      <c r="G1102" t="n">
        <v>1.3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37240-2024</t>
        </is>
      </c>
      <c r="B1103" s="1" t="n">
        <v>45540.34078703704</v>
      </c>
      <c r="C1103" s="1" t="n">
        <v>46012</v>
      </c>
      <c r="D1103" t="inlineStr">
        <is>
          <t>VÄRMLANDS LÄN</t>
        </is>
      </c>
      <c r="E1103" t="inlineStr">
        <is>
          <t>ARVIKA</t>
        </is>
      </c>
      <c r="G1103" t="n">
        <v>1.7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31582-2024</t>
        </is>
      </c>
      <c r="B1104" s="1" t="n">
        <v>45506.3546875</v>
      </c>
      <c r="C1104" s="1" t="n">
        <v>46012</v>
      </c>
      <c r="D1104" t="inlineStr">
        <is>
          <t>VÄRMLANDS LÄN</t>
        </is>
      </c>
      <c r="E1104" t="inlineStr">
        <is>
          <t>ARVIKA</t>
        </is>
      </c>
      <c r="G1104" t="n">
        <v>2.5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25243-2023</t>
        </is>
      </c>
      <c r="B1105" s="1" t="n">
        <v>45086</v>
      </c>
      <c r="C1105" s="1" t="n">
        <v>46012</v>
      </c>
      <c r="D1105" t="inlineStr">
        <is>
          <t>VÄRMLANDS LÄN</t>
        </is>
      </c>
      <c r="E1105" t="inlineStr">
        <is>
          <t>ARVIKA</t>
        </is>
      </c>
      <c r="F1105" t="inlineStr">
        <is>
          <t>Bergvik skog väst AB</t>
        </is>
      </c>
      <c r="G1105" t="n">
        <v>2.2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41235-2024</t>
        </is>
      </c>
      <c r="B1106" s="1" t="n">
        <v>45559.5674074074</v>
      </c>
      <c r="C1106" s="1" t="n">
        <v>46012</v>
      </c>
      <c r="D1106" t="inlineStr">
        <is>
          <t>VÄRMLANDS LÄN</t>
        </is>
      </c>
      <c r="E1106" t="inlineStr">
        <is>
          <t>ARVIKA</t>
        </is>
      </c>
      <c r="G1106" t="n">
        <v>3.2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24668-2021</t>
        </is>
      </c>
      <c r="B1107" s="1" t="n">
        <v>44340</v>
      </c>
      <c r="C1107" s="1" t="n">
        <v>46012</v>
      </c>
      <c r="D1107" t="inlineStr">
        <is>
          <t>VÄRMLANDS LÄN</t>
        </is>
      </c>
      <c r="E1107" t="inlineStr">
        <is>
          <t>ARVIKA</t>
        </is>
      </c>
      <c r="F1107" t="inlineStr">
        <is>
          <t>Bergvik skog väst AB</t>
        </is>
      </c>
      <c r="G1107" t="n">
        <v>2.4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26424-2023</t>
        </is>
      </c>
      <c r="B1108" s="1" t="n">
        <v>45092.39200231482</v>
      </c>
      <c r="C1108" s="1" t="n">
        <v>46012</v>
      </c>
      <c r="D1108" t="inlineStr">
        <is>
          <t>VÄRMLANDS LÄN</t>
        </is>
      </c>
      <c r="E1108" t="inlineStr">
        <is>
          <t>ARVIKA</t>
        </is>
      </c>
      <c r="F1108" t="inlineStr">
        <is>
          <t>Bergvik skog väst AB</t>
        </is>
      </c>
      <c r="G1108" t="n">
        <v>0.5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5782-2022</t>
        </is>
      </c>
      <c r="B1109" s="1" t="n">
        <v>44596</v>
      </c>
      <c r="C1109" s="1" t="n">
        <v>46012</v>
      </c>
      <c r="D1109" t="inlineStr">
        <is>
          <t>VÄRMLANDS LÄN</t>
        </is>
      </c>
      <c r="E1109" t="inlineStr">
        <is>
          <t>ARVIKA</t>
        </is>
      </c>
      <c r="G1109" t="n">
        <v>2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12271-2023</t>
        </is>
      </c>
      <c r="B1110" s="1" t="n">
        <v>44998</v>
      </c>
      <c r="C1110" s="1" t="n">
        <v>46012</v>
      </c>
      <c r="D1110" t="inlineStr">
        <is>
          <t>VÄRMLANDS LÄN</t>
        </is>
      </c>
      <c r="E1110" t="inlineStr">
        <is>
          <t>ARVIKA</t>
        </is>
      </c>
      <c r="G1110" t="n">
        <v>3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2322-2025</t>
        </is>
      </c>
      <c r="B1111" s="1" t="n">
        <v>45673</v>
      </c>
      <c r="C1111" s="1" t="n">
        <v>46012</v>
      </c>
      <c r="D1111" t="inlineStr">
        <is>
          <t>VÄRMLANDS LÄN</t>
        </is>
      </c>
      <c r="E1111" t="inlineStr">
        <is>
          <t>ARVIKA</t>
        </is>
      </c>
      <c r="G1111" t="n">
        <v>6.1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8567-2025</t>
        </is>
      </c>
      <c r="B1112" s="1" t="n">
        <v>45709</v>
      </c>
      <c r="C1112" s="1" t="n">
        <v>46012</v>
      </c>
      <c r="D1112" t="inlineStr">
        <is>
          <t>VÄRMLANDS LÄN</t>
        </is>
      </c>
      <c r="E1112" t="inlineStr">
        <is>
          <t>ARVIKA</t>
        </is>
      </c>
      <c r="G1112" t="n">
        <v>0.7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28807-2024</t>
        </is>
      </c>
      <c r="B1113" s="1" t="n">
        <v>45478</v>
      </c>
      <c r="C1113" s="1" t="n">
        <v>46012</v>
      </c>
      <c r="D1113" t="inlineStr">
        <is>
          <t>VÄRMLANDS LÄN</t>
        </is>
      </c>
      <c r="E1113" t="inlineStr">
        <is>
          <t>ARVIKA</t>
        </is>
      </c>
      <c r="G1113" t="n">
        <v>0.9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12849-2022</t>
        </is>
      </c>
      <c r="B1114" s="1" t="n">
        <v>44642</v>
      </c>
      <c r="C1114" s="1" t="n">
        <v>46012</v>
      </c>
      <c r="D1114" t="inlineStr">
        <is>
          <t>VÄRMLANDS LÄN</t>
        </is>
      </c>
      <c r="E1114" t="inlineStr">
        <is>
          <t>ARVIKA</t>
        </is>
      </c>
      <c r="G1114" t="n">
        <v>1.4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51729-2024</t>
        </is>
      </c>
      <c r="B1115" s="1" t="n">
        <v>45607</v>
      </c>
      <c r="C1115" s="1" t="n">
        <v>46012</v>
      </c>
      <c r="D1115" t="inlineStr">
        <is>
          <t>VÄRMLANDS LÄN</t>
        </is>
      </c>
      <c r="E1115" t="inlineStr">
        <is>
          <t>ARVIKA</t>
        </is>
      </c>
      <c r="G1115" t="n">
        <v>1.4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3076-2025</t>
        </is>
      </c>
      <c r="B1116" s="1" t="n">
        <v>45678</v>
      </c>
      <c r="C1116" s="1" t="n">
        <v>46012</v>
      </c>
      <c r="D1116" t="inlineStr">
        <is>
          <t>VÄRMLANDS LÄN</t>
        </is>
      </c>
      <c r="E1116" t="inlineStr">
        <is>
          <t>ARVIKA</t>
        </is>
      </c>
      <c r="G1116" t="n">
        <v>1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3355-2022</t>
        </is>
      </c>
      <c r="B1117" s="1" t="n">
        <v>44585.39229166666</v>
      </c>
      <c r="C1117" s="1" t="n">
        <v>46012</v>
      </c>
      <c r="D1117" t="inlineStr">
        <is>
          <t>VÄRMLANDS LÄN</t>
        </is>
      </c>
      <c r="E1117" t="inlineStr">
        <is>
          <t>ARVIKA</t>
        </is>
      </c>
      <c r="G1117" t="n">
        <v>3.2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43968-2024</t>
        </is>
      </c>
      <c r="B1118" s="1" t="n">
        <v>45572</v>
      </c>
      <c r="C1118" s="1" t="n">
        <v>46012</v>
      </c>
      <c r="D1118" t="inlineStr">
        <is>
          <t>VÄRMLANDS LÄN</t>
        </is>
      </c>
      <c r="E1118" t="inlineStr">
        <is>
          <t>ARVIKA</t>
        </is>
      </c>
      <c r="G1118" t="n">
        <v>1.5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70453-2021</t>
        </is>
      </c>
      <c r="B1119" s="1" t="n">
        <v>44536</v>
      </c>
      <c r="C1119" s="1" t="n">
        <v>46012</v>
      </c>
      <c r="D1119" t="inlineStr">
        <is>
          <t>VÄRMLANDS LÄN</t>
        </is>
      </c>
      <c r="E1119" t="inlineStr">
        <is>
          <t>ARVIKA</t>
        </is>
      </c>
      <c r="G1119" t="n">
        <v>1.1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74129-2021</t>
        </is>
      </c>
      <c r="B1120" s="1" t="n">
        <v>44557</v>
      </c>
      <c r="C1120" s="1" t="n">
        <v>46012</v>
      </c>
      <c r="D1120" t="inlineStr">
        <is>
          <t>VÄRMLANDS LÄN</t>
        </is>
      </c>
      <c r="E1120" t="inlineStr">
        <is>
          <t>ARVIKA</t>
        </is>
      </c>
      <c r="G1120" t="n">
        <v>1.9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50857-2023</t>
        </is>
      </c>
      <c r="B1121" s="1" t="n">
        <v>45218</v>
      </c>
      <c r="C1121" s="1" t="n">
        <v>46012</v>
      </c>
      <c r="D1121" t="inlineStr">
        <is>
          <t>VÄRMLANDS LÄN</t>
        </is>
      </c>
      <c r="E1121" t="inlineStr">
        <is>
          <t>ARVIKA</t>
        </is>
      </c>
      <c r="G1121" t="n">
        <v>0.9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40981-2024</t>
        </is>
      </c>
      <c r="B1122" s="1" t="n">
        <v>45558</v>
      </c>
      <c r="C1122" s="1" t="n">
        <v>46012</v>
      </c>
      <c r="D1122" t="inlineStr">
        <is>
          <t>VÄRMLANDS LÄN</t>
        </is>
      </c>
      <c r="E1122" t="inlineStr">
        <is>
          <t>ARVIKA</t>
        </is>
      </c>
      <c r="G1122" t="n">
        <v>5.8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57554-2024</t>
        </is>
      </c>
      <c r="B1123" s="1" t="n">
        <v>45630</v>
      </c>
      <c r="C1123" s="1" t="n">
        <v>46012</v>
      </c>
      <c r="D1123" t="inlineStr">
        <is>
          <t>VÄRMLANDS LÄN</t>
        </is>
      </c>
      <c r="E1123" t="inlineStr">
        <is>
          <t>ARVIKA</t>
        </is>
      </c>
      <c r="F1123" t="inlineStr">
        <is>
          <t>Bergvik skog väst AB</t>
        </is>
      </c>
      <c r="G1123" t="n">
        <v>5.3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10599-2025</t>
        </is>
      </c>
      <c r="B1124" s="1" t="n">
        <v>45721</v>
      </c>
      <c r="C1124" s="1" t="n">
        <v>46012</v>
      </c>
      <c r="D1124" t="inlineStr">
        <is>
          <t>VÄRMLANDS LÄN</t>
        </is>
      </c>
      <c r="E1124" t="inlineStr">
        <is>
          <t>ARVIKA</t>
        </is>
      </c>
      <c r="F1124" t="inlineStr">
        <is>
          <t>Bergvik skog väst AB</t>
        </is>
      </c>
      <c r="G1124" t="n">
        <v>4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11679-2025</t>
        </is>
      </c>
      <c r="B1125" s="1" t="n">
        <v>45727.53943287037</v>
      </c>
      <c r="C1125" s="1" t="n">
        <v>46012</v>
      </c>
      <c r="D1125" t="inlineStr">
        <is>
          <t>VÄRMLANDS LÄN</t>
        </is>
      </c>
      <c r="E1125" t="inlineStr">
        <is>
          <t>ARVIKA</t>
        </is>
      </c>
      <c r="F1125" t="inlineStr">
        <is>
          <t>Bergvik skog väst AB</t>
        </is>
      </c>
      <c r="G1125" t="n">
        <v>2.8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10249-2025</t>
        </is>
      </c>
      <c r="B1126" s="1" t="n">
        <v>45720.3612037037</v>
      </c>
      <c r="C1126" s="1" t="n">
        <v>46012</v>
      </c>
      <c r="D1126" t="inlineStr">
        <is>
          <t>VÄRMLANDS LÄN</t>
        </is>
      </c>
      <c r="E1126" t="inlineStr">
        <is>
          <t>ARVIKA</t>
        </is>
      </c>
      <c r="G1126" t="n">
        <v>8.800000000000001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42441-2023</t>
        </is>
      </c>
      <c r="B1127" s="1" t="n">
        <v>45180.64069444445</v>
      </c>
      <c r="C1127" s="1" t="n">
        <v>46012</v>
      </c>
      <c r="D1127" t="inlineStr">
        <is>
          <t>VÄRMLANDS LÄN</t>
        </is>
      </c>
      <c r="E1127" t="inlineStr">
        <is>
          <t>ARVIKA</t>
        </is>
      </c>
      <c r="G1127" t="n">
        <v>1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50462-2024</t>
        </is>
      </c>
      <c r="B1128" s="1" t="n">
        <v>45601</v>
      </c>
      <c r="C1128" s="1" t="n">
        <v>46012</v>
      </c>
      <c r="D1128" t="inlineStr">
        <is>
          <t>VÄRMLANDS LÄN</t>
        </is>
      </c>
      <c r="E1128" t="inlineStr">
        <is>
          <t>ARVIKA</t>
        </is>
      </c>
      <c r="F1128" t="inlineStr">
        <is>
          <t>Bergvik skog väst AB</t>
        </is>
      </c>
      <c r="G1128" t="n">
        <v>5.3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42894-2023</t>
        </is>
      </c>
      <c r="B1129" s="1" t="n">
        <v>45182.47541666667</v>
      </c>
      <c r="C1129" s="1" t="n">
        <v>46012</v>
      </c>
      <c r="D1129" t="inlineStr">
        <is>
          <t>VÄRMLANDS LÄN</t>
        </is>
      </c>
      <c r="E1129" t="inlineStr">
        <is>
          <t>ARVIKA</t>
        </is>
      </c>
      <c r="G1129" t="n">
        <v>4.5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54652-2024</t>
        </is>
      </c>
      <c r="B1130" s="1" t="n">
        <v>45618</v>
      </c>
      <c r="C1130" s="1" t="n">
        <v>46012</v>
      </c>
      <c r="D1130" t="inlineStr">
        <is>
          <t>VÄRMLANDS LÄN</t>
        </is>
      </c>
      <c r="E1130" t="inlineStr">
        <is>
          <t>ARVIKA</t>
        </is>
      </c>
      <c r="G1130" t="n">
        <v>1.2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50914-2024</t>
        </is>
      </c>
      <c r="B1131" s="1" t="n">
        <v>45602</v>
      </c>
      <c r="C1131" s="1" t="n">
        <v>46012</v>
      </c>
      <c r="D1131" t="inlineStr">
        <is>
          <t>VÄRMLANDS LÄN</t>
        </is>
      </c>
      <c r="E1131" t="inlineStr">
        <is>
          <t>ARVIKA</t>
        </is>
      </c>
      <c r="G1131" t="n">
        <v>1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61090-2024</t>
        </is>
      </c>
      <c r="B1132" s="1" t="n">
        <v>45645</v>
      </c>
      <c r="C1132" s="1" t="n">
        <v>46012</v>
      </c>
      <c r="D1132" t="inlineStr">
        <is>
          <t>VÄRMLANDS LÄN</t>
        </is>
      </c>
      <c r="E1132" t="inlineStr">
        <is>
          <t>ARVIKA</t>
        </is>
      </c>
      <c r="G1132" t="n">
        <v>1.8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49880-2024</t>
        </is>
      </c>
      <c r="B1133" s="1" t="n">
        <v>45597</v>
      </c>
      <c r="C1133" s="1" t="n">
        <v>46012</v>
      </c>
      <c r="D1133" t="inlineStr">
        <is>
          <t>VÄRMLANDS LÄN</t>
        </is>
      </c>
      <c r="E1133" t="inlineStr">
        <is>
          <t>ARVIKA</t>
        </is>
      </c>
      <c r="F1133" t="inlineStr">
        <is>
          <t>Bergvik skog väst AB</t>
        </is>
      </c>
      <c r="G1133" t="n">
        <v>1.3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7313-2022</t>
        </is>
      </c>
      <c r="B1134" s="1" t="n">
        <v>44606.51982638889</v>
      </c>
      <c r="C1134" s="1" t="n">
        <v>46012</v>
      </c>
      <c r="D1134" t="inlineStr">
        <is>
          <t>VÄRMLANDS LÄN</t>
        </is>
      </c>
      <c r="E1134" t="inlineStr">
        <is>
          <t>ARVIKA</t>
        </is>
      </c>
      <c r="G1134" t="n">
        <v>2.6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12170-2025</t>
        </is>
      </c>
      <c r="B1135" s="1" t="n">
        <v>45729.43740740741</v>
      </c>
      <c r="C1135" s="1" t="n">
        <v>46012</v>
      </c>
      <c r="D1135" t="inlineStr">
        <is>
          <t>VÄRMLANDS LÄN</t>
        </is>
      </c>
      <c r="E1135" t="inlineStr">
        <is>
          <t>ARVIKA</t>
        </is>
      </c>
      <c r="F1135" t="inlineStr">
        <is>
          <t>Bergvik skog väst AB</t>
        </is>
      </c>
      <c r="G1135" t="n">
        <v>1.2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40033-2023</t>
        </is>
      </c>
      <c r="B1136" s="1" t="n">
        <v>45168</v>
      </c>
      <c r="C1136" s="1" t="n">
        <v>46012</v>
      </c>
      <c r="D1136" t="inlineStr">
        <is>
          <t>VÄRMLANDS LÄN</t>
        </is>
      </c>
      <c r="E1136" t="inlineStr">
        <is>
          <t>ARVIKA</t>
        </is>
      </c>
      <c r="G1136" t="n">
        <v>0.7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45405-2023</t>
        </is>
      </c>
      <c r="B1137" s="1" t="n">
        <v>45194.33592592592</v>
      </c>
      <c r="C1137" s="1" t="n">
        <v>46012</v>
      </c>
      <c r="D1137" t="inlineStr">
        <is>
          <t>VÄRMLANDS LÄN</t>
        </is>
      </c>
      <c r="E1137" t="inlineStr">
        <is>
          <t>ARVIKA</t>
        </is>
      </c>
      <c r="G1137" t="n">
        <v>2.7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45520-2023</t>
        </is>
      </c>
      <c r="B1138" s="1" t="n">
        <v>45194</v>
      </c>
      <c r="C1138" s="1" t="n">
        <v>46012</v>
      </c>
      <c r="D1138" t="inlineStr">
        <is>
          <t>VÄRMLANDS LÄN</t>
        </is>
      </c>
      <c r="E1138" t="inlineStr">
        <is>
          <t>ARVIKA</t>
        </is>
      </c>
      <c r="G1138" t="n">
        <v>0.4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46379-2023</t>
        </is>
      </c>
      <c r="B1139" s="1" t="n">
        <v>45197</v>
      </c>
      <c r="C1139" s="1" t="n">
        <v>46012</v>
      </c>
      <c r="D1139" t="inlineStr">
        <is>
          <t>VÄRMLANDS LÄN</t>
        </is>
      </c>
      <c r="E1139" t="inlineStr">
        <is>
          <t>ARVIKA</t>
        </is>
      </c>
      <c r="F1139" t="inlineStr">
        <is>
          <t>Kyrkan</t>
        </is>
      </c>
      <c r="G1139" t="n">
        <v>1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53084-2024</t>
        </is>
      </c>
      <c r="B1140" s="1" t="n">
        <v>45611.50719907408</v>
      </c>
      <c r="C1140" s="1" t="n">
        <v>46012</v>
      </c>
      <c r="D1140" t="inlineStr">
        <is>
          <t>VÄRMLANDS LÄN</t>
        </is>
      </c>
      <c r="E1140" t="inlineStr">
        <is>
          <t>ARVIKA</t>
        </is>
      </c>
      <c r="F1140" t="inlineStr">
        <is>
          <t>Bergvik skog väst AB</t>
        </is>
      </c>
      <c r="G1140" t="n">
        <v>2.9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49913-2024</t>
        </is>
      </c>
      <c r="B1141" s="1" t="n">
        <v>45597</v>
      </c>
      <c r="C1141" s="1" t="n">
        <v>46012</v>
      </c>
      <c r="D1141" t="inlineStr">
        <is>
          <t>VÄRMLANDS LÄN</t>
        </is>
      </c>
      <c r="E1141" t="inlineStr">
        <is>
          <t>ARVIKA</t>
        </is>
      </c>
      <c r="G1141" t="n">
        <v>3.1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24953-2023</t>
        </is>
      </c>
      <c r="B1142" s="1" t="n">
        <v>45085.58476851852</v>
      </c>
      <c r="C1142" s="1" t="n">
        <v>46012</v>
      </c>
      <c r="D1142" t="inlineStr">
        <is>
          <t>VÄRMLANDS LÄN</t>
        </is>
      </c>
      <c r="E1142" t="inlineStr">
        <is>
          <t>ARVIKA</t>
        </is>
      </c>
      <c r="F1142" t="inlineStr">
        <is>
          <t>Bergvik skog väst AB</t>
        </is>
      </c>
      <c r="G1142" t="n">
        <v>1.7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37139-2022</t>
        </is>
      </c>
      <c r="B1143" s="1" t="n">
        <v>44806.56332175926</v>
      </c>
      <c r="C1143" s="1" t="n">
        <v>46012</v>
      </c>
      <c r="D1143" t="inlineStr">
        <is>
          <t>VÄRMLANDS LÄN</t>
        </is>
      </c>
      <c r="E1143" t="inlineStr">
        <is>
          <t>ARVIKA</t>
        </is>
      </c>
      <c r="G1143" t="n">
        <v>1.7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21188-2023</t>
        </is>
      </c>
      <c r="B1144" s="1" t="n">
        <v>45057</v>
      </c>
      <c r="C1144" s="1" t="n">
        <v>46012</v>
      </c>
      <c r="D1144" t="inlineStr">
        <is>
          <t>VÄRMLANDS LÄN</t>
        </is>
      </c>
      <c r="E1144" t="inlineStr">
        <is>
          <t>ARVIKA</t>
        </is>
      </c>
      <c r="G1144" t="n">
        <v>9.699999999999999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10850-2022</t>
        </is>
      </c>
      <c r="B1145" s="1" t="n">
        <v>44627</v>
      </c>
      <c r="C1145" s="1" t="n">
        <v>46012</v>
      </c>
      <c r="D1145" t="inlineStr">
        <is>
          <t>VÄRMLANDS LÄN</t>
        </is>
      </c>
      <c r="E1145" t="inlineStr">
        <is>
          <t>ARVIKA</t>
        </is>
      </c>
      <c r="G1145" t="n">
        <v>1.2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16338-2025</t>
        </is>
      </c>
      <c r="B1146" s="1" t="n">
        <v>45751.36587962963</v>
      </c>
      <c r="C1146" s="1" t="n">
        <v>46012</v>
      </c>
      <c r="D1146" t="inlineStr">
        <is>
          <t>VÄRMLANDS LÄN</t>
        </is>
      </c>
      <c r="E1146" t="inlineStr">
        <is>
          <t>ARVIKA</t>
        </is>
      </c>
      <c r="G1146" t="n">
        <v>4.9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5337-2025</t>
        </is>
      </c>
      <c r="B1147" s="1" t="n">
        <v>45692</v>
      </c>
      <c r="C1147" s="1" t="n">
        <v>46012</v>
      </c>
      <c r="D1147" t="inlineStr">
        <is>
          <t>VÄRMLANDS LÄN</t>
        </is>
      </c>
      <c r="E1147" t="inlineStr">
        <is>
          <t>ARVIKA</t>
        </is>
      </c>
      <c r="F1147" t="inlineStr">
        <is>
          <t>Kommuner</t>
        </is>
      </c>
      <c r="G1147" t="n">
        <v>0.7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2564-2025</t>
        </is>
      </c>
      <c r="B1148" s="1" t="n">
        <v>45674.65866898148</v>
      </c>
      <c r="C1148" s="1" t="n">
        <v>46012</v>
      </c>
      <c r="D1148" t="inlineStr">
        <is>
          <t>VÄRMLANDS LÄN</t>
        </is>
      </c>
      <c r="E1148" t="inlineStr">
        <is>
          <t>ARVIKA</t>
        </is>
      </c>
      <c r="G1148" t="n">
        <v>2.7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7980-2025</t>
        </is>
      </c>
      <c r="B1149" s="1" t="n">
        <v>45707.46815972222</v>
      </c>
      <c r="C1149" s="1" t="n">
        <v>46012</v>
      </c>
      <c r="D1149" t="inlineStr">
        <is>
          <t>VÄRMLANDS LÄN</t>
        </is>
      </c>
      <c r="E1149" t="inlineStr">
        <is>
          <t>ARVIKA</t>
        </is>
      </c>
      <c r="G1149" t="n">
        <v>0.3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42986-2022</t>
        </is>
      </c>
      <c r="B1150" s="1" t="n">
        <v>44833.47828703704</v>
      </c>
      <c r="C1150" s="1" t="n">
        <v>46012</v>
      </c>
      <c r="D1150" t="inlineStr">
        <is>
          <t>VÄRMLANDS LÄN</t>
        </is>
      </c>
      <c r="E1150" t="inlineStr">
        <is>
          <t>ARVIKA</t>
        </is>
      </c>
      <c r="G1150" t="n">
        <v>2.8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12161-2025</t>
        </is>
      </c>
      <c r="B1151" s="1" t="n">
        <v>45729.42730324074</v>
      </c>
      <c r="C1151" s="1" t="n">
        <v>46012</v>
      </c>
      <c r="D1151" t="inlineStr">
        <is>
          <t>VÄRMLANDS LÄN</t>
        </is>
      </c>
      <c r="E1151" t="inlineStr">
        <is>
          <t>ARVIKA</t>
        </is>
      </c>
      <c r="F1151" t="inlineStr">
        <is>
          <t>Bergvik skog väst AB</t>
        </is>
      </c>
      <c r="G1151" t="n">
        <v>1.8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20318-2025</t>
        </is>
      </c>
      <c r="B1152" s="1" t="n">
        <v>45775</v>
      </c>
      <c r="C1152" s="1" t="n">
        <v>46012</v>
      </c>
      <c r="D1152" t="inlineStr">
        <is>
          <t>VÄRMLANDS LÄN</t>
        </is>
      </c>
      <c r="E1152" t="inlineStr">
        <is>
          <t>ARVIKA</t>
        </is>
      </c>
      <c r="F1152" t="inlineStr">
        <is>
          <t>Bergvik skog väst AB</t>
        </is>
      </c>
      <c r="G1152" t="n">
        <v>2.9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20375-2025</t>
        </is>
      </c>
      <c r="B1153" s="1" t="n">
        <v>45775</v>
      </c>
      <c r="C1153" s="1" t="n">
        <v>46012</v>
      </c>
      <c r="D1153" t="inlineStr">
        <is>
          <t>VÄRMLANDS LÄN</t>
        </is>
      </c>
      <c r="E1153" t="inlineStr">
        <is>
          <t>ARVIKA</t>
        </is>
      </c>
      <c r="F1153" t="inlineStr">
        <is>
          <t>Bergvik skog väst AB</t>
        </is>
      </c>
      <c r="G1153" t="n">
        <v>0.7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7348-2025</t>
        </is>
      </c>
      <c r="B1154" s="1" t="n">
        <v>45703</v>
      </c>
      <c r="C1154" s="1" t="n">
        <v>46012</v>
      </c>
      <c r="D1154" t="inlineStr">
        <is>
          <t>VÄRMLANDS LÄN</t>
        </is>
      </c>
      <c r="E1154" t="inlineStr">
        <is>
          <t>ARVIKA</t>
        </is>
      </c>
      <c r="G1154" t="n">
        <v>0.5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19764-2022</t>
        </is>
      </c>
      <c r="B1155" s="1" t="n">
        <v>44694.64902777778</v>
      </c>
      <c r="C1155" s="1" t="n">
        <v>46012</v>
      </c>
      <c r="D1155" t="inlineStr">
        <is>
          <t>VÄRMLANDS LÄN</t>
        </is>
      </c>
      <c r="E1155" t="inlineStr">
        <is>
          <t>ARVIKA</t>
        </is>
      </c>
      <c r="G1155" t="n">
        <v>3.4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18104-2025</t>
        </is>
      </c>
      <c r="B1156" s="1" t="n">
        <v>45761</v>
      </c>
      <c r="C1156" s="1" t="n">
        <v>46012</v>
      </c>
      <c r="D1156" t="inlineStr">
        <is>
          <t>VÄRMLANDS LÄN</t>
        </is>
      </c>
      <c r="E1156" t="inlineStr">
        <is>
          <t>ARVIKA</t>
        </is>
      </c>
      <c r="F1156" t="inlineStr">
        <is>
          <t>Bergvik skog väst AB</t>
        </is>
      </c>
      <c r="G1156" t="n">
        <v>11.1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25931-2023</t>
        </is>
      </c>
      <c r="B1157" s="1" t="n">
        <v>45090.67958333333</v>
      </c>
      <c r="C1157" s="1" t="n">
        <v>46012</v>
      </c>
      <c r="D1157" t="inlineStr">
        <is>
          <t>VÄRMLANDS LÄN</t>
        </is>
      </c>
      <c r="E1157" t="inlineStr">
        <is>
          <t>ARVIKA</t>
        </is>
      </c>
      <c r="G1157" t="n">
        <v>1.1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30457-2023</t>
        </is>
      </c>
      <c r="B1158" s="1" t="n">
        <v>45111</v>
      </c>
      <c r="C1158" s="1" t="n">
        <v>46012</v>
      </c>
      <c r="D1158" t="inlineStr">
        <is>
          <t>VÄRMLANDS LÄN</t>
        </is>
      </c>
      <c r="E1158" t="inlineStr">
        <is>
          <t>ARVIKA</t>
        </is>
      </c>
      <c r="G1158" t="n">
        <v>0.9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57012-2023</t>
        </is>
      </c>
      <c r="B1159" s="1" t="n">
        <v>45244.69415509259</v>
      </c>
      <c r="C1159" s="1" t="n">
        <v>46012</v>
      </c>
      <c r="D1159" t="inlineStr">
        <is>
          <t>VÄRMLANDS LÄN</t>
        </is>
      </c>
      <c r="E1159" t="inlineStr">
        <is>
          <t>ARVIKA</t>
        </is>
      </c>
      <c r="G1159" t="n">
        <v>0.6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34840-2023</t>
        </is>
      </c>
      <c r="B1160" s="1" t="n">
        <v>45141</v>
      </c>
      <c r="C1160" s="1" t="n">
        <v>46012</v>
      </c>
      <c r="D1160" t="inlineStr">
        <is>
          <t>VÄRMLANDS LÄN</t>
        </is>
      </c>
      <c r="E1160" t="inlineStr">
        <is>
          <t>ARVIKA</t>
        </is>
      </c>
      <c r="G1160" t="n">
        <v>0.6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35492-2024</t>
        </is>
      </c>
      <c r="B1161" s="1" t="n">
        <v>45531</v>
      </c>
      <c r="C1161" s="1" t="n">
        <v>46012</v>
      </c>
      <c r="D1161" t="inlineStr">
        <is>
          <t>VÄRMLANDS LÄN</t>
        </is>
      </c>
      <c r="E1161" t="inlineStr">
        <is>
          <t>ARVIKA</t>
        </is>
      </c>
      <c r="F1161" t="inlineStr">
        <is>
          <t>Bergvik skog väst AB</t>
        </is>
      </c>
      <c r="G1161" t="n">
        <v>1.6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22563-2021</t>
        </is>
      </c>
      <c r="B1162" s="1" t="n">
        <v>44322</v>
      </c>
      <c r="C1162" s="1" t="n">
        <v>46012</v>
      </c>
      <c r="D1162" t="inlineStr">
        <is>
          <t>VÄRMLANDS LÄN</t>
        </is>
      </c>
      <c r="E1162" t="inlineStr">
        <is>
          <t>ARVIKA</t>
        </is>
      </c>
      <c r="G1162" t="n">
        <v>1.2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35571-2023</t>
        </is>
      </c>
      <c r="B1163" s="1" t="n">
        <v>45147.46740740741</v>
      </c>
      <c r="C1163" s="1" t="n">
        <v>46012</v>
      </c>
      <c r="D1163" t="inlineStr">
        <is>
          <t>VÄRMLANDS LÄN</t>
        </is>
      </c>
      <c r="E1163" t="inlineStr">
        <is>
          <t>ARVIKA</t>
        </is>
      </c>
      <c r="G1163" t="n">
        <v>1.1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18078-2025</t>
        </is>
      </c>
      <c r="B1164" s="1" t="n">
        <v>45761</v>
      </c>
      <c r="C1164" s="1" t="n">
        <v>46012</v>
      </c>
      <c r="D1164" t="inlineStr">
        <is>
          <t>VÄRMLANDS LÄN</t>
        </is>
      </c>
      <c r="E1164" t="inlineStr">
        <is>
          <t>ARVIKA</t>
        </is>
      </c>
      <c r="F1164" t="inlineStr">
        <is>
          <t>Bergvik skog väst AB</t>
        </is>
      </c>
      <c r="G1164" t="n">
        <v>20.9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20434-2025</t>
        </is>
      </c>
      <c r="B1165" s="1" t="n">
        <v>45775.48181712963</v>
      </c>
      <c r="C1165" s="1" t="n">
        <v>46012</v>
      </c>
      <c r="D1165" t="inlineStr">
        <is>
          <t>VÄRMLANDS LÄN</t>
        </is>
      </c>
      <c r="E1165" t="inlineStr">
        <is>
          <t>ARVIKA</t>
        </is>
      </c>
      <c r="F1165" t="inlineStr">
        <is>
          <t>Bergvik skog väst AB</t>
        </is>
      </c>
      <c r="G1165" t="n">
        <v>1.3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9321-2022</t>
        </is>
      </c>
      <c r="B1166" s="1" t="n">
        <v>44616</v>
      </c>
      <c r="C1166" s="1" t="n">
        <v>46012</v>
      </c>
      <c r="D1166" t="inlineStr">
        <is>
          <t>VÄRMLANDS LÄN</t>
        </is>
      </c>
      <c r="E1166" t="inlineStr">
        <is>
          <t>ARVIKA</t>
        </is>
      </c>
      <c r="G1166" t="n">
        <v>3.4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60593-2023</t>
        </is>
      </c>
      <c r="B1167" s="1" t="n">
        <v>45260.32078703704</v>
      </c>
      <c r="C1167" s="1" t="n">
        <v>46012</v>
      </c>
      <c r="D1167" t="inlineStr">
        <is>
          <t>VÄRMLANDS LÄN</t>
        </is>
      </c>
      <c r="E1167" t="inlineStr">
        <is>
          <t>ARVIKA</t>
        </is>
      </c>
      <c r="G1167" t="n">
        <v>2.7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42807-2023</t>
        </is>
      </c>
      <c r="B1168" s="1" t="n">
        <v>45182</v>
      </c>
      <c r="C1168" s="1" t="n">
        <v>46012</v>
      </c>
      <c r="D1168" t="inlineStr">
        <is>
          <t>VÄRMLANDS LÄN</t>
        </is>
      </c>
      <c r="E1168" t="inlineStr">
        <is>
          <t>ARVIKA</t>
        </is>
      </c>
      <c r="G1168" t="n">
        <v>3.8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32280-2023</t>
        </is>
      </c>
      <c r="B1169" s="1" t="n">
        <v>45120.36809027778</v>
      </c>
      <c r="C1169" s="1" t="n">
        <v>46012</v>
      </c>
      <c r="D1169" t="inlineStr">
        <is>
          <t>VÄRMLANDS LÄN</t>
        </is>
      </c>
      <c r="E1169" t="inlineStr">
        <is>
          <t>ARVIKA</t>
        </is>
      </c>
      <c r="G1169" t="n">
        <v>3.2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24872-2023</t>
        </is>
      </c>
      <c r="B1170" s="1" t="n">
        <v>45085</v>
      </c>
      <c r="C1170" s="1" t="n">
        <v>46012</v>
      </c>
      <c r="D1170" t="inlineStr">
        <is>
          <t>VÄRMLANDS LÄN</t>
        </is>
      </c>
      <c r="E1170" t="inlineStr">
        <is>
          <t>ARVIKA</t>
        </is>
      </c>
      <c r="G1170" t="n">
        <v>2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17387-2024</t>
        </is>
      </c>
      <c r="B1171" s="1" t="n">
        <v>45414.67236111111</v>
      </c>
      <c r="C1171" s="1" t="n">
        <v>46012</v>
      </c>
      <c r="D1171" t="inlineStr">
        <is>
          <t>VÄRMLANDS LÄN</t>
        </is>
      </c>
      <c r="E1171" t="inlineStr">
        <is>
          <t>ARVIKA</t>
        </is>
      </c>
      <c r="G1171" t="n">
        <v>1.6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17982-2024</t>
        </is>
      </c>
      <c r="B1172" s="1" t="n">
        <v>45419.87510416667</v>
      </c>
      <c r="C1172" s="1" t="n">
        <v>46012</v>
      </c>
      <c r="D1172" t="inlineStr">
        <is>
          <t>VÄRMLANDS LÄN</t>
        </is>
      </c>
      <c r="E1172" t="inlineStr">
        <is>
          <t>ARVIKA</t>
        </is>
      </c>
      <c r="G1172" t="n">
        <v>4.9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24480-2024</t>
        </is>
      </c>
      <c r="B1173" s="1" t="n">
        <v>45459</v>
      </c>
      <c r="C1173" s="1" t="n">
        <v>46012</v>
      </c>
      <c r="D1173" t="inlineStr">
        <is>
          <t>VÄRMLANDS LÄN</t>
        </is>
      </c>
      <c r="E1173" t="inlineStr">
        <is>
          <t>ARVIKA</t>
        </is>
      </c>
      <c r="F1173" t="inlineStr">
        <is>
          <t>Bergvik skog väst AB</t>
        </is>
      </c>
      <c r="G1173" t="n">
        <v>1.5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 ht="15" customHeight="1">
      <c r="A1174" t="inlineStr">
        <is>
          <t>A 19932-2024</t>
        </is>
      </c>
      <c r="B1174" s="1" t="n">
        <v>45433</v>
      </c>
      <c r="C1174" s="1" t="n">
        <v>46012</v>
      </c>
      <c r="D1174" t="inlineStr">
        <is>
          <t>VÄRMLANDS LÄN</t>
        </is>
      </c>
      <c r="E1174" t="inlineStr">
        <is>
          <t>ARVIKA</t>
        </is>
      </c>
      <c r="G1174" t="n">
        <v>1.2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 ht="15" customHeight="1">
      <c r="A1175" t="inlineStr">
        <is>
          <t>A 16466-2022</t>
        </is>
      </c>
      <c r="B1175" s="1" t="n">
        <v>44671.60475694444</v>
      </c>
      <c r="C1175" s="1" t="n">
        <v>46012</v>
      </c>
      <c r="D1175" t="inlineStr">
        <is>
          <t>VÄRMLANDS LÄN</t>
        </is>
      </c>
      <c r="E1175" t="inlineStr">
        <is>
          <t>ARVIKA</t>
        </is>
      </c>
      <c r="G1175" t="n">
        <v>2.8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  <row r="1176" ht="15" customHeight="1">
      <c r="A1176" t="inlineStr">
        <is>
          <t>A 3588-2025</t>
        </is>
      </c>
      <c r="B1176" s="1" t="n">
        <v>45680.883125</v>
      </c>
      <c r="C1176" s="1" t="n">
        <v>46012</v>
      </c>
      <c r="D1176" t="inlineStr">
        <is>
          <t>VÄRMLANDS LÄN</t>
        </is>
      </c>
      <c r="E1176" t="inlineStr">
        <is>
          <t>ARVIKA</t>
        </is>
      </c>
      <c r="G1176" t="n">
        <v>1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</row>
    <row r="1177" ht="15" customHeight="1">
      <c r="A1177" t="inlineStr">
        <is>
          <t>A 25186-2022</t>
        </is>
      </c>
      <c r="B1177" s="1" t="n">
        <v>44729.61496527777</v>
      </c>
      <c r="C1177" s="1" t="n">
        <v>46012</v>
      </c>
      <c r="D1177" t="inlineStr">
        <is>
          <t>VÄRMLANDS LÄN</t>
        </is>
      </c>
      <c r="E1177" t="inlineStr">
        <is>
          <t>ARVIKA</t>
        </is>
      </c>
      <c r="F1177" t="inlineStr">
        <is>
          <t>Bergvik skog väst AB</t>
        </is>
      </c>
      <c r="G1177" t="n">
        <v>1.1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s="2" t="inlineStr"/>
    </row>
    <row r="1178" ht="15" customHeight="1">
      <c r="A1178" t="inlineStr">
        <is>
          <t>A 54107-2023</t>
        </is>
      </c>
      <c r="B1178" s="1" t="n">
        <v>45232</v>
      </c>
      <c r="C1178" s="1" t="n">
        <v>46012</v>
      </c>
      <c r="D1178" t="inlineStr">
        <is>
          <t>VÄRMLANDS LÄN</t>
        </is>
      </c>
      <c r="E1178" t="inlineStr">
        <is>
          <t>ARVIKA</t>
        </is>
      </c>
      <c r="F1178" t="inlineStr">
        <is>
          <t>Bergvik skog väst AB</t>
        </is>
      </c>
      <c r="G1178" t="n">
        <v>0.9</v>
      </c>
      <c r="H1178" t="n">
        <v>0</v>
      </c>
      <c r="I1178" t="n">
        <v>0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s="2" t="inlineStr"/>
    </row>
    <row r="1179" ht="15" customHeight="1">
      <c r="A1179" t="inlineStr">
        <is>
          <t>A 53539-2023</t>
        </is>
      </c>
      <c r="B1179" s="1" t="n">
        <v>45230.45539351852</v>
      </c>
      <c r="C1179" s="1" t="n">
        <v>46012</v>
      </c>
      <c r="D1179" t="inlineStr">
        <is>
          <t>VÄRMLANDS LÄN</t>
        </is>
      </c>
      <c r="E1179" t="inlineStr">
        <is>
          <t>ARVIKA</t>
        </is>
      </c>
      <c r="G1179" t="n">
        <v>0.5</v>
      </c>
      <c r="H1179" t="n">
        <v>0</v>
      </c>
      <c r="I1179" t="n">
        <v>0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s="2" t="inlineStr"/>
    </row>
    <row r="1180" ht="15" customHeight="1">
      <c r="A1180" t="inlineStr">
        <is>
          <t>A 57750-2024</t>
        </is>
      </c>
      <c r="B1180" s="1" t="n">
        <v>45630</v>
      </c>
      <c r="C1180" s="1" t="n">
        <v>46012</v>
      </c>
      <c r="D1180" t="inlineStr">
        <is>
          <t>VÄRMLANDS LÄN</t>
        </is>
      </c>
      <c r="E1180" t="inlineStr">
        <is>
          <t>ARVIKA</t>
        </is>
      </c>
      <c r="G1180" t="n">
        <v>1.3</v>
      </c>
      <c r="H1180" t="n">
        <v>0</v>
      </c>
      <c r="I1180" t="n">
        <v>0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s="2" t="inlineStr"/>
    </row>
    <row r="1181" ht="15" customHeight="1">
      <c r="A1181" t="inlineStr">
        <is>
          <t>A 10256-2025</t>
        </is>
      </c>
      <c r="B1181" s="1" t="n">
        <v>45720.37347222222</v>
      </c>
      <c r="C1181" s="1" t="n">
        <v>46012</v>
      </c>
      <c r="D1181" t="inlineStr">
        <is>
          <t>VÄRMLANDS LÄN</t>
        </is>
      </c>
      <c r="E1181" t="inlineStr">
        <is>
          <t>ARVIKA</t>
        </is>
      </c>
      <c r="G1181" t="n">
        <v>6.5</v>
      </c>
      <c r="H1181" t="n">
        <v>0</v>
      </c>
      <c r="I1181" t="n">
        <v>0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s="2" t="inlineStr"/>
    </row>
    <row r="1182" ht="15" customHeight="1">
      <c r="A1182" t="inlineStr">
        <is>
          <t>A 10276-2025</t>
        </is>
      </c>
      <c r="B1182" s="1" t="n">
        <v>45720</v>
      </c>
      <c r="C1182" s="1" t="n">
        <v>46012</v>
      </c>
      <c r="D1182" t="inlineStr">
        <is>
          <t>VÄRMLANDS LÄN</t>
        </is>
      </c>
      <c r="E1182" t="inlineStr">
        <is>
          <t>ARVIKA</t>
        </is>
      </c>
      <c r="G1182" t="n">
        <v>2.9</v>
      </c>
      <c r="H1182" t="n">
        <v>0</v>
      </c>
      <c r="I1182" t="n">
        <v>0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s="2" t="inlineStr"/>
    </row>
    <row r="1183" ht="15" customHeight="1">
      <c r="A1183" t="inlineStr">
        <is>
          <t>A 45132-2023</t>
        </is>
      </c>
      <c r="B1183" s="1" t="n">
        <v>45191</v>
      </c>
      <c r="C1183" s="1" t="n">
        <v>46012</v>
      </c>
      <c r="D1183" t="inlineStr">
        <is>
          <t>VÄRMLANDS LÄN</t>
        </is>
      </c>
      <c r="E1183" t="inlineStr">
        <is>
          <t>ARVIKA</t>
        </is>
      </c>
      <c r="G1183" t="n">
        <v>2.2</v>
      </c>
      <c r="H1183" t="n">
        <v>0</v>
      </c>
      <c r="I1183" t="n">
        <v>0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s="2" t="inlineStr"/>
    </row>
    <row r="1184" ht="15" customHeight="1">
      <c r="A1184" t="inlineStr">
        <is>
          <t>A 58423-2023</t>
        </is>
      </c>
      <c r="B1184" s="1" t="n">
        <v>45250</v>
      </c>
      <c r="C1184" s="1" t="n">
        <v>46012</v>
      </c>
      <c r="D1184" t="inlineStr">
        <is>
          <t>VÄRMLANDS LÄN</t>
        </is>
      </c>
      <c r="E1184" t="inlineStr">
        <is>
          <t>ARVIKA</t>
        </is>
      </c>
      <c r="G1184" t="n">
        <v>2.6</v>
      </c>
      <c r="H1184" t="n">
        <v>0</v>
      </c>
      <c r="I1184" t="n">
        <v>0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s="2" t="inlineStr"/>
    </row>
    <row r="1185" ht="15" customHeight="1">
      <c r="A1185" t="inlineStr">
        <is>
          <t>A 4736-2025</t>
        </is>
      </c>
      <c r="B1185" s="1" t="n">
        <v>45688.44668981482</v>
      </c>
      <c r="C1185" s="1" t="n">
        <v>46012</v>
      </c>
      <c r="D1185" t="inlineStr">
        <is>
          <t>VÄRMLANDS LÄN</t>
        </is>
      </c>
      <c r="E1185" t="inlineStr">
        <is>
          <t>ARVIKA</t>
        </is>
      </c>
      <c r="G1185" t="n">
        <v>0.8</v>
      </c>
      <c r="H1185" t="n">
        <v>0</v>
      </c>
      <c r="I1185" t="n">
        <v>0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s="2" t="inlineStr"/>
    </row>
    <row r="1186" ht="15" customHeight="1">
      <c r="A1186" t="inlineStr">
        <is>
          <t>A 20106-2022</t>
        </is>
      </c>
      <c r="B1186" s="1" t="n">
        <v>44697</v>
      </c>
      <c r="C1186" s="1" t="n">
        <v>46012</v>
      </c>
      <c r="D1186" t="inlineStr">
        <is>
          <t>VÄRMLANDS LÄN</t>
        </is>
      </c>
      <c r="E1186" t="inlineStr">
        <is>
          <t>ARVIKA</t>
        </is>
      </c>
      <c r="G1186" t="n">
        <v>7.1</v>
      </c>
      <c r="H1186" t="n">
        <v>0</v>
      </c>
      <c r="I1186" t="n">
        <v>0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s="2" t="inlineStr"/>
    </row>
    <row r="1187" ht="15" customHeight="1">
      <c r="A1187" t="inlineStr">
        <is>
          <t>A 39980-2022</t>
        </is>
      </c>
      <c r="B1187" s="1" t="n">
        <v>44820</v>
      </c>
      <c r="C1187" s="1" t="n">
        <v>46012</v>
      </c>
      <c r="D1187" t="inlineStr">
        <is>
          <t>VÄRMLANDS LÄN</t>
        </is>
      </c>
      <c r="E1187" t="inlineStr">
        <is>
          <t>ARVIKA</t>
        </is>
      </c>
      <c r="F1187" t="inlineStr">
        <is>
          <t>Bergvik skog väst AB</t>
        </is>
      </c>
      <c r="G1187" t="n">
        <v>0.3</v>
      </c>
      <c r="H1187" t="n">
        <v>0</v>
      </c>
      <c r="I1187" t="n">
        <v>0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s="2" t="inlineStr"/>
    </row>
    <row r="1188" ht="15" customHeight="1">
      <c r="A1188" t="inlineStr">
        <is>
          <t>A 55061-2023</t>
        </is>
      </c>
      <c r="B1188" s="1" t="n">
        <v>45237</v>
      </c>
      <c r="C1188" s="1" t="n">
        <v>46012</v>
      </c>
      <c r="D1188" t="inlineStr">
        <is>
          <t>VÄRMLANDS LÄN</t>
        </is>
      </c>
      <c r="E1188" t="inlineStr">
        <is>
          <t>ARVIKA</t>
        </is>
      </c>
      <c r="F1188" t="inlineStr">
        <is>
          <t>Bergvik skog väst AB</t>
        </is>
      </c>
      <c r="G1188" t="n">
        <v>2.6</v>
      </c>
      <c r="H1188" t="n">
        <v>0</v>
      </c>
      <c r="I1188" t="n">
        <v>0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s="2" t="inlineStr"/>
    </row>
    <row r="1189" ht="15" customHeight="1">
      <c r="A1189" t="inlineStr">
        <is>
          <t>A 41310-2023</t>
        </is>
      </c>
      <c r="B1189" s="1" t="n">
        <v>45174.63408564815</v>
      </c>
      <c r="C1189" s="1" t="n">
        <v>46012</v>
      </c>
      <c r="D1189" t="inlineStr">
        <is>
          <t>VÄRMLANDS LÄN</t>
        </is>
      </c>
      <c r="E1189" t="inlineStr">
        <is>
          <t>ARVIKA</t>
        </is>
      </c>
      <c r="G1189" t="n">
        <v>0.5</v>
      </c>
      <c r="H1189" t="n">
        <v>0</v>
      </c>
      <c r="I1189" t="n">
        <v>0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s="2" t="inlineStr"/>
    </row>
    <row r="1190" ht="15" customHeight="1">
      <c r="A1190" t="inlineStr">
        <is>
          <t>A 16558-2025</t>
        </is>
      </c>
      <c r="B1190" s="1" t="n">
        <v>45751</v>
      </c>
      <c r="C1190" s="1" t="n">
        <v>46012</v>
      </c>
      <c r="D1190" t="inlineStr">
        <is>
          <t>VÄRMLANDS LÄN</t>
        </is>
      </c>
      <c r="E1190" t="inlineStr">
        <is>
          <t>ARVIKA</t>
        </is>
      </c>
      <c r="F1190" t="inlineStr">
        <is>
          <t>Kommuner</t>
        </is>
      </c>
      <c r="G1190" t="n">
        <v>0.8</v>
      </c>
      <c r="H1190" t="n">
        <v>0</v>
      </c>
      <c r="I1190" t="n">
        <v>0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s="2" t="inlineStr"/>
    </row>
    <row r="1191" ht="15" customHeight="1">
      <c r="A1191" t="inlineStr">
        <is>
          <t>A 40299-2023</t>
        </is>
      </c>
      <c r="B1191" s="1" t="n">
        <v>45169</v>
      </c>
      <c r="C1191" s="1" t="n">
        <v>46012</v>
      </c>
      <c r="D1191" t="inlineStr">
        <is>
          <t>VÄRMLANDS LÄN</t>
        </is>
      </c>
      <c r="E1191" t="inlineStr">
        <is>
          <t>ARVIKA</t>
        </is>
      </c>
      <c r="G1191" t="n">
        <v>0.7</v>
      </c>
      <c r="H1191" t="n">
        <v>0</v>
      </c>
      <c r="I1191" t="n">
        <v>0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s="2" t="inlineStr"/>
    </row>
    <row r="1192" ht="15" customHeight="1">
      <c r="A1192" t="inlineStr">
        <is>
          <t>A 3671-2025</t>
        </is>
      </c>
      <c r="B1192" s="1" t="n">
        <v>45681</v>
      </c>
      <c r="C1192" s="1" t="n">
        <v>46012</v>
      </c>
      <c r="D1192" t="inlineStr">
        <is>
          <t>VÄRMLANDS LÄN</t>
        </is>
      </c>
      <c r="E1192" t="inlineStr">
        <is>
          <t>ARVIKA</t>
        </is>
      </c>
      <c r="F1192" t="inlineStr">
        <is>
          <t>Bergvik skog väst AB</t>
        </is>
      </c>
      <c r="G1192" t="n">
        <v>13.4</v>
      </c>
      <c r="H1192" t="n">
        <v>0</v>
      </c>
      <c r="I1192" t="n">
        <v>0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s="2" t="inlineStr"/>
    </row>
    <row r="1193" ht="15" customHeight="1">
      <c r="A1193" t="inlineStr">
        <is>
          <t>A 46924-2022</t>
        </is>
      </c>
      <c r="B1193" s="1" t="n">
        <v>44851.6909375</v>
      </c>
      <c r="C1193" s="1" t="n">
        <v>46012</v>
      </c>
      <c r="D1193" t="inlineStr">
        <is>
          <t>VÄRMLANDS LÄN</t>
        </is>
      </c>
      <c r="E1193" t="inlineStr">
        <is>
          <t>ARVIKA</t>
        </is>
      </c>
      <c r="G1193" t="n">
        <v>1.6</v>
      </c>
      <c r="H1193" t="n">
        <v>0</v>
      </c>
      <c r="I1193" t="n">
        <v>0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s="2" t="inlineStr"/>
    </row>
    <row r="1194" ht="15" customHeight="1">
      <c r="A1194" t="inlineStr">
        <is>
          <t>A 8061-2025</t>
        </is>
      </c>
      <c r="B1194" s="1" t="n">
        <v>45707.63060185185</v>
      </c>
      <c r="C1194" s="1" t="n">
        <v>46012</v>
      </c>
      <c r="D1194" t="inlineStr">
        <is>
          <t>VÄRMLANDS LÄN</t>
        </is>
      </c>
      <c r="E1194" t="inlineStr">
        <is>
          <t>ARVIKA</t>
        </is>
      </c>
      <c r="G1194" t="n">
        <v>3.4</v>
      </c>
      <c r="H1194" t="n">
        <v>0</v>
      </c>
      <c r="I1194" t="n">
        <v>0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0</v>
      </c>
      <c r="P1194" t="n">
        <v>0</v>
      </c>
      <c r="Q1194" t="n">
        <v>0</v>
      </c>
      <c r="R1194" s="2" t="inlineStr"/>
    </row>
    <row r="1195" ht="15" customHeight="1">
      <c r="A1195" t="inlineStr">
        <is>
          <t>A 58220-2023</t>
        </is>
      </c>
      <c r="B1195" s="1" t="n">
        <v>45245</v>
      </c>
      <c r="C1195" s="1" t="n">
        <v>46012</v>
      </c>
      <c r="D1195" t="inlineStr">
        <is>
          <t>VÄRMLANDS LÄN</t>
        </is>
      </c>
      <c r="E1195" t="inlineStr">
        <is>
          <t>ARVIKA</t>
        </is>
      </c>
      <c r="F1195" t="inlineStr">
        <is>
          <t>Övriga Aktiebolag</t>
        </is>
      </c>
      <c r="G1195" t="n">
        <v>1.5</v>
      </c>
      <c r="H1195" t="n">
        <v>0</v>
      </c>
      <c r="I1195" t="n">
        <v>0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0</v>
      </c>
      <c r="P1195" t="n">
        <v>0</v>
      </c>
      <c r="Q1195" t="n">
        <v>0</v>
      </c>
      <c r="R1195" s="2" t="inlineStr"/>
    </row>
    <row r="1196" ht="15" customHeight="1">
      <c r="A1196" t="inlineStr">
        <is>
          <t>A 19216-2025</t>
        </is>
      </c>
      <c r="B1196" s="1" t="n">
        <v>45769</v>
      </c>
      <c r="C1196" s="1" t="n">
        <v>46012</v>
      </c>
      <c r="D1196" t="inlineStr">
        <is>
          <t>VÄRMLANDS LÄN</t>
        </is>
      </c>
      <c r="E1196" t="inlineStr">
        <is>
          <t>ARVIKA</t>
        </is>
      </c>
      <c r="F1196" t="inlineStr">
        <is>
          <t>Bergvik skog väst AB</t>
        </is>
      </c>
      <c r="G1196" t="n">
        <v>1.7</v>
      </c>
      <c r="H1196" t="n">
        <v>0</v>
      </c>
      <c r="I1196" t="n">
        <v>0</v>
      </c>
      <c r="J1196" t="n">
        <v>0</v>
      </c>
      <c r="K1196" t="n">
        <v>0</v>
      </c>
      <c r="L1196" t="n">
        <v>0</v>
      </c>
      <c r="M1196" t="n">
        <v>0</v>
      </c>
      <c r="N1196" t="n">
        <v>0</v>
      </c>
      <c r="O1196" t="n">
        <v>0</v>
      </c>
      <c r="P1196" t="n">
        <v>0</v>
      </c>
      <c r="Q1196" t="n">
        <v>0</v>
      </c>
      <c r="R1196" s="2" t="inlineStr"/>
    </row>
    <row r="1197" ht="15" customHeight="1">
      <c r="A1197" t="inlineStr">
        <is>
          <t>A 47239-2022</t>
        </is>
      </c>
      <c r="B1197" s="1" t="n">
        <v>44852</v>
      </c>
      <c r="C1197" s="1" t="n">
        <v>46012</v>
      </c>
      <c r="D1197" t="inlineStr">
        <is>
          <t>VÄRMLANDS LÄN</t>
        </is>
      </c>
      <c r="E1197" t="inlineStr">
        <is>
          <t>ARVIKA</t>
        </is>
      </c>
      <c r="G1197" t="n">
        <v>1.5</v>
      </c>
      <c r="H1197" t="n">
        <v>0</v>
      </c>
      <c r="I1197" t="n">
        <v>0</v>
      </c>
      <c r="J1197" t="n">
        <v>0</v>
      </c>
      <c r="K1197" t="n">
        <v>0</v>
      </c>
      <c r="L1197" t="n">
        <v>0</v>
      </c>
      <c r="M1197" t="n">
        <v>0</v>
      </c>
      <c r="N1197" t="n">
        <v>0</v>
      </c>
      <c r="O1197" t="n">
        <v>0</v>
      </c>
      <c r="P1197" t="n">
        <v>0</v>
      </c>
      <c r="Q1197" t="n">
        <v>0</v>
      </c>
      <c r="R1197" s="2" t="inlineStr"/>
    </row>
    <row r="1198" ht="15" customHeight="1">
      <c r="A1198" t="inlineStr">
        <is>
          <t>A 23813-2022</t>
        </is>
      </c>
      <c r="B1198" s="1" t="n">
        <v>44722.47209490741</v>
      </c>
      <c r="C1198" s="1" t="n">
        <v>46012</v>
      </c>
      <c r="D1198" t="inlineStr">
        <is>
          <t>VÄRMLANDS LÄN</t>
        </is>
      </c>
      <c r="E1198" t="inlineStr">
        <is>
          <t>ARVIKA</t>
        </is>
      </c>
      <c r="G1198" t="n">
        <v>4.1</v>
      </c>
      <c r="H1198" t="n">
        <v>0</v>
      </c>
      <c r="I1198" t="n">
        <v>0</v>
      </c>
      <c r="J1198" t="n">
        <v>0</v>
      </c>
      <c r="K1198" t="n">
        <v>0</v>
      </c>
      <c r="L1198" t="n">
        <v>0</v>
      </c>
      <c r="M1198" t="n">
        <v>0</v>
      </c>
      <c r="N1198" t="n">
        <v>0</v>
      </c>
      <c r="O1198" t="n">
        <v>0</v>
      </c>
      <c r="P1198" t="n">
        <v>0</v>
      </c>
      <c r="Q1198" t="n">
        <v>0</v>
      </c>
      <c r="R1198" s="2" t="inlineStr"/>
    </row>
    <row r="1199" ht="15" customHeight="1">
      <c r="A1199" t="inlineStr">
        <is>
          <t>A 15923-2025</t>
        </is>
      </c>
      <c r="B1199" s="1" t="n">
        <v>45749</v>
      </c>
      <c r="C1199" s="1" t="n">
        <v>46012</v>
      </c>
      <c r="D1199" t="inlineStr">
        <is>
          <t>VÄRMLANDS LÄN</t>
        </is>
      </c>
      <c r="E1199" t="inlineStr">
        <is>
          <t>ARVIKA</t>
        </is>
      </c>
      <c r="F1199" t="inlineStr">
        <is>
          <t>Bergvik skog väst AB</t>
        </is>
      </c>
      <c r="G1199" t="n">
        <v>3.3</v>
      </c>
      <c r="H1199" t="n">
        <v>0</v>
      </c>
      <c r="I1199" t="n">
        <v>0</v>
      </c>
      <c r="J1199" t="n">
        <v>0</v>
      </c>
      <c r="K1199" t="n">
        <v>0</v>
      </c>
      <c r="L1199" t="n">
        <v>0</v>
      </c>
      <c r="M1199" t="n">
        <v>0</v>
      </c>
      <c r="N1199" t="n">
        <v>0</v>
      </c>
      <c r="O1199" t="n">
        <v>0</v>
      </c>
      <c r="P1199" t="n">
        <v>0</v>
      </c>
      <c r="Q1199" t="n">
        <v>0</v>
      </c>
      <c r="R1199" s="2" t="inlineStr"/>
    </row>
    <row r="1200" ht="15" customHeight="1">
      <c r="A1200" t="inlineStr">
        <is>
          <t>A 13233-2025</t>
        </is>
      </c>
      <c r="B1200" s="1" t="n">
        <v>45735.46873842592</v>
      </c>
      <c r="C1200" s="1" t="n">
        <v>46012</v>
      </c>
      <c r="D1200" t="inlineStr">
        <is>
          <t>VÄRMLANDS LÄN</t>
        </is>
      </c>
      <c r="E1200" t="inlineStr">
        <is>
          <t>ARVIKA</t>
        </is>
      </c>
      <c r="F1200" t="inlineStr">
        <is>
          <t>Bergvik skog väst AB</t>
        </is>
      </c>
      <c r="G1200" t="n">
        <v>4.3</v>
      </c>
      <c r="H1200" t="n">
        <v>0</v>
      </c>
      <c r="I1200" t="n">
        <v>0</v>
      </c>
      <c r="J1200" t="n">
        <v>0</v>
      </c>
      <c r="K1200" t="n">
        <v>0</v>
      </c>
      <c r="L1200" t="n">
        <v>0</v>
      </c>
      <c r="M1200" t="n">
        <v>0</v>
      </c>
      <c r="N1200" t="n">
        <v>0</v>
      </c>
      <c r="O1200" t="n">
        <v>0</v>
      </c>
      <c r="P1200" t="n">
        <v>0</v>
      </c>
      <c r="Q1200" t="n">
        <v>0</v>
      </c>
      <c r="R1200" s="2" t="inlineStr"/>
    </row>
    <row r="1201" ht="15" customHeight="1">
      <c r="A1201" t="inlineStr">
        <is>
          <t>A 13286-2025</t>
        </is>
      </c>
      <c r="B1201" s="1" t="n">
        <v>45735.56118055555</v>
      </c>
      <c r="C1201" s="1" t="n">
        <v>46012</v>
      </c>
      <c r="D1201" t="inlineStr">
        <is>
          <t>VÄRMLANDS LÄN</t>
        </is>
      </c>
      <c r="E1201" t="inlineStr">
        <is>
          <t>ARVIKA</t>
        </is>
      </c>
      <c r="F1201" t="inlineStr">
        <is>
          <t>Bergvik skog väst AB</t>
        </is>
      </c>
      <c r="G1201" t="n">
        <v>0.7</v>
      </c>
      <c r="H1201" t="n">
        <v>0</v>
      </c>
      <c r="I1201" t="n">
        <v>0</v>
      </c>
      <c r="J1201" t="n">
        <v>0</v>
      </c>
      <c r="K1201" t="n">
        <v>0</v>
      </c>
      <c r="L1201" t="n">
        <v>0</v>
      </c>
      <c r="M1201" t="n">
        <v>0</v>
      </c>
      <c r="N1201" t="n">
        <v>0</v>
      </c>
      <c r="O1201" t="n">
        <v>0</v>
      </c>
      <c r="P1201" t="n">
        <v>0</v>
      </c>
      <c r="Q1201" t="n">
        <v>0</v>
      </c>
      <c r="R1201" s="2" t="inlineStr"/>
    </row>
    <row r="1202" ht="15" customHeight="1">
      <c r="A1202" t="inlineStr">
        <is>
          <t>A 37652-2023</t>
        </is>
      </c>
      <c r="B1202" s="1" t="n">
        <v>45159</v>
      </c>
      <c r="C1202" s="1" t="n">
        <v>46012</v>
      </c>
      <c r="D1202" t="inlineStr">
        <is>
          <t>VÄRMLANDS LÄN</t>
        </is>
      </c>
      <c r="E1202" t="inlineStr">
        <is>
          <t>ARVIKA</t>
        </is>
      </c>
      <c r="G1202" t="n">
        <v>2</v>
      </c>
      <c r="H1202" t="n">
        <v>0</v>
      </c>
      <c r="I1202" t="n">
        <v>0</v>
      </c>
      <c r="J1202" t="n">
        <v>0</v>
      </c>
      <c r="K1202" t="n">
        <v>0</v>
      </c>
      <c r="L1202" t="n">
        <v>0</v>
      </c>
      <c r="M1202" t="n">
        <v>0</v>
      </c>
      <c r="N1202" t="n">
        <v>0</v>
      </c>
      <c r="O1202" t="n">
        <v>0</v>
      </c>
      <c r="P1202" t="n">
        <v>0</v>
      </c>
      <c r="Q1202" t="n">
        <v>0</v>
      </c>
      <c r="R1202" s="2" t="inlineStr"/>
    </row>
    <row r="1203" ht="15" customHeight="1">
      <c r="A1203" t="inlineStr">
        <is>
          <t>A 298-2024</t>
        </is>
      </c>
      <c r="B1203" s="1" t="n">
        <v>45295</v>
      </c>
      <c r="C1203" s="1" t="n">
        <v>46012</v>
      </c>
      <c r="D1203" t="inlineStr">
        <is>
          <t>VÄRMLANDS LÄN</t>
        </is>
      </c>
      <c r="E1203" t="inlineStr">
        <is>
          <t>ARVIKA</t>
        </is>
      </c>
      <c r="G1203" t="n">
        <v>3.3</v>
      </c>
      <c r="H1203" t="n">
        <v>0</v>
      </c>
      <c r="I1203" t="n">
        <v>0</v>
      </c>
      <c r="J1203" t="n">
        <v>0</v>
      </c>
      <c r="K1203" t="n">
        <v>0</v>
      </c>
      <c r="L1203" t="n">
        <v>0</v>
      </c>
      <c r="M1203" t="n">
        <v>0</v>
      </c>
      <c r="N1203" t="n">
        <v>0</v>
      </c>
      <c r="O1203" t="n">
        <v>0</v>
      </c>
      <c r="P1203" t="n">
        <v>0</v>
      </c>
      <c r="Q1203" t="n">
        <v>0</v>
      </c>
      <c r="R1203" s="2" t="inlineStr"/>
    </row>
    <row r="1204" ht="15" customHeight="1">
      <c r="A1204" t="inlineStr">
        <is>
          <t>A 45069-2023</t>
        </is>
      </c>
      <c r="B1204" s="1" t="n">
        <v>45191.38833333334</v>
      </c>
      <c r="C1204" s="1" t="n">
        <v>46012</v>
      </c>
      <c r="D1204" t="inlineStr">
        <is>
          <t>VÄRMLANDS LÄN</t>
        </is>
      </c>
      <c r="E1204" t="inlineStr">
        <is>
          <t>ARVIKA</t>
        </is>
      </c>
      <c r="G1204" t="n">
        <v>0.7</v>
      </c>
      <c r="H1204" t="n">
        <v>0</v>
      </c>
      <c r="I1204" t="n">
        <v>0</v>
      </c>
      <c r="J1204" t="n">
        <v>0</v>
      </c>
      <c r="K1204" t="n">
        <v>0</v>
      </c>
      <c r="L1204" t="n">
        <v>0</v>
      </c>
      <c r="M1204" t="n">
        <v>0</v>
      </c>
      <c r="N1204" t="n">
        <v>0</v>
      </c>
      <c r="O1204" t="n">
        <v>0</v>
      </c>
      <c r="P1204" t="n">
        <v>0</v>
      </c>
      <c r="Q1204" t="n">
        <v>0</v>
      </c>
      <c r="R1204" s="2" t="inlineStr"/>
    </row>
    <row r="1205" ht="15" customHeight="1">
      <c r="A1205" t="inlineStr">
        <is>
          <t>A 15120-2025</t>
        </is>
      </c>
      <c r="B1205" s="1" t="n">
        <v>45744.30913194444</v>
      </c>
      <c r="C1205" s="1" t="n">
        <v>46012</v>
      </c>
      <c r="D1205" t="inlineStr">
        <is>
          <t>VÄRMLANDS LÄN</t>
        </is>
      </c>
      <c r="E1205" t="inlineStr">
        <is>
          <t>ARVIKA</t>
        </is>
      </c>
      <c r="G1205" t="n">
        <v>1</v>
      </c>
      <c r="H1205" t="n">
        <v>0</v>
      </c>
      <c r="I1205" t="n">
        <v>0</v>
      </c>
      <c r="J1205" t="n">
        <v>0</v>
      </c>
      <c r="K1205" t="n">
        <v>0</v>
      </c>
      <c r="L1205" t="n">
        <v>0</v>
      </c>
      <c r="M1205" t="n">
        <v>0</v>
      </c>
      <c r="N1205" t="n">
        <v>0</v>
      </c>
      <c r="O1205" t="n">
        <v>0</v>
      </c>
      <c r="P1205" t="n">
        <v>0</v>
      </c>
      <c r="Q1205" t="n">
        <v>0</v>
      </c>
      <c r="R1205" s="2" t="inlineStr"/>
    </row>
    <row r="1206" ht="15" customHeight="1">
      <c r="A1206" t="inlineStr">
        <is>
          <t>A 9057-2025</t>
        </is>
      </c>
      <c r="B1206" s="1" t="n">
        <v>45713</v>
      </c>
      <c r="C1206" s="1" t="n">
        <v>46012</v>
      </c>
      <c r="D1206" t="inlineStr">
        <is>
          <t>VÄRMLANDS LÄN</t>
        </is>
      </c>
      <c r="E1206" t="inlineStr">
        <is>
          <t>ARVIKA</t>
        </is>
      </c>
      <c r="G1206" t="n">
        <v>8.199999999999999</v>
      </c>
      <c r="H1206" t="n">
        <v>0</v>
      </c>
      <c r="I1206" t="n">
        <v>0</v>
      </c>
      <c r="J1206" t="n">
        <v>0</v>
      </c>
      <c r="K1206" t="n">
        <v>0</v>
      </c>
      <c r="L1206" t="n">
        <v>0</v>
      </c>
      <c r="M1206" t="n">
        <v>0</v>
      </c>
      <c r="N1206" t="n">
        <v>0</v>
      </c>
      <c r="O1206" t="n">
        <v>0</v>
      </c>
      <c r="P1206" t="n">
        <v>0</v>
      </c>
      <c r="Q1206" t="n">
        <v>0</v>
      </c>
      <c r="R1206" s="2" t="inlineStr"/>
    </row>
    <row r="1207" ht="15" customHeight="1">
      <c r="A1207" t="inlineStr">
        <is>
          <t>A 9059-2025</t>
        </is>
      </c>
      <c r="B1207" s="1" t="n">
        <v>45713</v>
      </c>
      <c r="C1207" s="1" t="n">
        <v>46012</v>
      </c>
      <c r="D1207" t="inlineStr">
        <is>
          <t>VÄRMLANDS LÄN</t>
        </is>
      </c>
      <c r="E1207" t="inlineStr">
        <is>
          <t>ARVIKA</t>
        </is>
      </c>
      <c r="G1207" t="n">
        <v>1.2</v>
      </c>
      <c r="H1207" t="n">
        <v>0</v>
      </c>
      <c r="I1207" t="n">
        <v>0</v>
      </c>
      <c r="J1207" t="n">
        <v>0</v>
      </c>
      <c r="K1207" t="n">
        <v>0</v>
      </c>
      <c r="L1207" t="n">
        <v>0</v>
      </c>
      <c r="M1207" t="n">
        <v>0</v>
      </c>
      <c r="N1207" t="n">
        <v>0</v>
      </c>
      <c r="O1207" t="n">
        <v>0</v>
      </c>
      <c r="P1207" t="n">
        <v>0</v>
      </c>
      <c r="Q1207" t="n">
        <v>0</v>
      </c>
      <c r="R1207" s="2" t="inlineStr"/>
    </row>
    <row r="1208" ht="15" customHeight="1">
      <c r="A1208" t="inlineStr">
        <is>
          <t>A 35292-2021</t>
        </is>
      </c>
      <c r="B1208" s="1" t="n">
        <v>44383</v>
      </c>
      <c r="C1208" s="1" t="n">
        <v>46012</v>
      </c>
      <c r="D1208" t="inlineStr">
        <is>
          <t>VÄRMLANDS LÄN</t>
        </is>
      </c>
      <c r="E1208" t="inlineStr">
        <is>
          <t>ARVIKA</t>
        </is>
      </c>
      <c r="G1208" t="n">
        <v>1.1</v>
      </c>
      <c r="H1208" t="n">
        <v>0</v>
      </c>
      <c r="I1208" t="n">
        <v>0</v>
      </c>
      <c r="J1208" t="n">
        <v>0</v>
      </c>
      <c r="K1208" t="n">
        <v>0</v>
      </c>
      <c r="L1208" t="n">
        <v>0</v>
      </c>
      <c r="M1208" t="n">
        <v>0</v>
      </c>
      <c r="N1208" t="n">
        <v>0</v>
      </c>
      <c r="O1208" t="n">
        <v>0</v>
      </c>
      <c r="P1208" t="n">
        <v>0</v>
      </c>
      <c r="Q1208" t="n">
        <v>0</v>
      </c>
      <c r="R1208" s="2" t="inlineStr"/>
    </row>
    <row r="1209" ht="15" customHeight="1">
      <c r="A1209" t="inlineStr">
        <is>
          <t>A 35294-2021</t>
        </is>
      </c>
      <c r="B1209" s="1" t="n">
        <v>44383</v>
      </c>
      <c r="C1209" s="1" t="n">
        <v>46012</v>
      </c>
      <c r="D1209" t="inlineStr">
        <is>
          <t>VÄRMLANDS LÄN</t>
        </is>
      </c>
      <c r="E1209" t="inlineStr">
        <is>
          <t>ARVIKA</t>
        </is>
      </c>
      <c r="G1209" t="n">
        <v>2.2</v>
      </c>
      <c r="H1209" t="n">
        <v>0</v>
      </c>
      <c r="I1209" t="n">
        <v>0</v>
      </c>
      <c r="J1209" t="n">
        <v>0</v>
      </c>
      <c r="K1209" t="n">
        <v>0</v>
      </c>
      <c r="L1209" t="n">
        <v>0</v>
      </c>
      <c r="M1209" t="n">
        <v>0</v>
      </c>
      <c r="N1209" t="n">
        <v>0</v>
      </c>
      <c r="O1209" t="n">
        <v>0</v>
      </c>
      <c r="P1209" t="n">
        <v>0</v>
      </c>
      <c r="Q1209" t="n">
        <v>0</v>
      </c>
      <c r="R1209" s="2" t="inlineStr"/>
    </row>
    <row r="1210" ht="15" customHeight="1">
      <c r="A1210" t="inlineStr">
        <is>
          <t>A 9721-2025</t>
        </is>
      </c>
      <c r="B1210" s="1" t="n">
        <v>45716.40907407407</v>
      </c>
      <c r="C1210" s="1" t="n">
        <v>46012</v>
      </c>
      <c r="D1210" t="inlineStr">
        <is>
          <t>VÄRMLANDS LÄN</t>
        </is>
      </c>
      <c r="E1210" t="inlineStr">
        <is>
          <t>ARVIKA</t>
        </is>
      </c>
      <c r="F1210" t="inlineStr">
        <is>
          <t>Bergvik skog väst AB</t>
        </is>
      </c>
      <c r="G1210" t="n">
        <v>0.9</v>
      </c>
      <c r="H1210" t="n">
        <v>0</v>
      </c>
      <c r="I1210" t="n">
        <v>0</v>
      </c>
      <c r="J1210" t="n">
        <v>0</v>
      </c>
      <c r="K1210" t="n">
        <v>0</v>
      </c>
      <c r="L1210" t="n">
        <v>0</v>
      </c>
      <c r="M1210" t="n">
        <v>0</v>
      </c>
      <c r="N1210" t="n">
        <v>0</v>
      </c>
      <c r="O1210" t="n">
        <v>0</v>
      </c>
      <c r="P1210" t="n">
        <v>0</v>
      </c>
      <c r="Q1210" t="n">
        <v>0</v>
      </c>
      <c r="R1210" s="2" t="inlineStr"/>
    </row>
    <row r="1211" ht="15" customHeight="1">
      <c r="A1211" t="inlineStr">
        <is>
          <t>A 20521-2025</t>
        </is>
      </c>
      <c r="B1211" s="1" t="n">
        <v>45775.6015625</v>
      </c>
      <c r="C1211" s="1" t="n">
        <v>46012</v>
      </c>
      <c r="D1211" t="inlineStr">
        <is>
          <t>VÄRMLANDS LÄN</t>
        </is>
      </c>
      <c r="E1211" t="inlineStr">
        <is>
          <t>ARVIKA</t>
        </is>
      </c>
      <c r="F1211" t="inlineStr">
        <is>
          <t>Bergvik skog väst AB</t>
        </is>
      </c>
      <c r="G1211" t="n">
        <v>11.4</v>
      </c>
      <c r="H1211" t="n">
        <v>0</v>
      </c>
      <c r="I1211" t="n">
        <v>0</v>
      </c>
      <c r="J1211" t="n">
        <v>0</v>
      </c>
      <c r="K1211" t="n">
        <v>0</v>
      </c>
      <c r="L1211" t="n">
        <v>0</v>
      </c>
      <c r="M1211" t="n">
        <v>0</v>
      </c>
      <c r="N1211" t="n">
        <v>0</v>
      </c>
      <c r="O1211" t="n">
        <v>0</v>
      </c>
      <c r="P1211" t="n">
        <v>0</v>
      </c>
      <c r="Q1211" t="n">
        <v>0</v>
      </c>
      <c r="R1211" s="2" t="inlineStr"/>
    </row>
    <row r="1212" ht="15" customHeight="1">
      <c r="A1212" t="inlineStr">
        <is>
          <t>A 19177-2025</t>
        </is>
      </c>
      <c r="B1212" s="1" t="n">
        <v>45769</v>
      </c>
      <c r="C1212" s="1" t="n">
        <v>46012</v>
      </c>
      <c r="D1212" t="inlineStr">
        <is>
          <t>VÄRMLANDS LÄN</t>
        </is>
      </c>
      <c r="E1212" t="inlineStr">
        <is>
          <t>ARVIKA</t>
        </is>
      </c>
      <c r="F1212" t="inlineStr">
        <is>
          <t>Bergvik skog väst AB</t>
        </is>
      </c>
      <c r="G1212" t="n">
        <v>3</v>
      </c>
      <c r="H1212" t="n">
        <v>0</v>
      </c>
      <c r="I1212" t="n">
        <v>0</v>
      </c>
      <c r="J1212" t="n">
        <v>0</v>
      </c>
      <c r="K1212" t="n">
        <v>0</v>
      </c>
      <c r="L1212" t="n">
        <v>0</v>
      </c>
      <c r="M1212" t="n">
        <v>0</v>
      </c>
      <c r="N1212" t="n">
        <v>0</v>
      </c>
      <c r="O1212" t="n">
        <v>0</v>
      </c>
      <c r="P1212" t="n">
        <v>0</v>
      </c>
      <c r="Q1212" t="n">
        <v>0</v>
      </c>
      <c r="R1212" s="2" t="inlineStr"/>
    </row>
    <row r="1213" ht="15" customHeight="1">
      <c r="A1213" t="inlineStr">
        <is>
          <t>A 62596-2022</t>
        </is>
      </c>
      <c r="B1213" s="1" t="n">
        <v>44917</v>
      </c>
      <c r="C1213" s="1" t="n">
        <v>46012</v>
      </c>
      <c r="D1213" t="inlineStr">
        <is>
          <t>VÄRMLANDS LÄN</t>
        </is>
      </c>
      <c r="E1213" t="inlineStr">
        <is>
          <t>ARVIKA</t>
        </is>
      </c>
      <c r="G1213" t="n">
        <v>1</v>
      </c>
      <c r="H1213" t="n">
        <v>0</v>
      </c>
      <c r="I1213" t="n">
        <v>0</v>
      </c>
      <c r="J1213" t="n">
        <v>0</v>
      </c>
      <c r="K1213" t="n">
        <v>0</v>
      </c>
      <c r="L1213" t="n">
        <v>0</v>
      </c>
      <c r="M1213" t="n">
        <v>0</v>
      </c>
      <c r="N1213" t="n">
        <v>0</v>
      </c>
      <c r="O1213" t="n">
        <v>0</v>
      </c>
      <c r="P1213" t="n">
        <v>0</v>
      </c>
      <c r="Q1213" t="n">
        <v>0</v>
      </c>
      <c r="R1213" s="2" t="inlineStr"/>
    </row>
    <row r="1214" ht="15" customHeight="1">
      <c r="A1214" t="inlineStr">
        <is>
          <t>A 62601-2022</t>
        </is>
      </c>
      <c r="B1214" s="1" t="n">
        <v>44917</v>
      </c>
      <c r="C1214" s="1" t="n">
        <v>46012</v>
      </c>
      <c r="D1214" t="inlineStr">
        <is>
          <t>VÄRMLANDS LÄN</t>
        </is>
      </c>
      <c r="E1214" t="inlineStr">
        <is>
          <t>ARVIKA</t>
        </is>
      </c>
      <c r="G1214" t="n">
        <v>0.5</v>
      </c>
      <c r="H1214" t="n">
        <v>0</v>
      </c>
      <c r="I1214" t="n">
        <v>0</v>
      </c>
      <c r="J1214" t="n">
        <v>0</v>
      </c>
      <c r="K1214" t="n">
        <v>0</v>
      </c>
      <c r="L1214" t="n">
        <v>0</v>
      </c>
      <c r="M1214" t="n">
        <v>0</v>
      </c>
      <c r="N1214" t="n">
        <v>0</v>
      </c>
      <c r="O1214" t="n">
        <v>0</v>
      </c>
      <c r="P1214" t="n">
        <v>0</v>
      </c>
      <c r="Q1214" t="n">
        <v>0</v>
      </c>
      <c r="R1214" s="2" t="inlineStr"/>
    </row>
    <row r="1215" ht="15" customHeight="1">
      <c r="A1215" t="inlineStr">
        <is>
          <t>A 11671-2025</t>
        </is>
      </c>
      <c r="B1215" s="1" t="n">
        <v>45727.52484953704</v>
      </c>
      <c r="C1215" s="1" t="n">
        <v>46012</v>
      </c>
      <c r="D1215" t="inlineStr">
        <is>
          <t>VÄRMLANDS LÄN</t>
        </is>
      </c>
      <c r="E1215" t="inlineStr">
        <is>
          <t>ARVIKA</t>
        </is>
      </c>
      <c r="F1215" t="inlineStr">
        <is>
          <t>Bergvik skog väst AB</t>
        </is>
      </c>
      <c r="G1215" t="n">
        <v>6.7</v>
      </c>
      <c r="H1215" t="n">
        <v>0</v>
      </c>
      <c r="I1215" t="n">
        <v>0</v>
      </c>
      <c r="J1215" t="n">
        <v>0</v>
      </c>
      <c r="K1215" t="n">
        <v>0</v>
      </c>
      <c r="L1215" t="n">
        <v>0</v>
      </c>
      <c r="M1215" t="n">
        <v>0</v>
      </c>
      <c r="N1215" t="n">
        <v>0</v>
      </c>
      <c r="O1215" t="n">
        <v>0</v>
      </c>
      <c r="P1215" t="n">
        <v>0</v>
      </c>
      <c r="Q1215" t="n">
        <v>0</v>
      </c>
      <c r="R1215" s="2" t="inlineStr"/>
    </row>
    <row r="1216" ht="15" customHeight="1">
      <c r="A1216" t="inlineStr">
        <is>
          <t>A 2134-2024</t>
        </is>
      </c>
      <c r="B1216" s="1" t="n">
        <v>45309</v>
      </c>
      <c r="C1216" s="1" t="n">
        <v>46012</v>
      </c>
      <c r="D1216" t="inlineStr">
        <is>
          <t>VÄRMLANDS LÄN</t>
        </is>
      </c>
      <c r="E1216" t="inlineStr">
        <is>
          <t>ARVIKA</t>
        </is>
      </c>
      <c r="G1216" t="n">
        <v>3.3</v>
      </c>
      <c r="H1216" t="n">
        <v>0</v>
      </c>
      <c r="I1216" t="n">
        <v>0</v>
      </c>
      <c r="J1216" t="n">
        <v>0</v>
      </c>
      <c r="K1216" t="n">
        <v>0</v>
      </c>
      <c r="L1216" t="n">
        <v>0</v>
      </c>
      <c r="M1216" t="n">
        <v>0</v>
      </c>
      <c r="N1216" t="n">
        <v>0</v>
      </c>
      <c r="O1216" t="n">
        <v>0</v>
      </c>
      <c r="P1216" t="n">
        <v>0</v>
      </c>
      <c r="Q1216" t="n">
        <v>0</v>
      </c>
      <c r="R1216" s="2" t="inlineStr"/>
    </row>
    <row r="1217" ht="15" customHeight="1">
      <c r="A1217" t="inlineStr">
        <is>
          <t>A 10742-2022</t>
        </is>
      </c>
      <c r="B1217" s="1" t="n">
        <v>44627.36464120371</v>
      </c>
      <c r="C1217" s="1" t="n">
        <v>46012</v>
      </c>
      <c r="D1217" t="inlineStr">
        <is>
          <t>VÄRMLANDS LÄN</t>
        </is>
      </c>
      <c r="E1217" t="inlineStr">
        <is>
          <t>ARVIKA</t>
        </is>
      </c>
      <c r="G1217" t="n">
        <v>5</v>
      </c>
      <c r="H1217" t="n">
        <v>0</v>
      </c>
      <c r="I1217" t="n">
        <v>0</v>
      </c>
      <c r="J1217" t="n">
        <v>0</v>
      </c>
      <c r="K1217" t="n">
        <v>0</v>
      </c>
      <c r="L1217" t="n">
        <v>0</v>
      </c>
      <c r="M1217" t="n">
        <v>0</v>
      </c>
      <c r="N1217" t="n">
        <v>0</v>
      </c>
      <c r="O1217" t="n">
        <v>0</v>
      </c>
      <c r="P1217" t="n">
        <v>0</v>
      </c>
      <c r="Q1217" t="n">
        <v>0</v>
      </c>
      <c r="R1217" s="2" t="inlineStr"/>
    </row>
    <row r="1218" ht="15" customHeight="1">
      <c r="A1218" t="inlineStr">
        <is>
          <t>A 65036-2023</t>
        </is>
      </c>
      <c r="B1218" s="1" t="n">
        <v>45287</v>
      </c>
      <c r="C1218" s="1" t="n">
        <v>46012</v>
      </c>
      <c r="D1218" t="inlineStr">
        <is>
          <t>VÄRMLANDS LÄN</t>
        </is>
      </c>
      <c r="E1218" t="inlineStr">
        <is>
          <t>ARVIKA</t>
        </is>
      </c>
      <c r="F1218" t="inlineStr">
        <is>
          <t>Bergvik skog väst AB</t>
        </is>
      </c>
      <c r="G1218" t="n">
        <v>4.1</v>
      </c>
      <c r="H1218" t="n">
        <v>0</v>
      </c>
      <c r="I1218" t="n">
        <v>0</v>
      </c>
      <c r="J1218" t="n">
        <v>0</v>
      </c>
      <c r="K1218" t="n">
        <v>0</v>
      </c>
      <c r="L1218" t="n">
        <v>0</v>
      </c>
      <c r="M1218" t="n">
        <v>0</v>
      </c>
      <c r="N1218" t="n">
        <v>0</v>
      </c>
      <c r="O1218" t="n">
        <v>0</v>
      </c>
      <c r="P1218" t="n">
        <v>0</v>
      </c>
      <c r="Q1218" t="n">
        <v>0</v>
      </c>
      <c r="R1218" s="2" t="inlineStr"/>
    </row>
    <row r="1219" ht="15" customHeight="1">
      <c r="A1219" t="inlineStr">
        <is>
          <t>A 1422-2024</t>
        </is>
      </c>
      <c r="B1219" s="1" t="n">
        <v>45303.62887731481</v>
      </c>
      <c r="C1219" s="1" t="n">
        <v>46012</v>
      </c>
      <c r="D1219" t="inlineStr">
        <is>
          <t>VÄRMLANDS LÄN</t>
        </is>
      </c>
      <c r="E1219" t="inlineStr">
        <is>
          <t>ARVIKA</t>
        </is>
      </c>
      <c r="F1219" t="inlineStr">
        <is>
          <t>Kyrkan</t>
        </is>
      </c>
      <c r="G1219" t="n">
        <v>3.1</v>
      </c>
      <c r="H1219" t="n">
        <v>0</v>
      </c>
      <c r="I1219" t="n">
        <v>0</v>
      </c>
      <c r="J1219" t="n">
        <v>0</v>
      </c>
      <c r="K1219" t="n">
        <v>0</v>
      </c>
      <c r="L1219" t="n">
        <v>0</v>
      </c>
      <c r="M1219" t="n">
        <v>0</v>
      </c>
      <c r="N1219" t="n">
        <v>0</v>
      </c>
      <c r="O1219" t="n">
        <v>0</v>
      </c>
      <c r="P1219" t="n">
        <v>0</v>
      </c>
      <c r="Q1219" t="n">
        <v>0</v>
      </c>
      <c r="R1219" s="2" t="inlineStr"/>
    </row>
    <row r="1220" ht="15" customHeight="1">
      <c r="A1220" t="inlineStr">
        <is>
          <t>A 10513-2024</t>
        </is>
      </c>
      <c r="B1220" s="1" t="n">
        <v>45366</v>
      </c>
      <c r="C1220" s="1" t="n">
        <v>46012</v>
      </c>
      <c r="D1220" t="inlineStr">
        <is>
          <t>VÄRMLANDS LÄN</t>
        </is>
      </c>
      <c r="E1220" t="inlineStr">
        <is>
          <t>ARVIKA</t>
        </is>
      </c>
      <c r="G1220" t="n">
        <v>3.3</v>
      </c>
      <c r="H1220" t="n">
        <v>0</v>
      </c>
      <c r="I1220" t="n">
        <v>0</v>
      </c>
      <c r="J1220" t="n">
        <v>0</v>
      </c>
      <c r="K1220" t="n">
        <v>0</v>
      </c>
      <c r="L1220" t="n">
        <v>0</v>
      </c>
      <c r="M1220" t="n">
        <v>0</v>
      </c>
      <c r="N1220" t="n">
        <v>0</v>
      </c>
      <c r="O1220" t="n">
        <v>0</v>
      </c>
      <c r="P1220" t="n">
        <v>0</v>
      </c>
      <c r="Q1220" t="n">
        <v>0</v>
      </c>
      <c r="R1220" s="2" t="inlineStr"/>
    </row>
    <row r="1221" ht="15" customHeight="1">
      <c r="A1221" t="inlineStr">
        <is>
          <t>A 46108-2023</t>
        </is>
      </c>
      <c r="B1221" s="1" t="n">
        <v>45196.5453587963</v>
      </c>
      <c r="C1221" s="1" t="n">
        <v>46012</v>
      </c>
      <c r="D1221" t="inlineStr">
        <is>
          <t>VÄRMLANDS LÄN</t>
        </is>
      </c>
      <c r="E1221" t="inlineStr">
        <is>
          <t>ARVIKA</t>
        </is>
      </c>
      <c r="G1221" t="n">
        <v>2.2</v>
      </c>
      <c r="H1221" t="n">
        <v>0</v>
      </c>
      <c r="I1221" t="n">
        <v>0</v>
      </c>
      <c r="J1221" t="n">
        <v>0</v>
      </c>
      <c r="K1221" t="n">
        <v>0</v>
      </c>
      <c r="L1221" t="n">
        <v>0</v>
      </c>
      <c r="M1221" t="n">
        <v>0</v>
      </c>
      <c r="N1221" t="n">
        <v>0</v>
      </c>
      <c r="O1221" t="n">
        <v>0</v>
      </c>
      <c r="P1221" t="n">
        <v>0</v>
      </c>
      <c r="Q1221" t="n">
        <v>0</v>
      </c>
      <c r="R1221" s="2" t="inlineStr"/>
    </row>
    <row r="1222" ht="15" customHeight="1">
      <c r="A1222" t="inlineStr">
        <is>
          <t>A 9630-2024</t>
        </is>
      </c>
      <c r="B1222" s="1" t="n">
        <v>45362</v>
      </c>
      <c r="C1222" s="1" t="n">
        <v>46012</v>
      </c>
      <c r="D1222" t="inlineStr">
        <is>
          <t>VÄRMLANDS LÄN</t>
        </is>
      </c>
      <c r="E1222" t="inlineStr">
        <is>
          <t>ARVIKA</t>
        </is>
      </c>
      <c r="G1222" t="n">
        <v>3.2</v>
      </c>
      <c r="H1222" t="n">
        <v>0</v>
      </c>
      <c r="I1222" t="n">
        <v>0</v>
      </c>
      <c r="J1222" t="n">
        <v>0</v>
      </c>
      <c r="K1222" t="n">
        <v>0</v>
      </c>
      <c r="L1222" t="n">
        <v>0</v>
      </c>
      <c r="M1222" t="n">
        <v>0</v>
      </c>
      <c r="N1222" t="n">
        <v>0</v>
      </c>
      <c r="O1222" t="n">
        <v>0</v>
      </c>
      <c r="P1222" t="n">
        <v>0</v>
      </c>
      <c r="Q1222" t="n">
        <v>0</v>
      </c>
      <c r="R1222" s="2" t="inlineStr"/>
    </row>
    <row r="1223" ht="15" customHeight="1">
      <c r="A1223" t="inlineStr">
        <is>
          <t>A 379-2023</t>
        </is>
      </c>
      <c r="B1223" s="1" t="n">
        <v>44922</v>
      </c>
      <c r="C1223" s="1" t="n">
        <v>46012</v>
      </c>
      <c r="D1223" t="inlineStr">
        <is>
          <t>VÄRMLANDS LÄN</t>
        </is>
      </c>
      <c r="E1223" t="inlineStr">
        <is>
          <t>ARVIKA</t>
        </is>
      </c>
      <c r="G1223" t="n">
        <v>1.7</v>
      </c>
      <c r="H1223" t="n">
        <v>0</v>
      </c>
      <c r="I1223" t="n">
        <v>0</v>
      </c>
      <c r="J1223" t="n">
        <v>0</v>
      </c>
      <c r="K1223" t="n">
        <v>0</v>
      </c>
      <c r="L1223" t="n">
        <v>0</v>
      </c>
      <c r="M1223" t="n">
        <v>0</v>
      </c>
      <c r="N1223" t="n">
        <v>0</v>
      </c>
      <c r="O1223" t="n">
        <v>0</v>
      </c>
      <c r="P1223" t="n">
        <v>0</v>
      </c>
      <c r="Q1223" t="n">
        <v>0</v>
      </c>
      <c r="R1223" s="2" t="inlineStr"/>
    </row>
    <row r="1224" ht="15" customHeight="1">
      <c r="A1224" t="inlineStr">
        <is>
          <t>A 42163-2022</t>
        </is>
      </c>
      <c r="B1224" s="1" t="n">
        <v>44830</v>
      </c>
      <c r="C1224" s="1" t="n">
        <v>46012</v>
      </c>
      <c r="D1224" t="inlineStr">
        <is>
          <t>VÄRMLANDS LÄN</t>
        </is>
      </c>
      <c r="E1224" t="inlineStr">
        <is>
          <t>ARVIKA</t>
        </is>
      </c>
      <c r="F1224" t="inlineStr">
        <is>
          <t>Bergvik skog väst AB</t>
        </is>
      </c>
      <c r="G1224" t="n">
        <v>1.3</v>
      </c>
      <c r="H1224" t="n">
        <v>0</v>
      </c>
      <c r="I1224" t="n">
        <v>0</v>
      </c>
      <c r="J1224" t="n">
        <v>0</v>
      </c>
      <c r="K1224" t="n">
        <v>0</v>
      </c>
      <c r="L1224" t="n">
        <v>0</v>
      </c>
      <c r="M1224" t="n">
        <v>0</v>
      </c>
      <c r="N1224" t="n">
        <v>0</v>
      </c>
      <c r="O1224" t="n">
        <v>0</v>
      </c>
      <c r="P1224" t="n">
        <v>0</v>
      </c>
      <c r="Q1224" t="n">
        <v>0</v>
      </c>
      <c r="R1224" s="2" t="inlineStr"/>
    </row>
    <row r="1225" ht="15" customHeight="1">
      <c r="A1225" t="inlineStr">
        <is>
          <t>A 38705-2022</t>
        </is>
      </c>
      <c r="B1225" s="1" t="n">
        <v>44814.72725694445</v>
      </c>
      <c r="C1225" s="1" t="n">
        <v>46012</v>
      </c>
      <c r="D1225" t="inlineStr">
        <is>
          <t>VÄRMLANDS LÄN</t>
        </is>
      </c>
      <c r="E1225" t="inlineStr">
        <is>
          <t>ARVIKA</t>
        </is>
      </c>
      <c r="G1225" t="n">
        <v>2.1</v>
      </c>
      <c r="H1225" t="n">
        <v>0</v>
      </c>
      <c r="I1225" t="n">
        <v>0</v>
      </c>
      <c r="J1225" t="n">
        <v>0</v>
      </c>
      <c r="K1225" t="n">
        <v>0</v>
      </c>
      <c r="L1225" t="n">
        <v>0</v>
      </c>
      <c r="M1225" t="n">
        <v>0</v>
      </c>
      <c r="N1225" t="n">
        <v>0</v>
      </c>
      <c r="O1225" t="n">
        <v>0</v>
      </c>
      <c r="P1225" t="n">
        <v>0</v>
      </c>
      <c r="Q1225" t="n">
        <v>0</v>
      </c>
      <c r="R1225" s="2" t="inlineStr"/>
    </row>
    <row r="1226" ht="15" customHeight="1">
      <c r="A1226" t="inlineStr">
        <is>
          <t>A 61206-2023</t>
        </is>
      </c>
      <c r="B1226" s="1" t="n">
        <v>45264.38726851852</v>
      </c>
      <c r="C1226" s="1" t="n">
        <v>46012</v>
      </c>
      <c r="D1226" t="inlineStr">
        <is>
          <t>VÄRMLANDS LÄN</t>
        </is>
      </c>
      <c r="E1226" t="inlineStr">
        <is>
          <t>ARVIKA</t>
        </is>
      </c>
      <c r="G1226" t="n">
        <v>1.7</v>
      </c>
      <c r="H1226" t="n">
        <v>0</v>
      </c>
      <c r="I1226" t="n">
        <v>0</v>
      </c>
      <c r="J1226" t="n">
        <v>0</v>
      </c>
      <c r="K1226" t="n">
        <v>0</v>
      </c>
      <c r="L1226" t="n">
        <v>0</v>
      </c>
      <c r="M1226" t="n">
        <v>0</v>
      </c>
      <c r="N1226" t="n">
        <v>0</v>
      </c>
      <c r="O1226" t="n">
        <v>0</v>
      </c>
      <c r="P1226" t="n">
        <v>0</v>
      </c>
      <c r="Q1226" t="n">
        <v>0</v>
      </c>
      <c r="R1226" s="2" t="inlineStr"/>
    </row>
    <row r="1227" ht="15" customHeight="1">
      <c r="A1227" t="inlineStr">
        <is>
          <t>A 33088-2022</t>
        </is>
      </c>
      <c r="B1227" s="1" t="n">
        <v>44785</v>
      </c>
      <c r="C1227" s="1" t="n">
        <v>46012</v>
      </c>
      <c r="D1227" t="inlineStr">
        <is>
          <t>VÄRMLANDS LÄN</t>
        </is>
      </c>
      <c r="E1227" t="inlineStr">
        <is>
          <t>ARVIKA</t>
        </is>
      </c>
      <c r="G1227" t="n">
        <v>3</v>
      </c>
      <c r="H1227" t="n">
        <v>0</v>
      </c>
      <c r="I1227" t="n">
        <v>0</v>
      </c>
      <c r="J1227" t="n">
        <v>0</v>
      </c>
      <c r="K1227" t="n">
        <v>0</v>
      </c>
      <c r="L1227" t="n">
        <v>0</v>
      </c>
      <c r="M1227" t="n">
        <v>0</v>
      </c>
      <c r="N1227" t="n">
        <v>0</v>
      </c>
      <c r="O1227" t="n">
        <v>0</v>
      </c>
      <c r="P1227" t="n">
        <v>0</v>
      </c>
      <c r="Q1227" t="n">
        <v>0</v>
      </c>
      <c r="R1227" s="2" t="inlineStr"/>
    </row>
    <row r="1228" ht="15" customHeight="1">
      <c r="A1228" t="inlineStr">
        <is>
          <t>A 41580-2022</t>
        </is>
      </c>
      <c r="B1228" s="1" t="n">
        <v>44827</v>
      </c>
      <c r="C1228" s="1" t="n">
        <v>46012</v>
      </c>
      <c r="D1228" t="inlineStr">
        <is>
          <t>VÄRMLANDS LÄN</t>
        </is>
      </c>
      <c r="E1228" t="inlineStr">
        <is>
          <t>ARVIKA</t>
        </is>
      </c>
      <c r="G1228" t="n">
        <v>1.8</v>
      </c>
      <c r="H1228" t="n">
        <v>0</v>
      </c>
      <c r="I1228" t="n">
        <v>0</v>
      </c>
      <c r="J1228" t="n">
        <v>0</v>
      </c>
      <c r="K1228" t="n">
        <v>0</v>
      </c>
      <c r="L1228" t="n">
        <v>0</v>
      </c>
      <c r="M1228" t="n">
        <v>0</v>
      </c>
      <c r="N1228" t="n">
        <v>0</v>
      </c>
      <c r="O1228" t="n">
        <v>0</v>
      </c>
      <c r="P1228" t="n">
        <v>0</v>
      </c>
      <c r="Q1228" t="n">
        <v>0</v>
      </c>
      <c r="R1228" s="2" t="inlineStr"/>
    </row>
    <row r="1229" ht="15" customHeight="1">
      <c r="A1229" t="inlineStr">
        <is>
          <t>A 26321-2023</t>
        </is>
      </c>
      <c r="B1229" s="1" t="n">
        <v>45091.69579861111</v>
      </c>
      <c r="C1229" s="1" t="n">
        <v>46012</v>
      </c>
      <c r="D1229" t="inlineStr">
        <is>
          <t>VÄRMLANDS LÄN</t>
        </is>
      </c>
      <c r="E1229" t="inlineStr">
        <is>
          <t>ARVIKA</t>
        </is>
      </c>
      <c r="G1229" t="n">
        <v>2.4</v>
      </c>
      <c r="H1229" t="n">
        <v>0</v>
      </c>
      <c r="I1229" t="n">
        <v>0</v>
      </c>
      <c r="J1229" t="n">
        <v>0</v>
      </c>
      <c r="K1229" t="n">
        <v>0</v>
      </c>
      <c r="L1229" t="n">
        <v>0</v>
      </c>
      <c r="M1229" t="n">
        <v>0</v>
      </c>
      <c r="N1229" t="n">
        <v>0</v>
      </c>
      <c r="O1229" t="n">
        <v>0</v>
      </c>
      <c r="P1229" t="n">
        <v>0</v>
      </c>
      <c r="Q1229" t="n">
        <v>0</v>
      </c>
      <c r="R1229" s="2" t="inlineStr"/>
    </row>
    <row r="1230" ht="15" customHeight="1">
      <c r="A1230" t="inlineStr">
        <is>
          <t>A 26324-2023</t>
        </is>
      </c>
      <c r="B1230" s="1" t="n">
        <v>45091.71113425926</v>
      </c>
      <c r="C1230" s="1" t="n">
        <v>46012</v>
      </c>
      <c r="D1230" t="inlineStr">
        <is>
          <t>VÄRMLANDS LÄN</t>
        </is>
      </c>
      <c r="E1230" t="inlineStr">
        <is>
          <t>ARVIKA</t>
        </is>
      </c>
      <c r="G1230" t="n">
        <v>1.1</v>
      </c>
      <c r="H1230" t="n">
        <v>0</v>
      </c>
      <c r="I1230" t="n">
        <v>0</v>
      </c>
      <c r="J1230" t="n">
        <v>0</v>
      </c>
      <c r="K1230" t="n">
        <v>0</v>
      </c>
      <c r="L1230" t="n">
        <v>0</v>
      </c>
      <c r="M1230" t="n">
        <v>0</v>
      </c>
      <c r="N1230" t="n">
        <v>0</v>
      </c>
      <c r="O1230" t="n">
        <v>0</v>
      </c>
      <c r="P1230" t="n">
        <v>0</v>
      </c>
      <c r="Q1230" t="n">
        <v>0</v>
      </c>
      <c r="R1230" s="2" t="inlineStr"/>
    </row>
    <row r="1231" ht="15" customHeight="1">
      <c r="A1231" t="inlineStr">
        <is>
          <t>A 64664-2021</t>
        </is>
      </c>
      <c r="B1231" s="1" t="n">
        <v>44512</v>
      </c>
      <c r="C1231" s="1" t="n">
        <v>46012</v>
      </c>
      <c r="D1231" t="inlineStr">
        <is>
          <t>VÄRMLANDS LÄN</t>
        </is>
      </c>
      <c r="E1231" t="inlineStr">
        <is>
          <t>ARVIKA</t>
        </is>
      </c>
      <c r="G1231" t="n">
        <v>6.1</v>
      </c>
      <c r="H1231" t="n">
        <v>0</v>
      </c>
      <c r="I1231" t="n">
        <v>0</v>
      </c>
      <c r="J1231" t="n">
        <v>0</v>
      </c>
      <c r="K1231" t="n">
        <v>0</v>
      </c>
      <c r="L1231" t="n">
        <v>0</v>
      </c>
      <c r="M1231" t="n">
        <v>0</v>
      </c>
      <c r="N1231" t="n">
        <v>0</v>
      </c>
      <c r="O1231" t="n">
        <v>0</v>
      </c>
      <c r="P1231" t="n">
        <v>0</v>
      </c>
      <c r="Q1231" t="n">
        <v>0</v>
      </c>
      <c r="R1231" s="2" t="inlineStr"/>
    </row>
    <row r="1232" ht="15" customHeight="1">
      <c r="A1232" t="inlineStr">
        <is>
          <t>A 12811-2025</t>
        </is>
      </c>
      <c r="B1232" s="1" t="n">
        <v>45733.6156712963</v>
      </c>
      <c r="C1232" s="1" t="n">
        <v>46012</v>
      </c>
      <c r="D1232" t="inlineStr">
        <is>
          <t>VÄRMLANDS LÄN</t>
        </is>
      </c>
      <c r="E1232" t="inlineStr">
        <is>
          <t>ARVIKA</t>
        </is>
      </c>
      <c r="F1232" t="inlineStr">
        <is>
          <t>Bergvik skog väst AB</t>
        </is>
      </c>
      <c r="G1232" t="n">
        <v>9.699999999999999</v>
      </c>
      <c r="H1232" t="n">
        <v>0</v>
      </c>
      <c r="I1232" t="n">
        <v>0</v>
      </c>
      <c r="J1232" t="n">
        <v>0</v>
      </c>
      <c r="K1232" t="n">
        <v>0</v>
      </c>
      <c r="L1232" t="n">
        <v>0</v>
      </c>
      <c r="M1232" t="n">
        <v>0</v>
      </c>
      <c r="N1232" t="n">
        <v>0</v>
      </c>
      <c r="O1232" t="n">
        <v>0</v>
      </c>
      <c r="P1232" t="n">
        <v>0</v>
      </c>
      <c r="Q1232" t="n">
        <v>0</v>
      </c>
      <c r="R1232" s="2" t="inlineStr"/>
    </row>
    <row r="1233" ht="15" customHeight="1">
      <c r="A1233" t="inlineStr">
        <is>
          <t>A 31703-2024</t>
        </is>
      </c>
      <c r="B1233" s="1" t="n">
        <v>45508</v>
      </c>
      <c r="C1233" s="1" t="n">
        <v>46012</v>
      </c>
      <c r="D1233" t="inlineStr">
        <is>
          <t>VÄRMLANDS LÄN</t>
        </is>
      </c>
      <c r="E1233" t="inlineStr">
        <is>
          <t>ARVIKA</t>
        </is>
      </c>
      <c r="G1233" t="n">
        <v>2.9</v>
      </c>
      <c r="H1233" t="n">
        <v>0</v>
      </c>
      <c r="I1233" t="n">
        <v>0</v>
      </c>
      <c r="J1233" t="n">
        <v>0</v>
      </c>
      <c r="K1233" t="n">
        <v>0</v>
      </c>
      <c r="L1233" t="n">
        <v>0</v>
      </c>
      <c r="M1233" t="n">
        <v>0</v>
      </c>
      <c r="N1233" t="n">
        <v>0</v>
      </c>
      <c r="O1233" t="n">
        <v>0</v>
      </c>
      <c r="P1233" t="n">
        <v>0</v>
      </c>
      <c r="Q1233" t="n">
        <v>0</v>
      </c>
      <c r="R1233" s="2" t="inlineStr"/>
    </row>
    <row r="1234" ht="15" customHeight="1">
      <c r="A1234" t="inlineStr">
        <is>
          <t>A 32013-2024</t>
        </is>
      </c>
      <c r="B1234" s="1" t="n">
        <v>45510</v>
      </c>
      <c r="C1234" s="1" t="n">
        <v>46012</v>
      </c>
      <c r="D1234" t="inlineStr">
        <is>
          <t>VÄRMLANDS LÄN</t>
        </is>
      </c>
      <c r="E1234" t="inlineStr">
        <is>
          <t>ARVIKA</t>
        </is>
      </c>
      <c r="G1234" t="n">
        <v>1</v>
      </c>
      <c r="H1234" t="n">
        <v>0</v>
      </c>
      <c r="I1234" t="n">
        <v>0</v>
      </c>
      <c r="J1234" t="n">
        <v>0</v>
      </c>
      <c r="K1234" t="n">
        <v>0</v>
      </c>
      <c r="L1234" t="n">
        <v>0</v>
      </c>
      <c r="M1234" t="n">
        <v>0</v>
      </c>
      <c r="N1234" t="n">
        <v>0</v>
      </c>
      <c r="O1234" t="n">
        <v>0</v>
      </c>
      <c r="P1234" t="n">
        <v>0</v>
      </c>
      <c r="Q1234" t="n">
        <v>0</v>
      </c>
      <c r="R1234" s="2" t="inlineStr"/>
    </row>
    <row r="1235" ht="15" customHeight="1">
      <c r="A1235" t="inlineStr">
        <is>
          <t>A 39601-2023</t>
        </is>
      </c>
      <c r="B1235" s="1" t="n">
        <v>45163</v>
      </c>
      <c r="C1235" s="1" t="n">
        <v>46012</v>
      </c>
      <c r="D1235" t="inlineStr">
        <is>
          <t>VÄRMLANDS LÄN</t>
        </is>
      </c>
      <c r="E1235" t="inlineStr">
        <is>
          <t>ARVIKA</t>
        </is>
      </c>
      <c r="G1235" t="n">
        <v>1.9</v>
      </c>
      <c r="H1235" t="n">
        <v>0</v>
      </c>
      <c r="I1235" t="n">
        <v>0</v>
      </c>
      <c r="J1235" t="n">
        <v>0</v>
      </c>
      <c r="K1235" t="n">
        <v>0</v>
      </c>
      <c r="L1235" t="n">
        <v>0</v>
      </c>
      <c r="M1235" t="n">
        <v>0</v>
      </c>
      <c r="N1235" t="n">
        <v>0</v>
      </c>
      <c r="O1235" t="n">
        <v>0</v>
      </c>
      <c r="P1235" t="n">
        <v>0</v>
      </c>
      <c r="Q1235" t="n">
        <v>0</v>
      </c>
      <c r="R1235" s="2" t="inlineStr"/>
    </row>
    <row r="1236" ht="15" customHeight="1">
      <c r="A1236" t="inlineStr">
        <is>
          <t>A 24535-2024</t>
        </is>
      </c>
      <c r="B1236" s="1" t="n">
        <v>45460.38814814815</v>
      </c>
      <c r="C1236" s="1" t="n">
        <v>46012</v>
      </c>
      <c r="D1236" t="inlineStr">
        <is>
          <t>VÄRMLANDS LÄN</t>
        </is>
      </c>
      <c r="E1236" t="inlineStr">
        <is>
          <t>ARVIKA</t>
        </is>
      </c>
      <c r="F1236" t="inlineStr">
        <is>
          <t>Bergvik skog väst AB</t>
        </is>
      </c>
      <c r="G1236" t="n">
        <v>1.2</v>
      </c>
      <c r="H1236" t="n">
        <v>0</v>
      </c>
      <c r="I1236" t="n">
        <v>0</v>
      </c>
      <c r="J1236" t="n">
        <v>0</v>
      </c>
      <c r="K1236" t="n">
        <v>0</v>
      </c>
      <c r="L1236" t="n">
        <v>0</v>
      </c>
      <c r="M1236" t="n">
        <v>0</v>
      </c>
      <c r="N1236" t="n">
        <v>0</v>
      </c>
      <c r="O1236" t="n">
        <v>0</v>
      </c>
      <c r="P1236" t="n">
        <v>0</v>
      </c>
      <c r="Q1236" t="n">
        <v>0</v>
      </c>
      <c r="R1236" s="2" t="inlineStr"/>
    </row>
    <row r="1237" ht="15" customHeight="1">
      <c r="A1237" t="inlineStr">
        <is>
          <t>A 47489-2024</t>
        </is>
      </c>
      <c r="B1237" s="1" t="n">
        <v>45587</v>
      </c>
      <c r="C1237" s="1" t="n">
        <v>46012</v>
      </c>
      <c r="D1237" t="inlineStr">
        <is>
          <t>VÄRMLANDS LÄN</t>
        </is>
      </c>
      <c r="E1237" t="inlineStr">
        <is>
          <t>ARVIKA</t>
        </is>
      </c>
      <c r="G1237" t="n">
        <v>3.8</v>
      </c>
      <c r="H1237" t="n">
        <v>0</v>
      </c>
      <c r="I1237" t="n">
        <v>0</v>
      </c>
      <c r="J1237" t="n">
        <v>0</v>
      </c>
      <c r="K1237" t="n">
        <v>0</v>
      </c>
      <c r="L1237" t="n">
        <v>0</v>
      </c>
      <c r="M1237" t="n">
        <v>0</v>
      </c>
      <c r="N1237" t="n">
        <v>0</v>
      </c>
      <c r="O1237" t="n">
        <v>0</v>
      </c>
      <c r="P1237" t="n">
        <v>0</v>
      </c>
      <c r="Q1237" t="n">
        <v>0</v>
      </c>
      <c r="R1237" s="2" t="inlineStr"/>
    </row>
    <row r="1238" ht="15" customHeight="1">
      <c r="A1238" t="inlineStr">
        <is>
          <t>A 16014-2024</t>
        </is>
      </c>
      <c r="B1238" s="1" t="n">
        <v>45405</v>
      </c>
      <c r="C1238" s="1" t="n">
        <v>46012</v>
      </c>
      <c r="D1238" t="inlineStr">
        <is>
          <t>VÄRMLANDS LÄN</t>
        </is>
      </c>
      <c r="E1238" t="inlineStr">
        <is>
          <t>ARVIKA</t>
        </is>
      </c>
      <c r="G1238" t="n">
        <v>0.9</v>
      </c>
      <c r="H1238" t="n">
        <v>0</v>
      </c>
      <c r="I1238" t="n">
        <v>0</v>
      </c>
      <c r="J1238" t="n">
        <v>0</v>
      </c>
      <c r="K1238" t="n">
        <v>0</v>
      </c>
      <c r="L1238" t="n">
        <v>0</v>
      </c>
      <c r="M1238" t="n">
        <v>0</v>
      </c>
      <c r="N1238" t="n">
        <v>0</v>
      </c>
      <c r="O1238" t="n">
        <v>0</v>
      </c>
      <c r="P1238" t="n">
        <v>0</v>
      </c>
      <c r="Q1238" t="n">
        <v>0</v>
      </c>
      <c r="R1238" s="2" t="inlineStr"/>
    </row>
    <row r="1239" ht="15" customHeight="1">
      <c r="A1239" t="inlineStr">
        <is>
          <t>A 14181-2021</t>
        </is>
      </c>
      <c r="B1239" s="1" t="n">
        <v>44278.4783912037</v>
      </c>
      <c r="C1239" s="1" t="n">
        <v>46012</v>
      </c>
      <c r="D1239" t="inlineStr">
        <is>
          <t>VÄRMLANDS LÄN</t>
        </is>
      </c>
      <c r="E1239" t="inlineStr">
        <is>
          <t>ARVIKA</t>
        </is>
      </c>
      <c r="G1239" t="n">
        <v>1.4</v>
      </c>
      <c r="H1239" t="n">
        <v>0</v>
      </c>
      <c r="I1239" t="n">
        <v>0</v>
      </c>
      <c r="J1239" t="n">
        <v>0</v>
      </c>
      <c r="K1239" t="n">
        <v>0</v>
      </c>
      <c r="L1239" t="n">
        <v>0</v>
      </c>
      <c r="M1239" t="n">
        <v>0</v>
      </c>
      <c r="N1239" t="n">
        <v>0</v>
      </c>
      <c r="O1239" t="n">
        <v>0</v>
      </c>
      <c r="P1239" t="n">
        <v>0</v>
      </c>
      <c r="Q1239" t="n">
        <v>0</v>
      </c>
      <c r="R1239" s="2" t="inlineStr"/>
    </row>
    <row r="1240" ht="15" customHeight="1">
      <c r="A1240" t="inlineStr">
        <is>
          <t>A 9857-2022</t>
        </is>
      </c>
      <c r="B1240" s="1" t="n">
        <v>44620.54168981482</v>
      </c>
      <c r="C1240" s="1" t="n">
        <v>46012</v>
      </c>
      <c r="D1240" t="inlineStr">
        <is>
          <t>VÄRMLANDS LÄN</t>
        </is>
      </c>
      <c r="E1240" t="inlineStr">
        <is>
          <t>ARVIKA</t>
        </is>
      </c>
      <c r="F1240" t="inlineStr">
        <is>
          <t>Bergvik skog väst AB</t>
        </is>
      </c>
      <c r="G1240" t="n">
        <v>2.3</v>
      </c>
      <c r="H1240" t="n">
        <v>0</v>
      </c>
      <c r="I1240" t="n">
        <v>0</v>
      </c>
      <c r="J1240" t="n">
        <v>0</v>
      </c>
      <c r="K1240" t="n">
        <v>0</v>
      </c>
      <c r="L1240" t="n">
        <v>0</v>
      </c>
      <c r="M1240" t="n">
        <v>0</v>
      </c>
      <c r="N1240" t="n">
        <v>0</v>
      </c>
      <c r="O1240" t="n">
        <v>0</v>
      </c>
      <c r="P1240" t="n">
        <v>0</v>
      </c>
      <c r="Q1240" t="n">
        <v>0</v>
      </c>
      <c r="R1240" s="2" t="inlineStr"/>
    </row>
    <row r="1241" ht="15" customHeight="1">
      <c r="A1241" t="inlineStr">
        <is>
          <t>A 33765-2024</t>
        </is>
      </c>
      <c r="B1241" s="1" t="n">
        <v>45520.57130787037</v>
      </c>
      <c r="C1241" s="1" t="n">
        <v>46012</v>
      </c>
      <c r="D1241" t="inlineStr">
        <is>
          <t>VÄRMLANDS LÄN</t>
        </is>
      </c>
      <c r="E1241" t="inlineStr">
        <is>
          <t>ARVIKA</t>
        </is>
      </c>
      <c r="F1241" t="inlineStr">
        <is>
          <t>Bergvik skog väst AB</t>
        </is>
      </c>
      <c r="G1241" t="n">
        <v>2.6</v>
      </c>
      <c r="H1241" t="n">
        <v>0</v>
      </c>
      <c r="I1241" t="n">
        <v>0</v>
      </c>
      <c r="J1241" t="n">
        <v>0</v>
      </c>
      <c r="K1241" t="n">
        <v>0</v>
      </c>
      <c r="L1241" t="n">
        <v>0</v>
      </c>
      <c r="M1241" t="n">
        <v>0</v>
      </c>
      <c r="N1241" t="n">
        <v>0</v>
      </c>
      <c r="O1241" t="n">
        <v>0</v>
      </c>
      <c r="P1241" t="n">
        <v>0</v>
      </c>
      <c r="Q1241" t="n">
        <v>0</v>
      </c>
      <c r="R1241" s="2" t="inlineStr"/>
    </row>
    <row r="1242" ht="15" customHeight="1">
      <c r="A1242" t="inlineStr">
        <is>
          <t>A 33885-2024</t>
        </is>
      </c>
      <c r="B1242" s="1" t="n">
        <v>45523</v>
      </c>
      <c r="C1242" s="1" t="n">
        <v>46012</v>
      </c>
      <c r="D1242" t="inlineStr">
        <is>
          <t>VÄRMLANDS LÄN</t>
        </is>
      </c>
      <c r="E1242" t="inlineStr">
        <is>
          <t>ARVIKA</t>
        </is>
      </c>
      <c r="G1242" t="n">
        <v>5.4</v>
      </c>
      <c r="H1242" t="n">
        <v>0</v>
      </c>
      <c r="I1242" t="n">
        <v>0</v>
      </c>
      <c r="J1242" t="n">
        <v>0</v>
      </c>
      <c r="K1242" t="n">
        <v>0</v>
      </c>
      <c r="L1242" t="n">
        <v>0</v>
      </c>
      <c r="M1242" t="n">
        <v>0</v>
      </c>
      <c r="N1242" t="n">
        <v>0</v>
      </c>
      <c r="O1242" t="n">
        <v>0</v>
      </c>
      <c r="P1242" t="n">
        <v>0</v>
      </c>
      <c r="Q1242" t="n">
        <v>0</v>
      </c>
      <c r="R1242" s="2" t="inlineStr"/>
    </row>
    <row r="1243" ht="15" customHeight="1">
      <c r="A1243" t="inlineStr">
        <is>
          <t>A 5965-2024</t>
        </is>
      </c>
      <c r="B1243" s="1" t="n">
        <v>45336</v>
      </c>
      <c r="C1243" s="1" t="n">
        <v>46012</v>
      </c>
      <c r="D1243" t="inlineStr">
        <is>
          <t>VÄRMLANDS LÄN</t>
        </is>
      </c>
      <c r="E1243" t="inlineStr">
        <is>
          <t>ARVIKA</t>
        </is>
      </c>
      <c r="G1243" t="n">
        <v>4.2</v>
      </c>
      <c r="H1243" t="n">
        <v>0</v>
      </c>
      <c r="I1243" t="n">
        <v>0</v>
      </c>
      <c r="J1243" t="n">
        <v>0</v>
      </c>
      <c r="K1243" t="n">
        <v>0</v>
      </c>
      <c r="L1243" t="n">
        <v>0</v>
      </c>
      <c r="M1243" t="n">
        <v>0</v>
      </c>
      <c r="N1243" t="n">
        <v>0</v>
      </c>
      <c r="O1243" t="n">
        <v>0</v>
      </c>
      <c r="P1243" t="n">
        <v>0</v>
      </c>
      <c r="Q1243" t="n">
        <v>0</v>
      </c>
      <c r="R1243" s="2" t="inlineStr"/>
    </row>
    <row r="1244" ht="15" customHeight="1">
      <c r="A1244" t="inlineStr">
        <is>
          <t>A 22714-2024</t>
        </is>
      </c>
      <c r="B1244" s="1" t="n">
        <v>45448.36056712963</v>
      </c>
      <c r="C1244" s="1" t="n">
        <v>46012</v>
      </c>
      <c r="D1244" t="inlineStr">
        <is>
          <t>VÄRMLANDS LÄN</t>
        </is>
      </c>
      <c r="E1244" t="inlineStr">
        <is>
          <t>ARVIKA</t>
        </is>
      </c>
      <c r="F1244" t="inlineStr">
        <is>
          <t>Bergvik skog väst AB</t>
        </is>
      </c>
      <c r="G1244" t="n">
        <v>0.5</v>
      </c>
      <c r="H1244" t="n">
        <v>0</v>
      </c>
      <c r="I1244" t="n">
        <v>0</v>
      </c>
      <c r="J1244" t="n">
        <v>0</v>
      </c>
      <c r="K1244" t="n">
        <v>0</v>
      </c>
      <c r="L1244" t="n">
        <v>0</v>
      </c>
      <c r="M1244" t="n">
        <v>0</v>
      </c>
      <c r="N1244" t="n">
        <v>0</v>
      </c>
      <c r="O1244" t="n">
        <v>0</v>
      </c>
      <c r="P1244" t="n">
        <v>0</v>
      </c>
      <c r="Q1244" t="n">
        <v>0</v>
      </c>
      <c r="R1244" s="2" t="inlineStr"/>
    </row>
    <row r="1245" ht="15" customHeight="1">
      <c r="A1245" t="inlineStr">
        <is>
          <t>A 26863-2024</t>
        </is>
      </c>
      <c r="B1245" s="1" t="n">
        <v>45470.60811342593</v>
      </c>
      <c r="C1245" s="1" t="n">
        <v>46012</v>
      </c>
      <c r="D1245" t="inlineStr">
        <is>
          <t>VÄRMLANDS LÄN</t>
        </is>
      </c>
      <c r="E1245" t="inlineStr">
        <is>
          <t>ARVIKA</t>
        </is>
      </c>
      <c r="G1245" t="n">
        <v>0.9</v>
      </c>
      <c r="H1245" t="n">
        <v>0</v>
      </c>
      <c r="I1245" t="n">
        <v>0</v>
      </c>
      <c r="J1245" t="n">
        <v>0</v>
      </c>
      <c r="K1245" t="n">
        <v>0</v>
      </c>
      <c r="L1245" t="n">
        <v>0</v>
      </c>
      <c r="M1245" t="n">
        <v>0</v>
      </c>
      <c r="N1245" t="n">
        <v>0</v>
      </c>
      <c r="O1245" t="n">
        <v>0</v>
      </c>
      <c r="P1245" t="n">
        <v>0</v>
      </c>
      <c r="Q1245" t="n">
        <v>0</v>
      </c>
      <c r="R1245" s="2" t="inlineStr"/>
    </row>
    <row r="1246" ht="15" customHeight="1">
      <c r="A1246" t="inlineStr">
        <is>
          <t>A 48488-2022</t>
        </is>
      </c>
      <c r="B1246" s="1" t="n">
        <v>44858</v>
      </c>
      <c r="C1246" s="1" t="n">
        <v>46012</v>
      </c>
      <c r="D1246" t="inlineStr">
        <is>
          <t>VÄRMLANDS LÄN</t>
        </is>
      </c>
      <c r="E1246" t="inlineStr">
        <is>
          <t>ARVIKA</t>
        </is>
      </c>
      <c r="G1246" t="n">
        <v>2</v>
      </c>
      <c r="H1246" t="n">
        <v>0</v>
      </c>
      <c r="I1246" t="n">
        <v>0</v>
      </c>
      <c r="J1246" t="n">
        <v>0</v>
      </c>
      <c r="K1246" t="n">
        <v>0</v>
      </c>
      <c r="L1246" t="n">
        <v>0</v>
      </c>
      <c r="M1246" t="n">
        <v>0</v>
      </c>
      <c r="N1246" t="n">
        <v>0</v>
      </c>
      <c r="O1246" t="n">
        <v>0</v>
      </c>
      <c r="P1246" t="n">
        <v>0</v>
      </c>
      <c r="Q1246" t="n">
        <v>0</v>
      </c>
      <c r="R1246" s="2" t="inlineStr"/>
    </row>
    <row r="1247" ht="15" customHeight="1">
      <c r="A1247" t="inlineStr">
        <is>
          <t>A 33598-2024</t>
        </is>
      </c>
      <c r="B1247" s="1" t="n">
        <v>45520.36878472222</v>
      </c>
      <c r="C1247" s="1" t="n">
        <v>46012</v>
      </c>
      <c r="D1247" t="inlineStr">
        <is>
          <t>VÄRMLANDS LÄN</t>
        </is>
      </c>
      <c r="E1247" t="inlineStr">
        <is>
          <t>ARVIKA</t>
        </is>
      </c>
      <c r="F1247" t="inlineStr">
        <is>
          <t>Bergvik skog väst AB</t>
        </is>
      </c>
      <c r="G1247" t="n">
        <v>1.5</v>
      </c>
      <c r="H1247" t="n">
        <v>0</v>
      </c>
      <c r="I1247" t="n">
        <v>0</v>
      </c>
      <c r="J1247" t="n">
        <v>0</v>
      </c>
      <c r="K1247" t="n">
        <v>0</v>
      </c>
      <c r="L1247" t="n">
        <v>0</v>
      </c>
      <c r="M1247" t="n">
        <v>0</v>
      </c>
      <c r="N1247" t="n">
        <v>0</v>
      </c>
      <c r="O1247" t="n">
        <v>0</v>
      </c>
      <c r="P1247" t="n">
        <v>0</v>
      </c>
      <c r="Q1247" t="n">
        <v>0</v>
      </c>
      <c r="R1247" s="2" t="inlineStr"/>
    </row>
    <row r="1248" ht="15" customHeight="1">
      <c r="A1248" t="inlineStr">
        <is>
          <t>A 25520-2024</t>
        </is>
      </c>
      <c r="B1248" s="1" t="n">
        <v>45463</v>
      </c>
      <c r="C1248" s="1" t="n">
        <v>46012</v>
      </c>
      <c r="D1248" t="inlineStr">
        <is>
          <t>VÄRMLANDS LÄN</t>
        </is>
      </c>
      <c r="E1248" t="inlineStr">
        <is>
          <t>ARVIKA</t>
        </is>
      </c>
      <c r="G1248" t="n">
        <v>1.4</v>
      </c>
      <c r="H1248" t="n">
        <v>0</v>
      </c>
      <c r="I1248" t="n">
        <v>0</v>
      </c>
      <c r="J1248" t="n">
        <v>0</v>
      </c>
      <c r="K1248" t="n">
        <v>0</v>
      </c>
      <c r="L1248" t="n">
        <v>0</v>
      </c>
      <c r="M1248" t="n">
        <v>0</v>
      </c>
      <c r="N1248" t="n">
        <v>0</v>
      </c>
      <c r="O1248" t="n">
        <v>0</v>
      </c>
      <c r="P1248" t="n">
        <v>0</v>
      </c>
      <c r="Q1248" t="n">
        <v>0</v>
      </c>
      <c r="R1248" s="2" t="inlineStr"/>
    </row>
    <row r="1249" ht="15" customHeight="1">
      <c r="A1249" t="inlineStr">
        <is>
          <t>A 50953-2024</t>
        </is>
      </c>
      <c r="B1249" s="1" t="n">
        <v>45603</v>
      </c>
      <c r="C1249" s="1" t="n">
        <v>46012</v>
      </c>
      <c r="D1249" t="inlineStr">
        <is>
          <t>VÄRMLANDS LÄN</t>
        </is>
      </c>
      <c r="E1249" t="inlineStr">
        <is>
          <t>ARVIKA</t>
        </is>
      </c>
      <c r="G1249" t="n">
        <v>2.6</v>
      </c>
      <c r="H1249" t="n">
        <v>0</v>
      </c>
      <c r="I1249" t="n">
        <v>0</v>
      </c>
      <c r="J1249" t="n">
        <v>0</v>
      </c>
      <c r="K1249" t="n">
        <v>0</v>
      </c>
      <c r="L1249" t="n">
        <v>0</v>
      </c>
      <c r="M1249" t="n">
        <v>0</v>
      </c>
      <c r="N1249" t="n">
        <v>0</v>
      </c>
      <c r="O1249" t="n">
        <v>0</v>
      </c>
      <c r="P1249" t="n">
        <v>0</v>
      </c>
      <c r="Q1249" t="n">
        <v>0</v>
      </c>
      <c r="R1249" s="2" t="inlineStr"/>
    </row>
    <row r="1250" ht="15" customHeight="1">
      <c r="A1250" t="inlineStr">
        <is>
          <t>A 59341-2022</t>
        </is>
      </c>
      <c r="B1250" s="1" t="n">
        <v>44904.66460648148</v>
      </c>
      <c r="C1250" s="1" t="n">
        <v>46012</v>
      </c>
      <c r="D1250" t="inlineStr">
        <is>
          <t>VÄRMLANDS LÄN</t>
        </is>
      </c>
      <c r="E1250" t="inlineStr">
        <is>
          <t>ARVIKA</t>
        </is>
      </c>
      <c r="G1250" t="n">
        <v>1.3</v>
      </c>
      <c r="H1250" t="n">
        <v>0</v>
      </c>
      <c r="I1250" t="n">
        <v>0</v>
      </c>
      <c r="J1250" t="n">
        <v>0</v>
      </c>
      <c r="K1250" t="n">
        <v>0</v>
      </c>
      <c r="L1250" t="n">
        <v>0</v>
      </c>
      <c r="M1250" t="n">
        <v>0</v>
      </c>
      <c r="N1250" t="n">
        <v>0</v>
      </c>
      <c r="O1250" t="n">
        <v>0</v>
      </c>
      <c r="P1250" t="n">
        <v>0</v>
      </c>
      <c r="Q1250" t="n">
        <v>0</v>
      </c>
      <c r="R1250" s="2" t="inlineStr"/>
    </row>
    <row r="1251" ht="15" customHeight="1">
      <c r="A1251" t="inlineStr">
        <is>
          <t>A 2186-2025</t>
        </is>
      </c>
      <c r="B1251" s="1" t="n">
        <v>45673.36144675926</v>
      </c>
      <c r="C1251" s="1" t="n">
        <v>46012</v>
      </c>
      <c r="D1251" t="inlineStr">
        <is>
          <t>VÄRMLANDS LÄN</t>
        </is>
      </c>
      <c r="E1251" t="inlineStr">
        <is>
          <t>ARVIKA</t>
        </is>
      </c>
      <c r="G1251" t="n">
        <v>2.3</v>
      </c>
      <c r="H1251" t="n">
        <v>0</v>
      </c>
      <c r="I1251" t="n">
        <v>0</v>
      </c>
      <c r="J1251" t="n">
        <v>0</v>
      </c>
      <c r="K1251" t="n">
        <v>0</v>
      </c>
      <c r="L1251" t="n">
        <v>0</v>
      </c>
      <c r="M1251" t="n">
        <v>0</v>
      </c>
      <c r="N1251" t="n">
        <v>0</v>
      </c>
      <c r="O1251" t="n">
        <v>0</v>
      </c>
      <c r="P1251" t="n">
        <v>0</v>
      </c>
      <c r="Q1251" t="n">
        <v>0</v>
      </c>
      <c r="R1251" s="2" t="inlineStr"/>
    </row>
    <row r="1252" ht="15" customHeight="1">
      <c r="A1252" t="inlineStr">
        <is>
          <t>A 2189-2025</t>
        </is>
      </c>
      <c r="B1252" s="1" t="n">
        <v>45672</v>
      </c>
      <c r="C1252" s="1" t="n">
        <v>46012</v>
      </c>
      <c r="D1252" t="inlineStr">
        <is>
          <t>VÄRMLANDS LÄN</t>
        </is>
      </c>
      <c r="E1252" t="inlineStr">
        <is>
          <t>ARVIKA</t>
        </is>
      </c>
      <c r="G1252" t="n">
        <v>16.2</v>
      </c>
      <c r="H1252" t="n">
        <v>0</v>
      </c>
      <c r="I1252" t="n">
        <v>0</v>
      </c>
      <c r="J1252" t="n">
        <v>0</v>
      </c>
      <c r="K1252" t="n">
        <v>0</v>
      </c>
      <c r="L1252" t="n">
        <v>0</v>
      </c>
      <c r="M1252" t="n">
        <v>0</v>
      </c>
      <c r="N1252" t="n">
        <v>0</v>
      </c>
      <c r="O1252" t="n">
        <v>0</v>
      </c>
      <c r="P1252" t="n">
        <v>0</v>
      </c>
      <c r="Q1252" t="n">
        <v>0</v>
      </c>
      <c r="R1252" s="2" t="inlineStr"/>
    </row>
    <row r="1253" ht="15" customHeight="1">
      <c r="A1253" t="inlineStr">
        <is>
          <t>A 62074-2022</t>
        </is>
      </c>
      <c r="B1253" s="1" t="n">
        <v>44918.70763888889</v>
      </c>
      <c r="C1253" s="1" t="n">
        <v>46012</v>
      </c>
      <c r="D1253" t="inlineStr">
        <is>
          <t>VÄRMLANDS LÄN</t>
        </is>
      </c>
      <c r="E1253" t="inlineStr">
        <is>
          <t>ARVIKA</t>
        </is>
      </c>
      <c r="G1253" t="n">
        <v>3.5</v>
      </c>
      <c r="H1253" t="n">
        <v>0</v>
      </c>
      <c r="I1253" t="n">
        <v>0</v>
      </c>
      <c r="J1253" t="n">
        <v>0</v>
      </c>
      <c r="K1253" t="n">
        <v>0</v>
      </c>
      <c r="L1253" t="n">
        <v>0</v>
      </c>
      <c r="M1253" t="n">
        <v>0</v>
      </c>
      <c r="N1253" t="n">
        <v>0</v>
      </c>
      <c r="O1253" t="n">
        <v>0</v>
      </c>
      <c r="P1253" t="n">
        <v>0</v>
      </c>
      <c r="Q1253" t="n">
        <v>0</v>
      </c>
      <c r="R1253" s="2" t="inlineStr"/>
    </row>
    <row r="1254" ht="15" customHeight="1">
      <c r="A1254" t="inlineStr">
        <is>
          <t>A 34446-2023</t>
        </is>
      </c>
      <c r="B1254" s="1" t="n">
        <v>45135</v>
      </c>
      <c r="C1254" s="1" t="n">
        <v>46012</v>
      </c>
      <c r="D1254" t="inlineStr">
        <is>
          <t>VÄRMLANDS LÄN</t>
        </is>
      </c>
      <c r="E1254" t="inlineStr">
        <is>
          <t>ARVIKA</t>
        </is>
      </c>
      <c r="G1254" t="n">
        <v>1.1</v>
      </c>
      <c r="H1254" t="n">
        <v>0</v>
      </c>
      <c r="I1254" t="n">
        <v>0</v>
      </c>
      <c r="J1254" t="n">
        <v>0</v>
      </c>
      <c r="K1254" t="n">
        <v>0</v>
      </c>
      <c r="L1254" t="n">
        <v>0</v>
      </c>
      <c r="M1254" t="n">
        <v>0</v>
      </c>
      <c r="N1254" t="n">
        <v>0</v>
      </c>
      <c r="O1254" t="n">
        <v>0</v>
      </c>
      <c r="P1254" t="n">
        <v>0</v>
      </c>
      <c r="Q1254" t="n">
        <v>0</v>
      </c>
      <c r="R1254" s="2" t="inlineStr"/>
    </row>
    <row r="1255" ht="15" customHeight="1">
      <c r="A1255" t="inlineStr">
        <is>
          <t>A 6255-2023</t>
        </is>
      </c>
      <c r="B1255" s="1" t="n">
        <v>44965.34155092593</v>
      </c>
      <c r="C1255" s="1" t="n">
        <v>46012</v>
      </c>
      <c r="D1255" t="inlineStr">
        <is>
          <t>VÄRMLANDS LÄN</t>
        </is>
      </c>
      <c r="E1255" t="inlineStr">
        <is>
          <t>ARVIKA</t>
        </is>
      </c>
      <c r="G1255" t="n">
        <v>1.3</v>
      </c>
      <c r="H1255" t="n">
        <v>0</v>
      </c>
      <c r="I1255" t="n">
        <v>0</v>
      </c>
      <c r="J1255" t="n">
        <v>0</v>
      </c>
      <c r="K1255" t="n">
        <v>0</v>
      </c>
      <c r="L1255" t="n">
        <v>0</v>
      </c>
      <c r="M1255" t="n">
        <v>0</v>
      </c>
      <c r="N1255" t="n">
        <v>0</v>
      </c>
      <c r="O1255" t="n">
        <v>0</v>
      </c>
      <c r="P1255" t="n">
        <v>0</v>
      </c>
      <c r="Q1255" t="n">
        <v>0</v>
      </c>
      <c r="R1255" s="2" t="inlineStr"/>
    </row>
    <row r="1256" ht="15" customHeight="1">
      <c r="A1256" t="inlineStr">
        <is>
          <t>A 4948-2024</t>
        </is>
      </c>
      <c r="B1256" s="1" t="n">
        <v>45329.56855324074</v>
      </c>
      <c r="C1256" s="1" t="n">
        <v>46012</v>
      </c>
      <c r="D1256" t="inlineStr">
        <is>
          <t>VÄRMLANDS LÄN</t>
        </is>
      </c>
      <c r="E1256" t="inlineStr">
        <is>
          <t>ARVIKA</t>
        </is>
      </c>
      <c r="G1256" t="n">
        <v>1</v>
      </c>
      <c r="H1256" t="n">
        <v>0</v>
      </c>
      <c r="I1256" t="n">
        <v>0</v>
      </c>
      <c r="J1256" t="n">
        <v>0</v>
      </c>
      <c r="K1256" t="n">
        <v>0</v>
      </c>
      <c r="L1256" t="n">
        <v>0</v>
      </c>
      <c r="M1256" t="n">
        <v>0</v>
      </c>
      <c r="N1256" t="n">
        <v>0</v>
      </c>
      <c r="O1256" t="n">
        <v>0</v>
      </c>
      <c r="P1256" t="n">
        <v>0</v>
      </c>
      <c r="Q1256" t="n">
        <v>0</v>
      </c>
      <c r="R1256" s="2" t="inlineStr"/>
    </row>
    <row r="1257" ht="15" customHeight="1">
      <c r="A1257" t="inlineStr">
        <is>
          <t>A 61544-2023</t>
        </is>
      </c>
      <c r="B1257" s="1" t="n">
        <v>45265</v>
      </c>
      <c r="C1257" s="1" t="n">
        <v>46012</v>
      </c>
      <c r="D1257" t="inlineStr">
        <is>
          <t>VÄRMLANDS LÄN</t>
        </is>
      </c>
      <c r="E1257" t="inlineStr">
        <is>
          <t>ARVIKA</t>
        </is>
      </c>
      <c r="G1257" t="n">
        <v>2.7</v>
      </c>
      <c r="H1257" t="n">
        <v>0</v>
      </c>
      <c r="I1257" t="n">
        <v>0</v>
      </c>
      <c r="J1257" t="n">
        <v>0</v>
      </c>
      <c r="K1257" t="n">
        <v>0</v>
      </c>
      <c r="L1257" t="n">
        <v>0</v>
      </c>
      <c r="M1257" t="n">
        <v>0</v>
      </c>
      <c r="N1257" t="n">
        <v>0</v>
      </c>
      <c r="O1257" t="n">
        <v>0</v>
      </c>
      <c r="P1257" t="n">
        <v>0</v>
      </c>
      <c r="Q1257" t="n">
        <v>0</v>
      </c>
      <c r="R1257" s="2" t="inlineStr"/>
    </row>
    <row r="1258" ht="15" customHeight="1">
      <c r="A1258" t="inlineStr">
        <is>
          <t>A 41203-2024</t>
        </is>
      </c>
      <c r="B1258" s="1" t="n">
        <v>45559.52240740741</v>
      </c>
      <c r="C1258" s="1" t="n">
        <v>46012</v>
      </c>
      <c r="D1258" t="inlineStr">
        <is>
          <t>VÄRMLANDS LÄN</t>
        </is>
      </c>
      <c r="E1258" t="inlineStr">
        <is>
          <t>ARVIKA</t>
        </is>
      </c>
      <c r="F1258" t="inlineStr">
        <is>
          <t>Kommuner</t>
        </is>
      </c>
      <c r="G1258" t="n">
        <v>1.8</v>
      </c>
      <c r="H1258" t="n">
        <v>0</v>
      </c>
      <c r="I1258" t="n">
        <v>0</v>
      </c>
      <c r="J1258" t="n">
        <v>0</v>
      </c>
      <c r="K1258" t="n">
        <v>0</v>
      </c>
      <c r="L1258" t="n">
        <v>0</v>
      </c>
      <c r="M1258" t="n">
        <v>0</v>
      </c>
      <c r="N1258" t="n">
        <v>0</v>
      </c>
      <c r="O1258" t="n">
        <v>0</v>
      </c>
      <c r="P1258" t="n">
        <v>0</v>
      </c>
      <c r="Q1258" t="n">
        <v>0</v>
      </c>
      <c r="R1258" s="2" t="inlineStr"/>
    </row>
    <row r="1259" ht="15" customHeight="1">
      <c r="A1259" t="inlineStr">
        <is>
          <t>A 53398-2022</t>
        </is>
      </c>
      <c r="B1259" s="1" t="n">
        <v>44874</v>
      </c>
      <c r="C1259" s="1" t="n">
        <v>46012</v>
      </c>
      <c r="D1259" t="inlineStr">
        <is>
          <t>VÄRMLANDS LÄN</t>
        </is>
      </c>
      <c r="E1259" t="inlineStr">
        <is>
          <t>ARVIKA</t>
        </is>
      </c>
      <c r="G1259" t="n">
        <v>1.5</v>
      </c>
      <c r="H1259" t="n">
        <v>0</v>
      </c>
      <c r="I1259" t="n">
        <v>0</v>
      </c>
      <c r="J1259" t="n">
        <v>0</v>
      </c>
      <c r="K1259" t="n">
        <v>0</v>
      </c>
      <c r="L1259" t="n">
        <v>0</v>
      </c>
      <c r="M1259" t="n">
        <v>0</v>
      </c>
      <c r="N1259" t="n">
        <v>0</v>
      </c>
      <c r="O1259" t="n">
        <v>0</v>
      </c>
      <c r="P1259" t="n">
        <v>0</v>
      </c>
      <c r="Q1259" t="n">
        <v>0</v>
      </c>
      <c r="R1259" s="2" t="inlineStr"/>
    </row>
    <row r="1260" ht="15" customHeight="1">
      <c r="A1260" t="inlineStr">
        <is>
          <t>A 6474-2021</t>
        </is>
      </c>
      <c r="B1260" s="1" t="n">
        <v>44235</v>
      </c>
      <c r="C1260" s="1" t="n">
        <v>46012</v>
      </c>
      <c r="D1260" t="inlineStr">
        <is>
          <t>VÄRMLANDS LÄN</t>
        </is>
      </c>
      <c r="E1260" t="inlineStr">
        <is>
          <t>ARVIKA</t>
        </is>
      </c>
      <c r="G1260" t="n">
        <v>2.2</v>
      </c>
      <c r="H1260" t="n">
        <v>0</v>
      </c>
      <c r="I1260" t="n">
        <v>0</v>
      </c>
      <c r="J1260" t="n">
        <v>0</v>
      </c>
      <c r="K1260" t="n">
        <v>0</v>
      </c>
      <c r="L1260" t="n">
        <v>0</v>
      </c>
      <c r="M1260" t="n">
        <v>0</v>
      </c>
      <c r="N1260" t="n">
        <v>0</v>
      </c>
      <c r="O1260" t="n">
        <v>0</v>
      </c>
      <c r="P1260" t="n">
        <v>0</v>
      </c>
      <c r="Q1260" t="n">
        <v>0</v>
      </c>
      <c r="R1260" s="2" t="inlineStr"/>
    </row>
    <row r="1261" ht="15" customHeight="1">
      <c r="A1261" t="inlineStr">
        <is>
          <t>A 11178-2022</t>
        </is>
      </c>
      <c r="B1261" s="1" t="n">
        <v>44629</v>
      </c>
      <c r="C1261" s="1" t="n">
        <v>46012</v>
      </c>
      <c r="D1261" t="inlineStr">
        <is>
          <t>VÄRMLANDS LÄN</t>
        </is>
      </c>
      <c r="E1261" t="inlineStr">
        <is>
          <t>ARVIKA</t>
        </is>
      </c>
      <c r="G1261" t="n">
        <v>2.2</v>
      </c>
      <c r="H1261" t="n">
        <v>0</v>
      </c>
      <c r="I1261" t="n">
        <v>0</v>
      </c>
      <c r="J1261" t="n">
        <v>0</v>
      </c>
      <c r="K1261" t="n">
        <v>0</v>
      </c>
      <c r="L1261" t="n">
        <v>0</v>
      </c>
      <c r="M1261" t="n">
        <v>0</v>
      </c>
      <c r="N1261" t="n">
        <v>0</v>
      </c>
      <c r="O1261" t="n">
        <v>0</v>
      </c>
      <c r="P1261" t="n">
        <v>0</v>
      </c>
      <c r="Q1261" t="n">
        <v>0</v>
      </c>
      <c r="R1261" s="2" t="inlineStr"/>
    </row>
    <row r="1262" ht="15" customHeight="1">
      <c r="A1262" t="inlineStr">
        <is>
          <t>A 29619-2022</t>
        </is>
      </c>
      <c r="B1262" s="1" t="n">
        <v>44754.56717592593</v>
      </c>
      <c r="C1262" s="1" t="n">
        <v>46012</v>
      </c>
      <c r="D1262" t="inlineStr">
        <is>
          <t>VÄRMLANDS LÄN</t>
        </is>
      </c>
      <c r="E1262" t="inlineStr">
        <is>
          <t>ARVIKA</t>
        </is>
      </c>
      <c r="F1262" t="inlineStr">
        <is>
          <t>Bergvik skog väst AB</t>
        </is>
      </c>
      <c r="G1262" t="n">
        <v>1.9</v>
      </c>
      <c r="H1262" t="n">
        <v>0</v>
      </c>
      <c r="I1262" t="n">
        <v>0</v>
      </c>
      <c r="J1262" t="n">
        <v>0</v>
      </c>
      <c r="K1262" t="n">
        <v>0</v>
      </c>
      <c r="L1262" t="n">
        <v>0</v>
      </c>
      <c r="M1262" t="n">
        <v>0</v>
      </c>
      <c r="N1262" t="n">
        <v>0</v>
      </c>
      <c r="O1262" t="n">
        <v>0</v>
      </c>
      <c r="P1262" t="n">
        <v>0</v>
      </c>
      <c r="Q1262" t="n">
        <v>0</v>
      </c>
      <c r="R1262" s="2" t="inlineStr"/>
    </row>
    <row r="1263" ht="15" customHeight="1">
      <c r="A1263" t="inlineStr">
        <is>
          <t>A 19484-2021</t>
        </is>
      </c>
      <c r="B1263" s="1" t="n">
        <v>44312</v>
      </c>
      <c r="C1263" s="1" t="n">
        <v>46012</v>
      </c>
      <c r="D1263" t="inlineStr">
        <is>
          <t>VÄRMLANDS LÄN</t>
        </is>
      </c>
      <c r="E1263" t="inlineStr">
        <is>
          <t>ARVIKA</t>
        </is>
      </c>
      <c r="G1263" t="n">
        <v>11.3</v>
      </c>
      <c r="H1263" t="n">
        <v>0</v>
      </c>
      <c r="I1263" t="n">
        <v>0</v>
      </c>
      <c r="J1263" t="n">
        <v>0</v>
      </c>
      <c r="K1263" t="n">
        <v>0</v>
      </c>
      <c r="L1263" t="n">
        <v>0</v>
      </c>
      <c r="M1263" t="n">
        <v>0</v>
      </c>
      <c r="N1263" t="n">
        <v>0</v>
      </c>
      <c r="O1263" t="n">
        <v>0</v>
      </c>
      <c r="P1263" t="n">
        <v>0</v>
      </c>
      <c r="Q1263" t="n">
        <v>0</v>
      </c>
      <c r="R1263" s="2" t="inlineStr"/>
    </row>
    <row r="1264" ht="15" customHeight="1">
      <c r="A1264" t="inlineStr">
        <is>
          <t>A 10404-2025</t>
        </is>
      </c>
      <c r="B1264" s="1" t="n">
        <v>45720.61591435185</v>
      </c>
      <c r="C1264" s="1" t="n">
        <v>46012</v>
      </c>
      <c r="D1264" t="inlineStr">
        <is>
          <t>VÄRMLANDS LÄN</t>
        </is>
      </c>
      <c r="E1264" t="inlineStr">
        <is>
          <t>ARVIKA</t>
        </is>
      </c>
      <c r="F1264" t="inlineStr">
        <is>
          <t>Bergvik skog väst AB</t>
        </is>
      </c>
      <c r="G1264" t="n">
        <v>1.3</v>
      </c>
      <c r="H1264" t="n">
        <v>0</v>
      </c>
      <c r="I1264" t="n">
        <v>0</v>
      </c>
      <c r="J1264" t="n">
        <v>0</v>
      </c>
      <c r="K1264" t="n">
        <v>0</v>
      </c>
      <c r="L1264" t="n">
        <v>0</v>
      </c>
      <c r="M1264" t="n">
        <v>0</v>
      </c>
      <c r="N1264" t="n">
        <v>0</v>
      </c>
      <c r="O1264" t="n">
        <v>0</v>
      </c>
      <c r="P1264" t="n">
        <v>0</v>
      </c>
      <c r="Q1264" t="n">
        <v>0</v>
      </c>
      <c r="R1264" s="2" t="inlineStr"/>
    </row>
    <row r="1265" ht="15" customHeight="1">
      <c r="A1265" t="inlineStr">
        <is>
          <t>A 16104-2024</t>
        </is>
      </c>
      <c r="B1265" s="1" t="n">
        <v>45406.45436342592</v>
      </c>
      <c r="C1265" s="1" t="n">
        <v>46012</v>
      </c>
      <c r="D1265" t="inlineStr">
        <is>
          <t>VÄRMLANDS LÄN</t>
        </is>
      </c>
      <c r="E1265" t="inlineStr">
        <is>
          <t>ARVIKA</t>
        </is>
      </c>
      <c r="F1265" t="inlineStr">
        <is>
          <t>Bergvik skog väst AB</t>
        </is>
      </c>
      <c r="G1265" t="n">
        <v>1.8</v>
      </c>
      <c r="H1265" t="n">
        <v>0</v>
      </c>
      <c r="I1265" t="n">
        <v>0</v>
      </c>
      <c r="J1265" t="n">
        <v>0</v>
      </c>
      <c r="K1265" t="n">
        <v>0</v>
      </c>
      <c r="L1265" t="n">
        <v>0</v>
      </c>
      <c r="M1265" t="n">
        <v>0</v>
      </c>
      <c r="N1265" t="n">
        <v>0</v>
      </c>
      <c r="O1265" t="n">
        <v>0</v>
      </c>
      <c r="P1265" t="n">
        <v>0</v>
      </c>
      <c r="Q1265" t="n">
        <v>0</v>
      </c>
      <c r="R1265" s="2" t="inlineStr"/>
    </row>
    <row r="1266" ht="15" customHeight="1">
      <c r="A1266" t="inlineStr">
        <is>
          <t>A 18817-2025</t>
        </is>
      </c>
      <c r="B1266" s="1" t="n">
        <v>45764</v>
      </c>
      <c r="C1266" s="1" t="n">
        <v>46012</v>
      </c>
      <c r="D1266" t="inlineStr">
        <is>
          <t>VÄRMLANDS LÄN</t>
        </is>
      </c>
      <c r="E1266" t="inlineStr">
        <is>
          <t>ARVIKA</t>
        </is>
      </c>
      <c r="F1266" t="inlineStr">
        <is>
          <t>Bergvik skog väst AB</t>
        </is>
      </c>
      <c r="G1266" t="n">
        <v>1</v>
      </c>
      <c r="H1266" t="n">
        <v>0</v>
      </c>
      <c r="I1266" t="n">
        <v>0</v>
      </c>
      <c r="J1266" t="n">
        <v>0</v>
      </c>
      <c r="K1266" t="n">
        <v>0</v>
      </c>
      <c r="L1266" t="n">
        <v>0</v>
      </c>
      <c r="M1266" t="n">
        <v>0</v>
      </c>
      <c r="N1266" t="n">
        <v>0</v>
      </c>
      <c r="O1266" t="n">
        <v>0</v>
      </c>
      <c r="P1266" t="n">
        <v>0</v>
      </c>
      <c r="Q1266" t="n">
        <v>0</v>
      </c>
      <c r="R1266" s="2" t="inlineStr"/>
    </row>
    <row r="1267" ht="15" customHeight="1">
      <c r="A1267" t="inlineStr">
        <is>
          <t>A 14273-2021</t>
        </is>
      </c>
      <c r="B1267" s="1" t="n">
        <v>44278</v>
      </c>
      <c r="C1267" s="1" t="n">
        <v>46012</v>
      </c>
      <c r="D1267" t="inlineStr">
        <is>
          <t>VÄRMLANDS LÄN</t>
        </is>
      </c>
      <c r="E1267" t="inlineStr">
        <is>
          <t>ARVIKA</t>
        </is>
      </c>
      <c r="G1267" t="n">
        <v>2.3</v>
      </c>
      <c r="H1267" t="n">
        <v>0</v>
      </c>
      <c r="I1267" t="n">
        <v>0</v>
      </c>
      <c r="J1267" t="n">
        <v>0</v>
      </c>
      <c r="K1267" t="n">
        <v>0</v>
      </c>
      <c r="L1267" t="n">
        <v>0</v>
      </c>
      <c r="M1267" t="n">
        <v>0</v>
      </c>
      <c r="N1267" t="n">
        <v>0</v>
      </c>
      <c r="O1267" t="n">
        <v>0</v>
      </c>
      <c r="P1267" t="n">
        <v>0</v>
      </c>
      <c r="Q1267" t="n">
        <v>0</v>
      </c>
      <c r="R1267" s="2" t="inlineStr"/>
    </row>
    <row r="1268" ht="15" customHeight="1">
      <c r="A1268" t="inlineStr">
        <is>
          <t>A 43978-2024</t>
        </is>
      </c>
      <c r="B1268" s="1" t="n">
        <v>45572</v>
      </c>
      <c r="C1268" s="1" t="n">
        <v>46012</v>
      </c>
      <c r="D1268" t="inlineStr">
        <is>
          <t>VÄRMLANDS LÄN</t>
        </is>
      </c>
      <c r="E1268" t="inlineStr">
        <is>
          <t>ARVIKA</t>
        </is>
      </c>
      <c r="G1268" t="n">
        <v>2.2</v>
      </c>
      <c r="H1268" t="n">
        <v>0</v>
      </c>
      <c r="I1268" t="n">
        <v>0</v>
      </c>
      <c r="J1268" t="n">
        <v>0</v>
      </c>
      <c r="K1268" t="n">
        <v>0</v>
      </c>
      <c r="L1268" t="n">
        <v>0</v>
      </c>
      <c r="M1268" t="n">
        <v>0</v>
      </c>
      <c r="N1268" t="n">
        <v>0</v>
      </c>
      <c r="O1268" t="n">
        <v>0</v>
      </c>
      <c r="P1268" t="n">
        <v>0</v>
      </c>
      <c r="Q1268" t="n">
        <v>0</v>
      </c>
      <c r="R1268" s="2" t="inlineStr"/>
    </row>
    <row r="1269" ht="15" customHeight="1">
      <c r="A1269" t="inlineStr">
        <is>
          <t>A 42050-2024</t>
        </is>
      </c>
      <c r="B1269" s="1" t="n">
        <v>45561</v>
      </c>
      <c r="C1269" s="1" t="n">
        <v>46012</v>
      </c>
      <c r="D1269" t="inlineStr">
        <is>
          <t>VÄRMLANDS LÄN</t>
        </is>
      </c>
      <c r="E1269" t="inlineStr">
        <is>
          <t>ARVIKA</t>
        </is>
      </c>
      <c r="G1269" t="n">
        <v>0.8</v>
      </c>
      <c r="H1269" t="n">
        <v>0</v>
      </c>
      <c r="I1269" t="n">
        <v>0</v>
      </c>
      <c r="J1269" t="n">
        <v>0</v>
      </c>
      <c r="K1269" t="n">
        <v>0</v>
      </c>
      <c r="L1269" t="n">
        <v>0</v>
      </c>
      <c r="M1269" t="n">
        <v>0</v>
      </c>
      <c r="N1269" t="n">
        <v>0</v>
      </c>
      <c r="O1269" t="n">
        <v>0</v>
      </c>
      <c r="P1269" t="n">
        <v>0</v>
      </c>
      <c r="Q1269" t="n">
        <v>0</v>
      </c>
      <c r="R1269" s="2" t="inlineStr"/>
    </row>
    <row r="1270" ht="15" customHeight="1">
      <c r="A1270" t="inlineStr">
        <is>
          <t>A 42051-2024</t>
        </is>
      </c>
      <c r="B1270" s="1" t="n">
        <v>45561.86493055556</v>
      </c>
      <c r="C1270" s="1" t="n">
        <v>46012</v>
      </c>
      <c r="D1270" t="inlineStr">
        <is>
          <t>VÄRMLANDS LÄN</t>
        </is>
      </c>
      <c r="E1270" t="inlineStr">
        <is>
          <t>ARVIKA</t>
        </is>
      </c>
      <c r="G1270" t="n">
        <v>1.9</v>
      </c>
      <c r="H1270" t="n">
        <v>0</v>
      </c>
      <c r="I1270" t="n">
        <v>0</v>
      </c>
      <c r="J1270" t="n">
        <v>0</v>
      </c>
      <c r="K1270" t="n">
        <v>0</v>
      </c>
      <c r="L1270" t="n">
        <v>0</v>
      </c>
      <c r="M1270" t="n">
        <v>0</v>
      </c>
      <c r="N1270" t="n">
        <v>0</v>
      </c>
      <c r="O1270" t="n">
        <v>0</v>
      </c>
      <c r="P1270" t="n">
        <v>0</v>
      </c>
      <c r="Q1270" t="n">
        <v>0</v>
      </c>
      <c r="R1270" s="2" t="inlineStr"/>
    </row>
    <row r="1271" ht="15" customHeight="1">
      <c r="A1271" t="inlineStr">
        <is>
          <t>A 26703-2023</t>
        </is>
      </c>
      <c r="B1271" s="1" t="n">
        <v>45093.37353009259</v>
      </c>
      <c r="C1271" s="1" t="n">
        <v>46012</v>
      </c>
      <c r="D1271" t="inlineStr">
        <is>
          <t>VÄRMLANDS LÄN</t>
        </is>
      </c>
      <c r="E1271" t="inlineStr">
        <is>
          <t>ARVIKA</t>
        </is>
      </c>
      <c r="G1271" t="n">
        <v>1.4</v>
      </c>
      <c r="H1271" t="n">
        <v>0</v>
      </c>
      <c r="I1271" t="n">
        <v>0</v>
      </c>
      <c r="J1271" t="n">
        <v>0</v>
      </c>
      <c r="K1271" t="n">
        <v>0</v>
      </c>
      <c r="L1271" t="n">
        <v>0</v>
      </c>
      <c r="M1271" t="n">
        <v>0</v>
      </c>
      <c r="N1271" t="n">
        <v>0</v>
      </c>
      <c r="O1271" t="n">
        <v>0</v>
      </c>
      <c r="P1271" t="n">
        <v>0</v>
      </c>
      <c r="Q1271" t="n">
        <v>0</v>
      </c>
      <c r="R1271" s="2" t="inlineStr"/>
    </row>
    <row r="1272" ht="15" customHeight="1">
      <c r="A1272" t="inlineStr">
        <is>
          <t>A 26710-2023</t>
        </is>
      </c>
      <c r="B1272" s="1" t="n">
        <v>45093.37859953703</v>
      </c>
      <c r="C1272" s="1" t="n">
        <v>46012</v>
      </c>
      <c r="D1272" t="inlineStr">
        <is>
          <t>VÄRMLANDS LÄN</t>
        </is>
      </c>
      <c r="E1272" t="inlineStr">
        <is>
          <t>ARVIKA</t>
        </is>
      </c>
      <c r="G1272" t="n">
        <v>1.2</v>
      </c>
      <c r="H1272" t="n">
        <v>0</v>
      </c>
      <c r="I1272" t="n">
        <v>0</v>
      </c>
      <c r="J1272" t="n">
        <v>0</v>
      </c>
      <c r="K1272" t="n">
        <v>0</v>
      </c>
      <c r="L1272" t="n">
        <v>0</v>
      </c>
      <c r="M1272" t="n">
        <v>0</v>
      </c>
      <c r="N1272" t="n">
        <v>0</v>
      </c>
      <c r="O1272" t="n">
        <v>0</v>
      </c>
      <c r="P1272" t="n">
        <v>0</v>
      </c>
      <c r="Q1272" t="n">
        <v>0</v>
      </c>
      <c r="R1272" s="2" t="inlineStr"/>
    </row>
    <row r="1273" ht="15" customHeight="1">
      <c r="A1273" t="inlineStr">
        <is>
          <t>A 27758-2023</t>
        </is>
      </c>
      <c r="B1273" s="1" t="n">
        <v>45098.40237268519</v>
      </c>
      <c r="C1273" s="1" t="n">
        <v>46012</v>
      </c>
      <c r="D1273" t="inlineStr">
        <is>
          <t>VÄRMLANDS LÄN</t>
        </is>
      </c>
      <c r="E1273" t="inlineStr">
        <is>
          <t>ARVIKA</t>
        </is>
      </c>
      <c r="G1273" t="n">
        <v>0.5</v>
      </c>
      <c r="H1273" t="n">
        <v>0</v>
      </c>
      <c r="I1273" t="n">
        <v>0</v>
      </c>
      <c r="J1273" t="n">
        <v>0</v>
      </c>
      <c r="K1273" t="n">
        <v>0</v>
      </c>
      <c r="L1273" t="n">
        <v>0</v>
      </c>
      <c r="M1273" t="n">
        <v>0</v>
      </c>
      <c r="N1273" t="n">
        <v>0</v>
      </c>
      <c r="O1273" t="n">
        <v>0</v>
      </c>
      <c r="P1273" t="n">
        <v>0</v>
      </c>
      <c r="Q1273" t="n">
        <v>0</v>
      </c>
      <c r="R1273" s="2" t="inlineStr"/>
    </row>
    <row r="1274" ht="15" customHeight="1">
      <c r="A1274" t="inlineStr">
        <is>
          <t>A 13007-2021</t>
        </is>
      </c>
      <c r="B1274" s="1" t="n">
        <v>44271</v>
      </c>
      <c r="C1274" s="1" t="n">
        <v>46012</v>
      </c>
      <c r="D1274" t="inlineStr">
        <is>
          <t>VÄRMLANDS LÄN</t>
        </is>
      </c>
      <c r="E1274" t="inlineStr">
        <is>
          <t>ARVIKA</t>
        </is>
      </c>
      <c r="G1274" t="n">
        <v>9.1</v>
      </c>
      <c r="H1274" t="n">
        <v>0</v>
      </c>
      <c r="I1274" t="n">
        <v>0</v>
      </c>
      <c r="J1274" t="n">
        <v>0</v>
      </c>
      <c r="K1274" t="n">
        <v>0</v>
      </c>
      <c r="L1274" t="n">
        <v>0</v>
      </c>
      <c r="M1274" t="n">
        <v>0</v>
      </c>
      <c r="N1274" t="n">
        <v>0</v>
      </c>
      <c r="O1274" t="n">
        <v>0</v>
      </c>
      <c r="P1274" t="n">
        <v>0</v>
      </c>
      <c r="Q1274" t="n">
        <v>0</v>
      </c>
      <c r="R1274" s="2" t="inlineStr"/>
    </row>
    <row r="1275" ht="15" customHeight="1">
      <c r="A1275" t="inlineStr">
        <is>
          <t>A 22951-2022</t>
        </is>
      </c>
      <c r="B1275" s="1" t="n">
        <v>44715.93731481482</v>
      </c>
      <c r="C1275" s="1" t="n">
        <v>46012</v>
      </c>
      <c r="D1275" t="inlineStr">
        <is>
          <t>VÄRMLANDS LÄN</t>
        </is>
      </c>
      <c r="E1275" t="inlineStr">
        <is>
          <t>ARVIKA</t>
        </is>
      </c>
      <c r="G1275" t="n">
        <v>9.1</v>
      </c>
      <c r="H1275" t="n">
        <v>0</v>
      </c>
      <c r="I1275" t="n">
        <v>0</v>
      </c>
      <c r="J1275" t="n">
        <v>0</v>
      </c>
      <c r="K1275" t="n">
        <v>0</v>
      </c>
      <c r="L1275" t="n">
        <v>0</v>
      </c>
      <c r="M1275" t="n">
        <v>0</v>
      </c>
      <c r="N1275" t="n">
        <v>0</v>
      </c>
      <c r="O1275" t="n">
        <v>0</v>
      </c>
      <c r="P1275" t="n">
        <v>0</v>
      </c>
      <c r="Q1275" t="n">
        <v>0</v>
      </c>
      <c r="R1275" s="2" t="inlineStr"/>
    </row>
    <row r="1276" ht="15" customHeight="1">
      <c r="A1276" t="inlineStr">
        <is>
          <t>A 47945-2024</t>
        </is>
      </c>
      <c r="B1276" s="1" t="n">
        <v>45589.35581018519</v>
      </c>
      <c r="C1276" s="1" t="n">
        <v>46012</v>
      </c>
      <c r="D1276" t="inlineStr">
        <is>
          <t>VÄRMLANDS LÄN</t>
        </is>
      </c>
      <c r="E1276" t="inlineStr">
        <is>
          <t>ARVIKA</t>
        </is>
      </c>
      <c r="G1276" t="n">
        <v>1.2</v>
      </c>
      <c r="H1276" t="n">
        <v>0</v>
      </c>
      <c r="I1276" t="n">
        <v>0</v>
      </c>
      <c r="J1276" t="n">
        <v>0</v>
      </c>
      <c r="K1276" t="n">
        <v>0</v>
      </c>
      <c r="L1276" t="n">
        <v>0</v>
      </c>
      <c r="M1276" t="n">
        <v>0</v>
      </c>
      <c r="N1276" t="n">
        <v>0</v>
      </c>
      <c r="O1276" t="n">
        <v>0</v>
      </c>
      <c r="P1276" t="n">
        <v>0</v>
      </c>
      <c r="Q1276" t="n">
        <v>0</v>
      </c>
      <c r="R1276" s="2" t="inlineStr"/>
    </row>
    <row r="1277" ht="15" customHeight="1">
      <c r="A1277" t="inlineStr">
        <is>
          <t>A 17484-2023</t>
        </is>
      </c>
      <c r="B1277" s="1" t="n">
        <v>45036.37512731482</v>
      </c>
      <c r="C1277" s="1" t="n">
        <v>46012</v>
      </c>
      <c r="D1277" t="inlineStr">
        <is>
          <t>VÄRMLANDS LÄN</t>
        </is>
      </c>
      <c r="E1277" t="inlineStr">
        <is>
          <t>ARVIKA</t>
        </is>
      </c>
      <c r="G1277" t="n">
        <v>5.9</v>
      </c>
      <c r="H1277" t="n">
        <v>0</v>
      </c>
      <c r="I1277" t="n">
        <v>0</v>
      </c>
      <c r="J1277" t="n">
        <v>0</v>
      </c>
      <c r="K1277" t="n">
        <v>0</v>
      </c>
      <c r="L1277" t="n">
        <v>0</v>
      </c>
      <c r="M1277" t="n">
        <v>0</v>
      </c>
      <c r="N1277" t="n">
        <v>0</v>
      </c>
      <c r="O1277" t="n">
        <v>0</v>
      </c>
      <c r="P1277" t="n">
        <v>0</v>
      </c>
      <c r="Q1277" t="n">
        <v>0</v>
      </c>
      <c r="R1277" s="2" t="inlineStr"/>
    </row>
    <row r="1278" ht="15" customHeight="1">
      <c r="A1278" t="inlineStr">
        <is>
          <t>A 4090-2022</t>
        </is>
      </c>
      <c r="B1278" s="1" t="n">
        <v>44588.40508101852</v>
      </c>
      <c r="C1278" s="1" t="n">
        <v>46012</v>
      </c>
      <c r="D1278" t="inlineStr">
        <is>
          <t>VÄRMLANDS LÄN</t>
        </is>
      </c>
      <c r="E1278" t="inlineStr">
        <is>
          <t>ARVIKA</t>
        </is>
      </c>
      <c r="G1278" t="n">
        <v>3.4</v>
      </c>
      <c r="H1278" t="n">
        <v>0</v>
      </c>
      <c r="I1278" t="n">
        <v>0</v>
      </c>
      <c r="J1278" t="n">
        <v>0</v>
      </c>
      <c r="K1278" t="n">
        <v>0</v>
      </c>
      <c r="L1278" t="n">
        <v>0</v>
      </c>
      <c r="M1278" t="n">
        <v>0</v>
      </c>
      <c r="N1278" t="n">
        <v>0</v>
      </c>
      <c r="O1278" t="n">
        <v>0</v>
      </c>
      <c r="P1278" t="n">
        <v>0</v>
      </c>
      <c r="Q1278" t="n">
        <v>0</v>
      </c>
      <c r="R1278" s="2" t="inlineStr"/>
    </row>
    <row r="1279" ht="15" customHeight="1">
      <c r="A1279" t="inlineStr">
        <is>
          <t>A 16674-2023</t>
        </is>
      </c>
      <c r="B1279" s="1" t="n">
        <v>45030.57305555556</v>
      </c>
      <c r="C1279" s="1" t="n">
        <v>46012</v>
      </c>
      <c r="D1279" t="inlineStr">
        <is>
          <t>VÄRMLANDS LÄN</t>
        </is>
      </c>
      <c r="E1279" t="inlineStr">
        <is>
          <t>ARVIKA</t>
        </is>
      </c>
      <c r="F1279" t="inlineStr">
        <is>
          <t>Bergvik skog väst AB</t>
        </is>
      </c>
      <c r="G1279" t="n">
        <v>0.6</v>
      </c>
      <c r="H1279" t="n">
        <v>0</v>
      </c>
      <c r="I1279" t="n">
        <v>0</v>
      </c>
      <c r="J1279" t="n">
        <v>0</v>
      </c>
      <c r="K1279" t="n">
        <v>0</v>
      </c>
      <c r="L1279" t="n">
        <v>0</v>
      </c>
      <c r="M1279" t="n">
        <v>0</v>
      </c>
      <c r="N1279" t="n">
        <v>0</v>
      </c>
      <c r="O1279" t="n">
        <v>0</v>
      </c>
      <c r="P1279" t="n">
        <v>0</v>
      </c>
      <c r="Q1279" t="n">
        <v>0</v>
      </c>
      <c r="R1279" s="2" t="inlineStr"/>
    </row>
    <row r="1280" ht="15" customHeight="1">
      <c r="A1280" t="inlineStr">
        <is>
          <t>A 45756-2024</t>
        </is>
      </c>
      <c r="B1280" s="1" t="n">
        <v>45579</v>
      </c>
      <c r="C1280" s="1" t="n">
        <v>46012</v>
      </c>
      <c r="D1280" t="inlineStr">
        <is>
          <t>VÄRMLANDS LÄN</t>
        </is>
      </c>
      <c r="E1280" t="inlineStr">
        <is>
          <t>ARVIKA</t>
        </is>
      </c>
      <c r="G1280" t="n">
        <v>0.6</v>
      </c>
      <c r="H1280" t="n">
        <v>0</v>
      </c>
      <c r="I1280" t="n">
        <v>0</v>
      </c>
      <c r="J1280" t="n">
        <v>0</v>
      </c>
      <c r="K1280" t="n">
        <v>0</v>
      </c>
      <c r="L1280" t="n">
        <v>0</v>
      </c>
      <c r="M1280" t="n">
        <v>0</v>
      </c>
      <c r="N1280" t="n">
        <v>0</v>
      </c>
      <c r="O1280" t="n">
        <v>0</v>
      </c>
      <c r="P1280" t="n">
        <v>0</v>
      </c>
      <c r="Q1280" t="n">
        <v>0</v>
      </c>
      <c r="R1280" s="2" t="inlineStr"/>
    </row>
    <row r="1281" ht="15" customHeight="1">
      <c r="A1281" t="inlineStr">
        <is>
          <t>A 47540-2024</t>
        </is>
      </c>
      <c r="B1281" s="1" t="n">
        <v>45587</v>
      </c>
      <c r="C1281" s="1" t="n">
        <v>46012</v>
      </c>
      <c r="D1281" t="inlineStr">
        <is>
          <t>VÄRMLANDS LÄN</t>
        </is>
      </c>
      <c r="E1281" t="inlineStr">
        <is>
          <t>ARVIKA</t>
        </is>
      </c>
      <c r="F1281" t="inlineStr">
        <is>
          <t>Bergvik skog väst AB</t>
        </is>
      </c>
      <c r="G1281" t="n">
        <v>3.9</v>
      </c>
      <c r="H1281" t="n">
        <v>0</v>
      </c>
      <c r="I1281" t="n">
        <v>0</v>
      </c>
      <c r="J1281" t="n">
        <v>0</v>
      </c>
      <c r="K1281" t="n">
        <v>0</v>
      </c>
      <c r="L1281" t="n">
        <v>0</v>
      </c>
      <c r="M1281" t="n">
        <v>0</v>
      </c>
      <c r="N1281" t="n">
        <v>0</v>
      </c>
      <c r="O1281" t="n">
        <v>0</v>
      </c>
      <c r="P1281" t="n">
        <v>0</v>
      </c>
      <c r="Q1281" t="n">
        <v>0</v>
      </c>
      <c r="R1281" s="2" t="inlineStr"/>
    </row>
    <row r="1282" ht="15" customHeight="1">
      <c r="A1282" t="inlineStr">
        <is>
          <t>A 29578-2022</t>
        </is>
      </c>
      <c r="B1282" s="1" t="n">
        <v>44754</v>
      </c>
      <c r="C1282" s="1" t="n">
        <v>46012</v>
      </c>
      <c r="D1282" t="inlineStr">
        <is>
          <t>VÄRMLANDS LÄN</t>
        </is>
      </c>
      <c r="E1282" t="inlineStr">
        <is>
          <t>ARVIKA</t>
        </is>
      </c>
      <c r="G1282" t="n">
        <v>3</v>
      </c>
      <c r="H1282" t="n">
        <v>0</v>
      </c>
      <c r="I1282" t="n">
        <v>0</v>
      </c>
      <c r="J1282" t="n">
        <v>0</v>
      </c>
      <c r="K1282" t="n">
        <v>0</v>
      </c>
      <c r="L1282" t="n">
        <v>0</v>
      </c>
      <c r="M1282" t="n">
        <v>0</v>
      </c>
      <c r="N1282" t="n">
        <v>0</v>
      </c>
      <c r="O1282" t="n">
        <v>0</v>
      </c>
      <c r="P1282" t="n">
        <v>0</v>
      </c>
      <c r="Q1282" t="n">
        <v>0</v>
      </c>
      <c r="R1282" s="2" t="inlineStr"/>
    </row>
    <row r="1283" ht="15" customHeight="1">
      <c r="A1283" t="inlineStr">
        <is>
          <t>A 48995-2021</t>
        </is>
      </c>
      <c r="B1283" s="1" t="n">
        <v>44453.44313657407</v>
      </c>
      <c r="C1283" s="1" t="n">
        <v>46012</v>
      </c>
      <c r="D1283" t="inlineStr">
        <is>
          <t>VÄRMLANDS LÄN</t>
        </is>
      </c>
      <c r="E1283" t="inlineStr">
        <is>
          <t>ARVIKA</t>
        </is>
      </c>
      <c r="G1283" t="n">
        <v>2.5</v>
      </c>
      <c r="H1283" t="n">
        <v>0</v>
      </c>
      <c r="I1283" t="n">
        <v>0</v>
      </c>
      <c r="J1283" t="n">
        <v>0</v>
      </c>
      <c r="K1283" t="n">
        <v>0</v>
      </c>
      <c r="L1283" t="n">
        <v>0</v>
      </c>
      <c r="M1283" t="n">
        <v>0</v>
      </c>
      <c r="N1283" t="n">
        <v>0</v>
      </c>
      <c r="O1283" t="n">
        <v>0</v>
      </c>
      <c r="P1283" t="n">
        <v>0</v>
      </c>
      <c r="Q1283" t="n">
        <v>0</v>
      </c>
      <c r="R1283" s="2" t="inlineStr"/>
    </row>
    <row r="1284" ht="15" customHeight="1">
      <c r="A1284" t="inlineStr">
        <is>
          <t>A 61555-2022</t>
        </is>
      </c>
      <c r="B1284" s="1" t="n">
        <v>44916.58346064815</v>
      </c>
      <c r="C1284" s="1" t="n">
        <v>46012</v>
      </c>
      <c r="D1284" t="inlineStr">
        <is>
          <t>VÄRMLANDS LÄN</t>
        </is>
      </c>
      <c r="E1284" t="inlineStr">
        <is>
          <t>ARVIKA</t>
        </is>
      </c>
      <c r="G1284" t="n">
        <v>1.6</v>
      </c>
      <c r="H1284" t="n">
        <v>0</v>
      </c>
      <c r="I1284" t="n">
        <v>0</v>
      </c>
      <c r="J1284" t="n">
        <v>0</v>
      </c>
      <c r="K1284" t="n">
        <v>0</v>
      </c>
      <c r="L1284" t="n">
        <v>0</v>
      </c>
      <c r="M1284" t="n">
        <v>0</v>
      </c>
      <c r="N1284" t="n">
        <v>0</v>
      </c>
      <c r="O1284" t="n">
        <v>0</v>
      </c>
      <c r="P1284" t="n">
        <v>0</v>
      </c>
      <c r="Q1284" t="n">
        <v>0</v>
      </c>
      <c r="R1284" s="2" t="inlineStr"/>
    </row>
    <row r="1285" ht="15" customHeight="1">
      <c r="A1285" t="inlineStr">
        <is>
          <t>A 50291-2024</t>
        </is>
      </c>
      <c r="B1285" s="1" t="n">
        <v>45600.62076388889</v>
      </c>
      <c r="C1285" s="1" t="n">
        <v>46012</v>
      </c>
      <c r="D1285" t="inlineStr">
        <is>
          <t>VÄRMLANDS LÄN</t>
        </is>
      </c>
      <c r="E1285" t="inlineStr">
        <is>
          <t>ARVIKA</t>
        </is>
      </c>
      <c r="G1285" t="n">
        <v>2</v>
      </c>
      <c r="H1285" t="n">
        <v>0</v>
      </c>
      <c r="I1285" t="n">
        <v>0</v>
      </c>
      <c r="J1285" t="n">
        <v>0</v>
      </c>
      <c r="K1285" t="n">
        <v>0</v>
      </c>
      <c r="L1285" t="n">
        <v>0</v>
      </c>
      <c r="M1285" t="n">
        <v>0</v>
      </c>
      <c r="N1285" t="n">
        <v>0</v>
      </c>
      <c r="O1285" t="n">
        <v>0</v>
      </c>
      <c r="P1285" t="n">
        <v>0</v>
      </c>
      <c r="Q1285" t="n">
        <v>0</v>
      </c>
      <c r="R1285" s="2" t="inlineStr"/>
    </row>
    <row r="1286" ht="15" customHeight="1">
      <c r="A1286" t="inlineStr">
        <is>
          <t>A 42299-2023</t>
        </is>
      </c>
      <c r="B1286" s="1" t="n">
        <v>45180.44866898148</v>
      </c>
      <c r="C1286" s="1" t="n">
        <v>46012</v>
      </c>
      <c r="D1286" t="inlineStr">
        <is>
          <t>VÄRMLANDS LÄN</t>
        </is>
      </c>
      <c r="E1286" t="inlineStr">
        <is>
          <t>ARVIKA</t>
        </is>
      </c>
      <c r="G1286" t="n">
        <v>1.1</v>
      </c>
      <c r="H1286" t="n">
        <v>0</v>
      </c>
      <c r="I1286" t="n">
        <v>0</v>
      </c>
      <c r="J1286" t="n">
        <v>0</v>
      </c>
      <c r="K1286" t="n">
        <v>0</v>
      </c>
      <c r="L1286" t="n">
        <v>0</v>
      </c>
      <c r="M1286" t="n">
        <v>0</v>
      </c>
      <c r="N1286" t="n">
        <v>0</v>
      </c>
      <c r="O1286" t="n">
        <v>0</v>
      </c>
      <c r="P1286" t="n">
        <v>0</v>
      </c>
      <c r="Q1286" t="n">
        <v>0</v>
      </c>
      <c r="R1286" s="2" t="inlineStr"/>
    </row>
    <row r="1287" ht="15" customHeight="1">
      <c r="A1287" t="inlineStr">
        <is>
          <t>A 14829-2022</t>
        </is>
      </c>
      <c r="B1287" s="1" t="n">
        <v>44656</v>
      </c>
      <c r="C1287" s="1" t="n">
        <v>46012</v>
      </c>
      <c r="D1287" t="inlineStr">
        <is>
          <t>VÄRMLANDS LÄN</t>
        </is>
      </c>
      <c r="E1287" t="inlineStr">
        <is>
          <t>ARVIKA</t>
        </is>
      </c>
      <c r="G1287" t="n">
        <v>4</v>
      </c>
      <c r="H1287" t="n">
        <v>0</v>
      </c>
      <c r="I1287" t="n">
        <v>0</v>
      </c>
      <c r="J1287" t="n">
        <v>0</v>
      </c>
      <c r="K1287" t="n">
        <v>0</v>
      </c>
      <c r="L1287" t="n">
        <v>0</v>
      </c>
      <c r="M1287" t="n">
        <v>0</v>
      </c>
      <c r="N1287" t="n">
        <v>0</v>
      </c>
      <c r="O1287" t="n">
        <v>0</v>
      </c>
      <c r="P1287" t="n">
        <v>0</v>
      </c>
      <c r="Q1287" t="n">
        <v>0</v>
      </c>
      <c r="R1287" s="2" t="inlineStr"/>
    </row>
    <row r="1288" ht="15" customHeight="1">
      <c r="A1288" t="inlineStr">
        <is>
          <t>A 32262-2024</t>
        </is>
      </c>
      <c r="B1288" s="1" t="n">
        <v>45512</v>
      </c>
      <c r="C1288" s="1" t="n">
        <v>46012</v>
      </c>
      <c r="D1288" t="inlineStr">
        <is>
          <t>VÄRMLANDS LÄN</t>
        </is>
      </c>
      <c r="E1288" t="inlineStr">
        <is>
          <t>ARVIKA</t>
        </is>
      </c>
      <c r="G1288" t="n">
        <v>1.3</v>
      </c>
      <c r="H1288" t="n">
        <v>0</v>
      </c>
      <c r="I1288" t="n">
        <v>0</v>
      </c>
      <c r="J1288" t="n">
        <v>0</v>
      </c>
      <c r="K1288" t="n">
        <v>0</v>
      </c>
      <c r="L1288" t="n">
        <v>0</v>
      </c>
      <c r="M1288" t="n">
        <v>0</v>
      </c>
      <c r="N1288" t="n">
        <v>0</v>
      </c>
      <c r="O1288" t="n">
        <v>0</v>
      </c>
      <c r="P1288" t="n">
        <v>0</v>
      </c>
      <c r="Q1288" t="n">
        <v>0</v>
      </c>
      <c r="R1288" s="2" t="inlineStr"/>
    </row>
    <row r="1289" ht="15" customHeight="1">
      <c r="A1289" t="inlineStr">
        <is>
          <t>A 32263-2024</t>
        </is>
      </c>
      <c r="B1289" s="1" t="n">
        <v>45512</v>
      </c>
      <c r="C1289" s="1" t="n">
        <v>46012</v>
      </c>
      <c r="D1289" t="inlineStr">
        <is>
          <t>VÄRMLANDS LÄN</t>
        </is>
      </c>
      <c r="E1289" t="inlineStr">
        <is>
          <t>ARVIKA</t>
        </is>
      </c>
      <c r="G1289" t="n">
        <v>0.6</v>
      </c>
      <c r="H1289" t="n">
        <v>0</v>
      </c>
      <c r="I1289" t="n">
        <v>0</v>
      </c>
      <c r="J1289" t="n">
        <v>0</v>
      </c>
      <c r="K1289" t="n">
        <v>0</v>
      </c>
      <c r="L1289" t="n">
        <v>0</v>
      </c>
      <c r="M1289" t="n">
        <v>0</v>
      </c>
      <c r="N1289" t="n">
        <v>0</v>
      </c>
      <c r="O1289" t="n">
        <v>0</v>
      </c>
      <c r="P1289" t="n">
        <v>0</v>
      </c>
      <c r="Q1289" t="n">
        <v>0</v>
      </c>
      <c r="R1289" s="2" t="inlineStr"/>
    </row>
    <row r="1290" ht="15" customHeight="1">
      <c r="A1290" t="inlineStr">
        <is>
          <t>A 6030-2023</t>
        </is>
      </c>
      <c r="B1290" s="1" t="n">
        <v>44964</v>
      </c>
      <c r="C1290" s="1" t="n">
        <v>46012</v>
      </c>
      <c r="D1290" t="inlineStr">
        <is>
          <t>VÄRMLANDS LÄN</t>
        </is>
      </c>
      <c r="E1290" t="inlineStr">
        <is>
          <t>ARVIKA</t>
        </is>
      </c>
      <c r="G1290" t="n">
        <v>10.5</v>
      </c>
      <c r="H1290" t="n">
        <v>0</v>
      </c>
      <c r="I1290" t="n">
        <v>0</v>
      </c>
      <c r="J1290" t="n">
        <v>0</v>
      </c>
      <c r="K1290" t="n">
        <v>0</v>
      </c>
      <c r="L1290" t="n">
        <v>0</v>
      </c>
      <c r="M1290" t="n">
        <v>0</v>
      </c>
      <c r="N1290" t="n">
        <v>0</v>
      </c>
      <c r="O1290" t="n">
        <v>0</v>
      </c>
      <c r="P1290" t="n">
        <v>0</v>
      </c>
      <c r="Q1290" t="n">
        <v>0</v>
      </c>
      <c r="R1290" s="2" t="inlineStr"/>
    </row>
    <row r="1291" ht="15" customHeight="1">
      <c r="A1291" t="inlineStr">
        <is>
          <t>A 47534-2024</t>
        </is>
      </c>
      <c r="B1291" s="1" t="n">
        <v>45587</v>
      </c>
      <c r="C1291" s="1" t="n">
        <v>46012</v>
      </c>
      <c r="D1291" t="inlineStr">
        <is>
          <t>VÄRMLANDS LÄN</t>
        </is>
      </c>
      <c r="E1291" t="inlineStr">
        <is>
          <t>ARVIKA</t>
        </is>
      </c>
      <c r="F1291" t="inlineStr">
        <is>
          <t>Bergvik skog väst AB</t>
        </is>
      </c>
      <c r="G1291" t="n">
        <v>0.5</v>
      </c>
      <c r="H1291" t="n">
        <v>0</v>
      </c>
      <c r="I1291" t="n">
        <v>0</v>
      </c>
      <c r="J1291" t="n">
        <v>0</v>
      </c>
      <c r="K1291" t="n">
        <v>0</v>
      </c>
      <c r="L1291" t="n">
        <v>0</v>
      </c>
      <c r="M1291" t="n">
        <v>0</v>
      </c>
      <c r="N1291" t="n">
        <v>0</v>
      </c>
      <c r="O1291" t="n">
        <v>0</v>
      </c>
      <c r="P1291" t="n">
        <v>0</v>
      </c>
      <c r="Q1291" t="n">
        <v>0</v>
      </c>
      <c r="R1291" s="2" t="inlineStr"/>
    </row>
    <row r="1292" ht="15" customHeight="1">
      <c r="A1292" t="inlineStr">
        <is>
          <t>A 14455-2023</t>
        </is>
      </c>
      <c r="B1292" s="1" t="n">
        <v>45012</v>
      </c>
      <c r="C1292" s="1" t="n">
        <v>46012</v>
      </c>
      <c r="D1292" t="inlineStr">
        <is>
          <t>VÄRMLANDS LÄN</t>
        </is>
      </c>
      <c r="E1292" t="inlineStr">
        <is>
          <t>ARVIKA</t>
        </is>
      </c>
      <c r="G1292" t="n">
        <v>1.7</v>
      </c>
      <c r="H1292" t="n">
        <v>0</v>
      </c>
      <c r="I1292" t="n">
        <v>0</v>
      </c>
      <c r="J1292" t="n">
        <v>0</v>
      </c>
      <c r="K1292" t="n">
        <v>0</v>
      </c>
      <c r="L1292" t="n">
        <v>0</v>
      </c>
      <c r="M1292" t="n">
        <v>0</v>
      </c>
      <c r="N1292" t="n">
        <v>0</v>
      </c>
      <c r="O1292" t="n">
        <v>0</v>
      </c>
      <c r="P1292" t="n">
        <v>0</v>
      </c>
      <c r="Q1292" t="n">
        <v>0</v>
      </c>
      <c r="R1292" s="2" t="inlineStr"/>
    </row>
    <row r="1293" ht="15" customHeight="1">
      <c r="A1293" t="inlineStr">
        <is>
          <t>A 20066-2025</t>
        </is>
      </c>
      <c r="B1293" s="1" t="n">
        <v>45772</v>
      </c>
      <c r="C1293" s="1" t="n">
        <v>46012</v>
      </c>
      <c r="D1293" t="inlineStr">
        <is>
          <t>VÄRMLANDS LÄN</t>
        </is>
      </c>
      <c r="E1293" t="inlineStr">
        <is>
          <t>ARVIKA</t>
        </is>
      </c>
      <c r="F1293" t="inlineStr">
        <is>
          <t>Bergvik skog väst AB</t>
        </is>
      </c>
      <c r="G1293" t="n">
        <v>5.3</v>
      </c>
      <c r="H1293" t="n">
        <v>0</v>
      </c>
      <c r="I1293" t="n">
        <v>0</v>
      </c>
      <c r="J1293" t="n">
        <v>0</v>
      </c>
      <c r="K1293" t="n">
        <v>0</v>
      </c>
      <c r="L1293" t="n">
        <v>0</v>
      </c>
      <c r="M1293" t="n">
        <v>0</v>
      </c>
      <c r="N1293" t="n">
        <v>0</v>
      </c>
      <c r="O1293" t="n">
        <v>0</v>
      </c>
      <c r="P1293" t="n">
        <v>0</v>
      </c>
      <c r="Q1293" t="n">
        <v>0</v>
      </c>
      <c r="R1293" s="2" t="inlineStr"/>
    </row>
    <row r="1294" ht="15" customHeight="1">
      <c r="A1294" t="inlineStr">
        <is>
          <t>A 19364-2023</t>
        </is>
      </c>
      <c r="B1294" s="1" t="n">
        <v>45049.62046296296</v>
      </c>
      <c r="C1294" s="1" t="n">
        <v>46012</v>
      </c>
      <c r="D1294" t="inlineStr">
        <is>
          <t>VÄRMLANDS LÄN</t>
        </is>
      </c>
      <c r="E1294" t="inlineStr">
        <is>
          <t>ARVIKA</t>
        </is>
      </c>
      <c r="G1294" t="n">
        <v>1.3</v>
      </c>
      <c r="H1294" t="n">
        <v>0</v>
      </c>
      <c r="I1294" t="n">
        <v>0</v>
      </c>
      <c r="J1294" t="n">
        <v>0</v>
      </c>
      <c r="K1294" t="n">
        <v>0</v>
      </c>
      <c r="L1294" t="n">
        <v>0</v>
      </c>
      <c r="M1294" t="n">
        <v>0</v>
      </c>
      <c r="N1294" t="n">
        <v>0</v>
      </c>
      <c r="O1294" t="n">
        <v>0</v>
      </c>
      <c r="P1294" t="n">
        <v>0</v>
      </c>
      <c r="Q1294" t="n">
        <v>0</v>
      </c>
      <c r="R1294" s="2" t="inlineStr"/>
    </row>
    <row r="1295" ht="15" customHeight="1">
      <c r="A1295" t="inlineStr">
        <is>
          <t>A 38666-2024</t>
        </is>
      </c>
      <c r="B1295" s="1" t="n">
        <v>45547</v>
      </c>
      <c r="C1295" s="1" t="n">
        <v>46012</v>
      </c>
      <c r="D1295" t="inlineStr">
        <is>
          <t>VÄRMLANDS LÄN</t>
        </is>
      </c>
      <c r="E1295" t="inlineStr">
        <is>
          <t>ARVIKA</t>
        </is>
      </c>
      <c r="F1295" t="inlineStr">
        <is>
          <t>Kommuner</t>
        </is>
      </c>
      <c r="G1295" t="n">
        <v>1.3</v>
      </c>
      <c r="H1295" t="n">
        <v>0</v>
      </c>
      <c r="I1295" t="n">
        <v>0</v>
      </c>
      <c r="J1295" t="n">
        <v>0</v>
      </c>
      <c r="K1295" t="n">
        <v>0</v>
      </c>
      <c r="L1295" t="n">
        <v>0</v>
      </c>
      <c r="M1295" t="n">
        <v>0</v>
      </c>
      <c r="N1295" t="n">
        <v>0</v>
      </c>
      <c r="O1295" t="n">
        <v>0</v>
      </c>
      <c r="P1295" t="n">
        <v>0</v>
      </c>
      <c r="Q1295" t="n">
        <v>0</v>
      </c>
      <c r="R1295" s="2" t="inlineStr"/>
    </row>
    <row r="1296" ht="15" customHeight="1">
      <c r="A1296" t="inlineStr">
        <is>
          <t>A 16368-2021</t>
        </is>
      </c>
      <c r="B1296" s="1" t="n">
        <v>44293</v>
      </c>
      <c r="C1296" s="1" t="n">
        <v>46012</v>
      </c>
      <c r="D1296" t="inlineStr">
        <is>
          <t>VÄRMLANDS LÄN</t>
        </is>
      </c>
      <c r="E1296" t="inlineStr">
        <is>
          <t>ARVIKA</t>
        </is>
      </c>
      <c r="G1296" t="n">
        <v>1.4</v>
      </c>
      <c r="H1296" t="n">
        <v>0</v>
      </c>
      <c r="I1296" t="n">
        <v>0</v>
      </c>
      <c r="J1296" t="n">
        <v>0</v>
      </c>
      <c r="K1296" t="n">
        <v>0</v>
      </c>
      <c r="L1296" t="n">
        <v>0</v>
      </c>
      <c r="M1296" t="n">
        <v>0</v>
      </c>
      <c r="N1296" t="n">
        <v>0</v>
      </c>
      <c r="O1296" t="n">
        <v>0</v>
      </c>
      <c r="P1296" t="n">
        <v>0</v>
      </c>
      <c r="Q1296" t="n">
        <v>0</v>
      </c>
      <c r="R1296" s="2" t="inlineStr"/>
    </row>
    <row r="1297" ht="15" customHeight="1">
      <c r="A1297" t="inlineStr">
        <is>
          <t>A 61908-2022</t>
        </is>
      </c>
      <c r="B1297" s="1" t="n">
        <v>44917.73827546297</v>
      </c>
      <c r="C1297" s="1" t="n">
        <v>46012</v>
      </c>
      <c r="D1297" t="inlineStr">
        <is>
          <t>VÄRMLANDS LÄN</t>
        </is>
      </c>
      <c r="E1297" t="inlineStr">
        <is>
          <t>ARVIKA</t>
        </is>
      </c>
      <c r="G1297" t="n">
        <v>0.6</v>
      </c>
      <c r="H1297" t="n">
        <v>0</v>
      </c>
      <c r="I1297" t="n">
        <v>0</v>
      </c>
      <c r="J1297" t="n">
        <v>0</v>
      </c>
      <c r="K1297" t="n">
        <v>0</v>
      </c>
      <c r="L1297" t="n">
        <v>0</v>
      </c>
      <c r="M1297" t="n">
        <v>0</v>
      </c>
      <c r="N1297" t="n">
        <v>0</v>
      </c>
      <c r="O1297" t="n">
        <v>0</v>
      </c>
      <c r="P1297" t="n">
        <v>0</v>
      </c>
      <c r="Q1297" t="n">
        <v>0</v>
      </c>
      <c r="R1297" s="2" t="inlineStr"/>
    </row>
    <row r="1298" ht="15" customHeight="1">
      <c r="A1298" t="inlineStr">
        <is>
          <t>A 29175-2024</t>
        </is>
      </c>
      <c r="B1298" s="1" t="n">
        <v>45482.53081018518</v>
      </c>
      <c r="C1298" s="1" t="n">
        <v>46012</v>
      </c>
      <c r="D1298" t="inlineStr">
        <is>
          <t>VÄRMLANDS LÄN</t>
        </is>
      </c>
      <c r="E1298" t="inlineStr">
        <is>
          <t>ARVIKA</t>
        </is>
      </c>
      <c r="F1298" t="inlineStr">
        <is>
          <t>Bergvik skog väst AB</t>
        </is>
      </c>
      <c r="G1298" t="n">
        <v>0.4</v>
      </c>
      <c r="H1298" t="n">
        <v>0</v>
      </c>
      <c r="I1298" t="n">
        <v>0</v>
      </c>
      <c r="J1298" t="n">
        <v>0</v>
      </c>
      <c r="K1298" t="n">
        <v>0</v>
      </c>
      <c r="L1298" t="n">
        <v>0</v>
      </c>
      <c r="M1298" t="n">
        <v>0</v>
      </c>
      <c r="N1298" t="n">
        <v>0</v>
      </c>
      <c r="O1298" t="n">
        <v>0</v>
      </c>
      <c r="P1298" t="n">
        <v>0</v>
      </c>
      <c r="Q1298" t="n">
        <v>0</v>
      </c>
      <c r="R1298" s="2" t="inlineStr"/>
    </row>
    <row r="1299" ht="15" customHeight="1">
      <c r="A1299" t="inlineStr">
        <is>
          <t>A 39073-2022</t>
        </is>
      </c>
      <c r="B1299" s="1" t="n">
        <v>44817</v>
      </c>
      <c r="C1299" s="1" t="n">
        <v>46012</v>
      </c>
      <c r="D1299" t="inlineStr">
        <is>
          <t>VÄRMLANDS LÄN</t>
        </is>
      </c>
      <c r="E1299" t="inlineStr">
        <is>
          <t>ARVIKA</t>
        </is>
      </c>
      <c r="F1299" t="inlineStr">
        <is>
          <t>Bergvik skog väst AB</t>
        </is>
      </c>
      <c r="G1299" t="n">
        <v>1.4</v>
      </c>
      <c r="H1299" t="n">
        <v>0</v>
      </c>
      <c r="I1299" t="n">
        <v>0</v>
      </c>
      <c r="J1299" t="n">
        <v>0</v>
      </c>
      <c r="K1299" t="n">
        <v>0</v>
      </c>
      <c r="L1299" t="n">
        <v>0</v>
      </c>
      <c r="M1299" t="n">
        <v>0</v>
      </c>
      <c r="N1299" t="n">
        <v>0</v>
      </c>
      <c r="O1299" t="n">
        <v>0</v>
      </c>
      <c r="P1299" t="n">
        <v>0</v>
      </c>
      <c r="Q1299" t="n">
        <v>0</v>
      </c>
      <c r="R1299" s="2" t="inlineStr"/>
    </row>
    <row r="1300" ht="15" customHeight="1">
      <c r="A1300" t="inlineStr">
        <is>
          <t>A 4706-2025</t>
        </is>
      </c>
      <c r="B1300" s="1" t="n">
        <v>45688.38394675926</v>
      </c>
      <c r="C1300" s="1" t="n">
        <v>46012</v>
      </c>
      <c r="D1300" t="inlineStr">
        <is>
          <t>VÄRMLANDS LÄN</t>
        </is>
      </c>
      <c r="E1300" t="inlineStr">
        <is>
          <t>ARVIKA</t>
        </is>
      </c>
      <c r="G1300" t="n">
        <v>4.2</v>
      </c>
      <c r="H1300" t="n">
        <v>0</v>
      </c>
      <c r="I1300" t="n">
        <v>0</v>
      </c>
      <c r="J1300" t="n">
        <v>0</v>
      </c>
      <c r="K1300" t="n">
        <v>0</v>
      </c>
      <c r="L1300" t="n">
        <v>0</v>
      </c>
      <c r="M1300" t="n">
        <v>0</v>
      </c>
      <c r="N1300" t="n">
        <v>0</v>
      </c>
      <c r="O1300" t="n">
        <v>0</v>
      </c>
      <c r="P1300" t="n">
        <v>0</v>
      </c>
      <c r="Q1300" t="n">
        <v>0</v>
      </c>
      <c r="R1300" s="2" t="inlineStr"/>
    </row>
    <row r="1301" ht="15" customHeight="1">
      <c r="A1301" t="inlineStr">
        <is>
          <t>A 12166-2025</t>
        </is>
      </c>
      <c r="B1301" s="1" t="n">
        <v>45729.43327546296</v>
      </c>
      <c r="C1301" s="1" t="n">
        <v>46012</v>
      </c>
      <c r="D1301" t="inlineStr">
        <is>
          <t>VÄRMLANDS LÄN</t>
        </is>
      </c>
      <c r="E1301" t="inlineStr">
        <is>
          <t>ARVIKA</t>
        </is>
      </c>
      <c r="F1301" t="inlineStr">
        <is>
          <t>Bergvik skog väst AB</t>
        </is>
      </c>
      <c r="G1301" t="n">
        <v>1.4</v>
      </c>
      <c r="H1301" t="n">
        <v>0</v>
      </c>
      <c r="I1301" t="n">
        <v>0</v>
      </c>
      <c r="J1301" t="n">
        <v>0</v>
      </c>
      <c r="K1301" t="n">
        <v>0</v>
      </c>
      <c r="L1301" t="n">
        <v>0</v>
      </c>
      <c r="M1301" t="n">
        <v>0</v>
      </c>
      <c r="N1301" t="n">
        <v>0</v>
      </c>
      <c r="O1301" t="n">
        <v>0</v>
      </c>
      <c r="P1301" t="n">
        <v>0</v>
      </c>
      <c r="Q1301" t="n">
        <v>0</v>
      </c>
      <c r="R1301" s="2" t="inlineStr"/>
    </row>
    <row r="1302" ht="15" customHeight="1">
      <c r="A1302" t="inlineStr">
        <is>
          <t>A 34933-2024</t>
        </is>
      </c>
      <c r="B1302" s="1" t="n">
        <v>45527.45614583333</v>
      </c>
      <c r="C1302" s="1" t="n">
        <v>46012</v>
      </c>
      <c r="D1302" t="inlineStr">
        <is>
          <t>VÄRMLANDS LÄN</t>
        </is>
      </c>
      <c r="E1302" t="inlineStr">
        <is>
          <t>ARVIKA</t>
        </is>
      </c>
      <c r="F1302" t="inlineStr">
        <is>
          <t>Bergvik skog väst AB</t>
        </is>
      </c>
      <c r="G1302" t="n">
        <v>1.3</v>
      </c>
      <c r="H1302" t="n">
        <v>0</v>
      </c>
      <c r="I1302" t="n">
        <v>0</v>
      </c>
      <c r="J1302" t="n">
        <v>0</v>
      </c>
      <c r="K1302" t="n">
        <v>0</v>
      </c>
      <c r="L1302" t="n">
        <v>0</v>
      </c>
      <c r="M1302" t="n">
        <v>0</v>
      </c>
      <c r="N1302" t="n">
        <v>0</v>
      </c>
      <c r="O1302" t="n">
        <v>0</v>
      </c>
      <c r="P1302" t="n">
        <v>0</v>
      </c>
      <c r="Q1302" t="n">
        <v>0</v>
      </c>
      <c r="R1302" s="2" t="inlineStr"/>
    </row>
    <row r="1303" ht="15" customHeight="1">
      <c r="A1303" t="inlineStr">
        <is>
          <t>A 71778-2021</t>
        </is>
      </c>
      <c r="B1303" s="1" t="n">
        <v>44543</v>
      </c>
      <c r="C1303" s="1" t="n">
        <v>46012</v>
      </c>
      <c r="D1303" t="inlineStr">
        <is>
          <t>VÄRMLANDS LÄN</t>
        </is>
      </c>
      <c r="E1303" t="inlineStr">
        <is>
          <t>ARVIKA</t>
        </is>
      </c>
      <c r="G1303" t="n">
        <v>2.5</v>
      </c>
      <c r="H1303" t="n">
        <v>0</v>
      </c>
      <c r="I1303" t="n">
        <v>0</v>
      </c>
      <c r="J1303" t="n">
        <v>0</v>
      </c>
      <c r="K1303" t="n">
        <v>0</v>
      </c>
      <c r="L1303" t="n">
        <v>0</v>
      </c>
      <c r="M1303" t="n">
        <v>0</v>
      </c>
      <c r="N1303" t="n">
        <v>0</v>
      </c>
      <c r="O1303" t="n">
        <v>0</v>
      </c>
      <c r="P1303" t="n">
        <v>0</v>
      </c>
      <c r="Q1303" t="n">
        <v>0</v>
      </c>
      <c r="R1303" s="2" t="inlineStr"/>
    </row>
    <row r="1304" ht="15" customHeight="1">
      <c r="A1304" t="inlineStr">
        <is>
          <t>A 24329-2023</t>
        </is>
      </c>
      <c r="B1304" s="1" t="n">
        <v>45081</v>
      </c>
      <c r="C1304" s="1" t="n">
        <v>46012</v>
      </c>
      <c r="D1304" t="inlineStr">
        <is>
          <t>VÄRMLANDS LÄN</t>
        </is>
      </c>
      <c r="E1304" t="inlineStr">
        <is>
          <t>ARVIKA</t>
        </is>
      </c>
      <c r="G1304" t="n">
        <v>0.8</v>
      </c>
      <c r="H1304" t="n">
        <v>0</v>
      </c>
      <c r="I1304" t="n">
        <v>0</v>
      </c>
      <c r="J1304" t="n">
        <v>0</v>
      </c>
      <c r="K1304" t="n">
        <v>0</v>
      </c>
      <c r="L1304" t="n">
        <v>0</v>
      </c>
      <c r="M1304" t="n">
        <v>0</v>
      </c>
      <c r="N1304" t="n">
        <v>0</v>
      </c>
      <c r="O1304" t="n">
        <v>0</v>
      </c>
      <c r="P1304" t="n">
        <v>0</v>
      </c>
      <c r="Q1304" t="n">
        <v>0</v>
      </c>
      <c r="R1304" s="2" t="inlineStr"/>
    </row>
    <row r="1305" ht="15" customHeight="1">
      <c r="A1305" t="inlineStr">
        <is>
          <t>A 50678-2024</t>
        </is>
      </c>
      <c r="B1305" s="1" t="n">
        <v>45601.90618055555</v>
      </c>
      <c r="C1305" s="1" t="n">
        <v>46012</v>
      </c>
      <c r="D1305" t="inlineStr">
        <is>
          <t>VÄRMLANDS LÄN</t>
        </is>
      </c>
      <c r="E1305" t="inlineStr">
        <is>
          <t>ARVIKA</t>
        </is>
      </c>
      <c r="G1305" t="n">
        <v>0.8</v>
      </c>
      <c r="H1305" t="n">
        <v>0</v>
      </c>
      <c r="I1305" t="n">
        <v>0</v>
      </c>
      <c r="J1305" t="n">
        <v>0</v>
      </c>
      <c r="K1305" t="n">
        <v>0</v>
      </c>
      <c r="L1305" t="n">
        <v>0</v>
      </c>
      <c r="M1305" t="n">
        <v>0</v>
      </c>
      <c r="N1305" t="n">
        <v>0</v>
      </c>
      <c r="O1305" t="n">
        <v>0</v>
      </c>
      <c r="P1305" t="n">
        <v>0</v>
      </c>
      <c r="Q1305" t="n">
        <v>0</v>
      </c>
      <c r="R1305" s="2" t="inlineStr"/>
    </row>
    <row r="1306" ht="15" customHeight="1">
      <c r="A1306" t="inlineStr">
        <is>
          <t>A 3610-2025</t>
        </is>
      </c>
      <c r="B1306" s="1" t="n">
        <v>45681.35855324074</v>
      </c>
      <c r="C1306" s="1" t="n">
        <v>46012</v>
      </c>
      <c r="D1306" t="inlineStr">
        <is>
          <t>VÄRMLANDS LÄN</t>
        </is>
      </c>
      <c r="E1306" t="inlineStr">
        <is>
          <t>ARVIKA</t>
        </is>
      </c>
      <c r="G1306" t="n">
        <v>0.5</v>
      </c>
      <c r="H1306" t="n">
        <v>0</v>
      </c>
      <c r="I1306" t="n">
        <v>0</v>
      </c>
      <c r="J1306" t="n">
        <v>0</v>
      </c>
      <c r="K1306" t="n">
        <v>0</v>
      </c>
      <c r="L1306" t="n">
        <v>0</v>
      </c>
      <c r="M1306" t="n">
        <v>0</v>
      </c>
      <c r="N1306" t="n">
        <v>0</v>
      </c>
      <c r="O1306" t="n">
        <v>0</v>
      </c>
      <c r="P1306" t="n">
        <v>0</v>
      </c>
      <c r="Q1306" t="n">
        <v>0</v>
      </c>
      <c r="R1306" s="2" t="inlineStr"/>
    </row>
    <row r="1307" ht="15" customHeight="1">
      <c r="A1307" t="inlineStr">
        <is>
          <t>A 15720-2022</t>
        </is>
      </c>
      <c r="B1307" s="1" t="n">
        <v>44663</v>
      </c>
      <c r="C1307" s="1" t="n">
        <v>46012</v>
      </c>
      <c r="D1307" t="inlineStr">
        <is>
          <t>VÄRMLANDS LÄN</t>
        </is>
      </c>
      <c r="E1307" t="inlineStr">
        <is>
          <t>ARVIKA</t>
        </is>
      </c>
      <c r="G1307" t="n">
        <v>3</v>
      </c>
      <c r="H1307" t="n">
        <v>0</v>
      </c>
      <c r="I1307" t="n">
        <v>0</v>
      </c>
      <c r="J1307" t="n">
        <v>0</v>
      </c>
      <c r="K1307" t="n">
        <v>0</v>
      </c>
      <c r="L1307" t="n">
        <v>0</v>
      </c>
      <c r="M1307" t="n">
        <v>0</v>
      </c>
      <c r="N1307" t="n">
        <v>0</v>
      </c>
      <c r="O1307" t="n">
        <v>0</v>
      </c>
      <c r="P1307" t="n">
        <v>0</v>
      </c>
      <c r="Q1307" t="n">
        <v>0</v>
      </c>
      <c r="R1307" s="2" t="inlineStr"/>
    </row>
    <row r="1308" ht="15" customHeight="1">
      <c r="A1308" t="inlineStr">
        <is>
          <t>A 50387-2021</t>
        </is>
      </c>
      <c r="B1308" s="1" t="n">
        <v>44459</v>
      </c>
      <c r="C1308" s="1" t="n">
        <v>46012</v>
      </c>
      <c r="D1308" t="inlineStr">
        <is>
          <t>VÄRMLANDS LÄN</t>
        </is>
      </c>
      <c r="E1308" t="inlineStr">
        <is>
          <t>ARVIKA</t>
        </is>
      </c>
      <c r="F1308" t="inlineStr">
        <is>
          <t>Bergvik skog väst AB</t>
        </is>
      </c>
      <c r="G1308" t="n">
        <v>0.8</v>
      </c>
      <c r="H1308" t="n">
        <v>0</v>
      </c>
      <c r="I1308" t="n">
        <v>0</v>
      </c>
      <c r="J1308" t="n">
        <v>0</v>
      </c>
      <c r="K1308" t="n">
        <v>0</v>
      </c>
      <c r="L1308" t="n">
        <v>0</v>
      </c>
      <c r="M1308" t="n">
        <v>0</v>
      </c>
      <c r="N1308" t="n">
        <v>0</v>
      </c>
      <c r="O1308" t="n">
        <v>0</v>
      </c>
      <c r="P1308" t="n">
        <v>0</v>
      </c>
      <c r="Q1308" t="n">
        <v>0</v>
      </c>
      <c r="R1308" s="2" t="inlineStr"/>
    </row>
    <row r="1309" ht="15" customHeight="1">
      <c r="A1309" t="inlineStr">
        <is>
          <t>A 42023-2023</t>
        </is>
      </c>
      <c r="B1309" s="1" t="n">
        <v>45177.48546296296</v>
      </c>
      <c r="C1309" s="1" t="n">
        <v>46012</v>
      </c>
      <c r="D1309" t="inlineStr">
        <is>
          <t>VÄRMLANDS LÄN</t>
        </is>
      </c>
      <c r="E1309" t="inlineStr">
        <is>
          <t>ARVIKA</t>
        </is>
      </c>
      <c r="G1309" t="n">
        <v>1.2</v>
      </c>
      <c r="H1309" t="n">
        <v>0</v>
      </c>
      <c r="I1309" t="n">
        <v>0</v>
      </c>
      <c r="J1309" t="n">
        <v>0</v>
      </c>
      <c r="K1309" t="n">
        <v>0</v>
      </c>
      <c r="L1309" t="n">
        <v>0</v>
      </c>
      <c r="M1309" t="n">
        <v>0</v>
      </c>
      <c r="N1309" t="n">
        <v>0</v>
      </c>
      <c r="O1309" t="n">
        <v>0</v>
      </c>
      <c r="P1309" t="n">
        <v>0</v>
      </c>
      <c r="Q1309" t="n">
        <v>0</v>
      </c>
      <c r="R1309" s="2" t="inlineStr"/>
      <c r="U1309">
        <f>HYPERLINK("https://klasma.github.io/Logging_1784/knärot/A 42023-2023 karta knärot.png", "A 42023-2023")</f>
        <v/>
      </c>
      <c r="V1309">
        <f>HYPERLINK("https://klasma.github.io/Logging_1784/klagomål/A 42023-2023 FSC-klagomål.docx", "A 42023-2023")</f>
        <v/>
      </c>
      <c r="W1309">
        <f>HYPERLINK("https://klasma.github.io/Logging_1784/klagomålsmail/A 42023-2023 FSC-klagomål mail.docx", "A 42023-2023")</f>
        <v/>
      </c>
      <c r="X1309">
        <f>HYPERLINK("https://klasma.github.io/Logging_1784/tillsyn/A 42023-2023 tillsynsbegäran.docx", "A 42023-2023")</f>
        <v/>
      </c>
      <c r="Y1309">
        <f>HYPERLINK("https://klasma.github.io/Logging_1784/tillsynsmail/A 42023-2023 tillsynsbegäran mail.docx", "A 42023-2023")</f>
        <v/>
      </c>
    </row>
    <row r="1310" ht="15" customHeight="1">
      <c r="A1310" t="inlineStr">
        <is>
          <t>A 6241-2025</t>
        </is>
      </c>
      <c r="B1310" s="1" t="n">
        <v>45698</v>
      </c>
      <c r="C1310" s="1" t="n">
        <v>46012</v>
      </c>
      <c r="D1310" t="inlineStr">
        <is>
          <t>VÄRMLANDS LÄN</t>
        </is>
      </c>
      <c r="E1310" t="inlineStr">
        <is>
          <t>ARVIKA</t>
        </is>
      </c>
      <c r="G1310" t="n">
        <v>0.5</v>
      </c>
      <c r="H1310" t="n">
        <v>0</v>
      </c>
      <c r="I1310" t="n">
        <v>0</v>
      </c>
      <c r="J1310" t="n">
        <v>0</v>
      </c>
      <c r="K1310" t="n">
        <v>0</v>
      </c>
      <c r="L1310" t="n">
        <v>0</v>
      </c>
      <c r="M1310" t="n">
        <v>0</v>
      </c>
      <c r="N1310" t="n">
        <v>0</v>
      </c>
      <c r="O1310" t="n">
        <v>0</v>
      </c>
      <c r="P1310" t="n">
        <v>0</v>
      </c>
      <c r="Q1310" t="n">
        <v>0</v>
      </c>
      <c r="R1310" s="2" t="inlineStr"/>
      <c r="U1310">
        <f>HYPERLINK("https://klasma.github.io/Logging_1784/knärot/A 6241-2025 karta knärot.png", "A 6241-2025")</f>
        <v/>
      </c>
      <c r="V1310">
        <f>HYPERLINK("https://klasma.github.io/Logging_1784/klagomål/A 6241-2025 FSC-klagomål.docx", "A 6241-2025")</f>
        <v/>
      </c>
      <c r="W1310">
        <f>HYPERLINK("https://klasma.github.io/Logging_1784/klagomålsmail/A 6241-2025 FSC-klagomål mail.docx", "A 6241-2025")</f>
        <v/>
      </c>
      <c r="X1310">
        <f>HYPERLINK("https://klasma.github.io/Logging_1784/tillsyn/A 6241-2025 tillsynsbegäran.docx", "A 6241-2025")</f>
        <v/>
      </c>
      <c r="Y1310">
        <f>HYPERLINK("https://klasma.github.io/Logging_1784/tillsynsmail/A 6241-2025 tillsynsbegäran mail.docx", "A 6241-2025")</f>
        <v/>
      </c>
    </row>
    <row r="1311" ht="15" customHeight="1">
      <c r="A1311" t="inlineStr">
        <is>
          <t>A 49245-2023</t>
        </is>
      </c>
      <c r="B1311" s="1" t="n">
        <v>45210.65605324074</v>
      </c>
      <c r="C1311" s="1" t="n">
        <v>46012</v>
      </c>
      <c r="D1311" t="inlineStr">
        <is>
          <t>VÄRMLANDS LÄN</t>
        </is>
      </c>
      <c r="E1311" t="inlineStr">
        <is>
          <t>ARVIKA</t>
        </is>
      </c>
      <c r="G1311" t="n">
        <v>0.9</v>
      </c>
      <c r="H1311" t="n">
        <v>0</v>
      </c>
      <c r="I1311" t="n">
        <v>0</v>
      </c>
      <c r="J1311" t="n">
        <v>0</v>
      </c>
      <c r="K1311" t="n">
        <v>0</v>
      </c>
      <c r="L1311" t="n">
        <v>0</v>
      </c>
      <c r="M1311" t="n">
        <v>0</v>
      </c>
      <c r="N1311" t="n">
        <v>0</v>
      </c>
      <c r="O1311" t="n">
        <v>0</v>
      </c>
      <c r="P1311" t="n">
        <v>0</v>
      </c>
      <c r="Q1311" t="n">
        <v>0</v>
      </c>
      <c r="R1311" s="2" t="inlineStr"/>
    </row>
    <row r="1312" ht="15" customHeight="1">
      <c r="A1312" t="inlineStr">
        <is>
          <t>A 10572-2025</t>
        </is>
      </c>
      <c r="B1312" s="1" t="n">
        <v>45721</v>
      </c>
      <c r="C1312" s="1" t="n">
        <v>46012</v>
      </c>
      <c r="D1312" t="inlineStr">
        <is>
          <t>VÄRMLANDS LÄN</t>
        </is>
      </c>
      <c r="E1312" t="inlineStr">
        <is>
          <t>ARVIKA</t>
        </is>
      </c>
      <c r="F1312" t="inlineStr">
        <is>
          <t>Bergvik skog väst AB</t>
        </is>
      </c>
      <c r="G1312" t="n">
        <v>3.7</v>
      </c>
      <c r="H1312" t="n">
        <v>0</v>
      </c>
      <c r="I1312" t="n">
        <v>0</v>
      </c>
      <c r="J1312" t="n">
        <v>0</v>
      </c>
      <c r="K1312" t="n">
        <v>0</v>
      </c>
      <c r="L1312" t="n">
        <v>0</v>
      </c>
      <c r="M1312" t="n">
        <v>0</v>
      </c>
      <c r="N1312" t="n">
        <v>0</v>
      </c>
      <c r="O1312" t="n">
        <v>0</v>
      </c>
      <c r="P1312" t="n">
        <v>0</v>
      </c>
      <c r="Q1312" t="n">
        <v>0</v>
      </c>
      <c r="R1312" s="2" t="inlineStr"/>
    </row>
    <row r="1313" ht="15" customHeight="1">
      <c r="A1313" t="inlineStr">
        <is>
          <t>A 10574-2025</t>
        </is>
      </c>
      <c r="B1313" s="1" t="n">
        <v>45721.54355324074</v>
      </c>
      <c r="C1313" s="1" t="n">
        <v>46012</v>
      </c>
      <c r="D1313" t="inlineStr">
        <is>
          <t>VÄRMLANDS LÄN</t>
        </is>
      </c>
      <c r="E1313" t="inlineStr">
        <is>
          <t>ARVIKA</t>
        </is>
      </c>
      <c r="F1313" t="inlineStr">
        <is>
          <t>Bergvik skog väst AB</t>
        </is>
      </c>
      <c r="G1313" t="n">
        <v>0.6</v>
      </c>
      <c r="H1313" t="n">
        <v>0</v>
      </c>
      <c r="I1313" t="n">
        <v>0</v>
      </c>
      <c r="J1313" t="n">
        <v>0</v>
      </c>
      <c r="K1313" t="n">
        <v>0</v>
      </c>
      <c r="L1313" t="n">
        <v>0</v>
      </c>
      <c r="M1313" t="n">
        <v>0</v>
      </c>
      <c r="N1313" t="n">
        <v>0</v>
      </c>
      <c r="O1313" t="n">
        <v>0</v>
      </c>
      <c r="P1313" t="n">
        <v>0</v>
      </c>
      <c r="Q1313" t="n">
        <v>0</v>
      </c>
      <c r="R1313" s="2" t="inlineStr"/>
    </row>
    <row r="1314" ht="15" customHeight="1">
      <c r="A1314" t="inlineStr">
        <is>
          <t>A 719-2022</t>
        </is>
      </c>
      <c r="B1314" s="1" t="n">
        <v>44568</v>
      </c>
      <c r="C1314" s="1" t="n">
        <v>46012</v>
      </c>
      <c r="D1314" t="inlineStr">
        <is>
          <t>VÄRMLANDS LÄN</t>
        </is>
      </c>
      <c r="E1314" t="inlineStr">
        <is>
          <t>ARVIKA</t>
        </is>
      </c>
      <c r="G1314" t="n">
        <v>7</v>
      </c>
      <c r="H1314" t="n">
        <v>0</v>
      </c>
      <c r="I1314" t="n">
        <v>0</v>
      </c>
      <c r="J1314" t="n">
        <v>0</v>
      </c>
      <c r="K1314" t="n">
        <v>0</v>
      </c>
      <c r="L1314" t="n">
        <v>0</v>
      </c>
      <c r="M1314" t="n">
        <v>0</v>
      </c>
      <c r="N1314" t="n">
        <v>0</v>
      </c>
      <c r="O1314" t="n">
        <v>0</v>
      </c>
      <c r="P1314" t="n">
        <v>0</v>
      </c>
      <c r="Q1314" t="n">
        <v>0</v>
      </c>
      <c r="R1314" s="2" t="inlineStr"/>
    </row>
    <row r="1315" ht="15" customHeight="1">
      <c r="A1315" t="inlineStr">
        <is>
          <t>A 5360-2025</t>
        </is>
      </c>
      <c r="B1315" s="1" t="n">
        <v>45692</v>
      </c>
      <c r="C1315" s="1" t="n">
        <v>46012</v>
      </c>
      <c r="D1315" t="inlineStr">
        <is>
          <t>VÄRMLANDS LÄN</t>
        </is>
      </c>
      <c r="E1315" t="inlineStr">
        <is>
          <t>ARVIKA</t>
        </is>
      </c>
      <c r="F1315" t="inlineStr">
        <is>
          <t>Kommuner</t>
        </is>
      </c>
      <c r="G1315" t="n">
        <v>0.8</v>
      </c>
      <c r="H1315" t="n">
        <v>0</v>
      </c>
      <c r="I1315" t="n">
        <v>0</v>
      </c>
      <c r="J1315" t="n">
        <v>0</v>
      </c>
      <c r="K1315" t="n">
        <v>0</v>
      </c>
      <c r="L1315" t="n">
        <v>0</v>
      </c>
      <c r="M1315" t="n">
        <v>0</v>
      </c>
      <c r="N1315" t="n">
        <v>0</v>
      </c>
      <c r="O1315" t="n">
        <v>0</v>
      </c>
      <c r="P1315" t="n">
        <v>0</v>
      </c>
      <c r="Q1315" t="n">
        <v>0</v>
      </c>
      <c r="R1315" s="2" t="inlineStr"/>
    </row>
    <row r="1316" ht="15" customHeight="1">
      <c r="A1316" t="inlineStr">
        <is>
          <t>A 49925-2024</t>
        </is>
      </c>
      <c r="B1316" s="1" t="n">
        <v>45597</v>
      </c>
      <c r="C1316" s="1" t="n">
        <v>46012</v>
      </c>
      <c r="D1316" t="inlineStr">
        <is>
          <t>VÄRMLANDS LÄN</t>
        </is>
      </c>
      <c r="E1316" t="inlineStr">
        <is>
          <t>ARVIKA</t>
        </is>
      </c>
      <c r="G1316" t="n">
        <v>1.3</v>
      </c>
      <c r="H1316" t="n">
        <v>0</v>
      </c>
      <c r="I1316" t="n">
        <v>0</v>
      </c>
      <c r="J1316" t="n">
        <v>0</v>
      </c>
      <c r="K1316" t="n">
        <v>0</v>
      </c>
      <c r="L1316" t="n">
        <v>0</v>
      </c>
      <c r="M1316" t="n">
        <v>0</v>
      </c>
      <c r="N1316" t="n">
        <v>0</v>
      </c>
      <c r="O1316" t="n">
        <v>0</v>
      </c>
      <c r="P1316" t="n">
        <v>0</v>
      </c>
      <c r="Q1316" t="n">
        <v>0</v>
      </c>
      <c r="R1316" s="2" t="inlineStr"/>
    </row>
    <row r="1317" ht="15" customHeight="1">
      <c r="A1317" t="inlineStr">
        <is>
          <t>A 8784-2023</t>
        </is>
      </c>
      <c r="B1317" s="1" t="n">
        <v>44978</v>
      </c>
      <c r="C1317" s="1" t="n">
        <v>46012</v>
      </c>
      <c r="D1317" t="inlineStr">
        <is>
          <t>VÄRMLANDS LÄN</t>
        </is>
      </c>
      <c r="E1317" t="inlineStr">
        <is>
          <t>ARVIKA</t>
        </is>
      </c>
      <c r="G1317" t="n">
        <v>0.3</v>
      </c>
      <c r="H1317" t="n">
        <v>0</v>
      </c>
      <c r="I1317" t="n">
        <v>0</v>
      </c>
      <c r="J1317" t="n">
        <v>0</v>
      </c>
      <c r="K1317" t="n">
        <v>0</v>
      </c>
      <c r="L1317" t="n">
        <v>0</v>
      </c>
      <c r="M1317" t="n">
        <v>0</v>
      </c>
      <c r="N1317" t="n">
        <v>0</v>
      </c>
      <c r="O1317" t="n">
        <v>0</v>
      </c>
      <c r="P1317" t="n">
        <v>0</v>
      </c>
      <c r="Q1317" t="n">
        <v>0</v>
      </c>
      <c r="R1317" s="2" t="inlineStr"/>
    </row>
    <row r="1318" ht="15" customHeight="1">
      <c r="A1318" t="inlineStr">
        <is>
          <t>A 22519-2022</t>
        </is>
      </c>
      <c r="B1318" s="1" t="n">
        <v>44713</v>
      </c>
      <c r="C1318" s="1" t="n">
        <v>46012</v>
      </c>
      <c r="D1318" t="inlineStr">
        <is>
          <t>VÄRMLANDS LÄN</t>
        </is>
      </c>
      <c r="E1318" t="inlineStr">
        <is>
          <t>ARVIKA</t>
        </is>
      </c>
      <c r="G1318" t="n">
        <v>2.8</v>
      </c>
      <c r="H1318" t="n">
        <v>0</v>
      </c>
      <c r="I1318" t="n">
        <v>0</v>
      </c>
      <c r="J1318" t="n">
        <v>0</v>
      </c>
      <c r="K1318" t="n">
        <v>0</v>
      </c>
      <c r="L1318" t="n">
        <v>0</v>
      </c>
      <c r="M1318" t="n">
        <v>0</v>
      </c>
      <c r="N1318" t="n">
        <v>0</v>
      </c>
      <c r="O1318" t="n">
        <v>0</v>
      </c>
      <c r="P1318" t="n">
        <v>0</v>
      </c>
      <c r="Q1318" t="n">
        <v>0</v>
      </c>
      <c r="R1318" s="2" t="inlineStr"/>
    </row>
    <row r="1319" ht="15" customHeight="1">
      <c r="A1319" t="inlineStr">
        <is>
          <t>A 9285-2023</t>
        </is>
      </c>
      <c r="B1319" s="1" t="n">
        <v>44980</v>
      </c>
      <c r="C1319" s="1" t="n">
        <v>46012</v>
      </c>
      <c r="D1319" t="inlineStr">
        <is>
          <t>VÄRMLANDS LÄN</t>
        </is>
      </c>
      <c r="E1319" t="inlineStr">
        <is>
          <t>ARVIKA</t>
        </is>
      </c>
      <c r="G1319" t="n">
        <v>1.9</v>
      </c>
      <c r="H1319" t="n">
        <v>0</v>
      </c>
      <c r="I1319" t="n">
        <v>0</v>
      </c>
      <c r="J1319" t="n">
        <v>0</v>
      </c>
      <c r="K1319" t="n">
        <v>0</v>
      </c>
      <c r="L1319" t="n">
        <v>0</v>
      </c>
      <c r="M1319" t="n">
        <v>0</v>
      </c>
      <c r="N1319" t="n">
        <v>0</v>
      </c>
      <c r="O1319" t="n">
        <v>0</v>
      </c>
      <c r="P1319" t="n">
        <v>0</v>
      </c>
      <c r="Q1319" t="n">
        <v>0</v>
      </c>
      <c r="R1319" s="2" t="inlineStr"/>
    </row>
    <row r="1320" ht="15" customHeight="1">
      <c r="A1320" t="inlineStr">
        <is>
          <t>A 35528-2023</t>
        </is>
      </c>
      <c r="B1320" s="1" t="n">
        <v>45147</v>
      </c>
      <c r="C1320" s="1" t="n">
        <v>46012</v>
      </c>
      <c r="D1320" t="inlineStr">
        <is>
          <t>VÄRMLANDS LÄN</t>
        </is>
      </c>
      <c r="E1320" t="inlineStr">
        <is>
          <t>ARVIKA</t>
        </is>
      </c>
      <c r="G1320" t="n">
        <v>7.2</v>
      </c>
      <c r="H1320" t="n">
        <v>0</v>
      </c>
      <c r="I1320" t="n">
        <v>0</v>
      </c>
      <c r="J1320" t="n">
        <v>0</v>
      </c>
      <c r="K1320" t="n">
        <v>0</v>
      </c>
      <c r="L1320" t="n">
        <v>0</v>
      </c>
      <c r="M1320" t="n">
        <v>0</v>
      </c>
      <c r="N1320" t="n">
        <v>0</v>
      </c>
      <c r="O1320" t="n">
        <v>0</v>
      </c>
      <c r="P1320" t="n">
        <v>0</v>
      </c>
      <c r="Q1320" t="n">
        <v>0</v>
      </c>
      <c r="R1320" s="2" t="inlineStr"/>
    </row>
    <row r="1321" ht="15" customHeight="1">
      <c r="A1321" t="inlineStr">
        <is>
          <t>A 8789-2023</t>
        </is>
      </c>
      <c r="B1321" s="1" t="n">
        <v>44978</v>
      </c>
      <c r="C1321" s="1" t="n">
        <v>46012</v>
      </c>
      <c r="D1321" t="inlineStr">
        <is>
          <t>VÄRMLANDS LÄN</t>
        </is>
      </c>
      <c r="E1321" t="inlineStr">
        <is>
          <t>ARVIKA</t>
        </is>
      </c>
      <c r="G1321" t="n">
        <v>0.4</v>
      </c>
      <c r="H1321" t="n">
        <v>0</v>
      </c>
      <c r="I1321" t="n">
        <v>0</v>
      </c>
      <c r="J1321" t="n">
        <v>0</v>
      </c>
      <c r="K1321" t="n">
        <v>0</v>
      </c>
      <c r="L1321" t="n">
        <v>0</v>
      </c>
      <c r="M1321" t="n">
        <v>0</v>
      </c>
      <c r="N1321" t="n">
        <v>0</v>
      </c>
      <c r="O1321" t="n">
        <v>0</v>
      </c>
      <c r="P1321" t="n">
        <v>0</v>
      </c>
      <c r="Q1321" t="n">
        <v>0</v>
      </c>
      <c r="R1321" s="2" t="inlineStr"/>
    </row>
    <row r="1322" ht="15" customHeight="1">
      <c r="A1322" t="inlineStr">
        <is>
          <t>A 12826-2023</t>
        </is>
      </c>
      <c r="B1322" s="1" t="n">
        <v>45000</v>
      </c>
      <c r="C1322" s="1" t="n">
        <v>46012</v>
      </c>
      <c r="D1322" t="inlineStr">
        <is>
          <t>VÄRMLANDS LÄN</t>
        </is>
      </c>
      <c r="E1322" t="inlineStr">
        <is>
          <t>ARVIKA</t>
        </is>
      </c>
      <c r="G1322" t="n">
        <v>7</v>
      </c>
      <c r="H1322" t="n">
        <v>0</v>
      </c>
      <c r="I1322" t="n">
        <v>0</v>
      </c>
      <c r="J1322" t="n">
        <v>0</v>
      </c>
      <c r="K1322" t="n">
        <v>0</v>
      </c>
      <c r="L1322" t="n">
        <v>0</v>
      </c>
      <c r="M1322" t="n">
        <v>0</v>
      </c>
      <c r="N1322" t="n">
        <v>0</v>
      </c>
      <c r="O1322" t="n">
        <v>0</v>
      </c>
      <c r="P1322" t="n">
        <v>0</v>
      </c>
      <c r="Q1322" t="n">
        <v>0</v>
      </c>
      <c r="R1322" s="2" t="inlineStr"/>
    </row>
    <row r="1323" ht="15" customHeight="1">
      <c r="A1323" t="inlineStr">
        <is>
          <t>A 38452-2024</t>
        </is>
      </c>
      <c r="B1323" s="1" t="n">
        <v>45546.44241898148</v>
      </c>
      <c r="C1323" s="1" t="n">
        <v>46012</v>
      </c>
      <c r="D1323" t="inlineStr">
        <is>
          <t>VÄRMLANDS LÄN</t>
        </is>
      </c>
      <c r="E1323" t="inlineStr">
        <is>
          <t>ARVIKA</t>
        </is>
      </c>
      <c r="G1323" t="n">
        <v>4.6</v>
      </c>
      <c r="H1323" t="n">
        <v>0</v>
      </c>
      <c r="I1323" t="n">
        <v>0</v>
      </c>
      <c r="J1323" t="n">
        <v>0</v>
      </c>
      <c r="K1323" t="n">
        <v>0</v>
      </c>
      <c r="L1323" t="n">
        <v>0</v>
      </c>
      <c r="M1323" t="n">
        <v>0</v>
      </c>
      <c r="N1323" t="n">
        <v>0</v>
      </c>
      <c r="O1323" t="n">
        <v>0</v>
      </c>
      <c r="P1323" t="n">
        <v>0</v>
      </c>
      <c r="Q1323" t="n">
        <v>0</v>
      </c>
      <c r="R1323" s="2" t="inlineStr"/>
    </row>
    <row r="1324" ht="15" customHeight="1">
      <c r="A1324" t="inlineStr">
        <is>
          <t>A 11892-2025</t>
        </is>
      </c>
      <c r="B1324" s="1" t="n">
        <v>45728.46597222222</v>
      </c>
      <c r="C1324" s="1" t="n">
        <v>46012</v>
      </c>
      <c r="D1324" t="inlineStr">
        <is>
          <t>VÄRMLANDS LÄN</t>
        </is>
      </c>
      <c r="E1324" t="inlineStr">
        <is>
          <t>ARVIKA</t>
        </is>
      </c>
      <c r="G1324" t="n">
        <v>0.3</v>
      </c>
      <c r="H1324" t="n">
        <v>0</v>
      </c>
      <c r="I1324" t="n">
        <v>0</v>
      </c>
      <c r="J1324" t="n">
        <v>0</v>
      </c>
      <c r="K1324" t="n">
        <v>0</v>
      </c>
      <c r="L1324" t="n">
        <v>0</v>
      </c>
      <c r="M1324" t="n">
        <v>0</v>
      </c>
      <c r="N1324" t="n">
        <v>0</v>
      </c>
      <c r="O1324" t="n">
        <v>0</v>
      </c>
      <c r="P1324" t="n">
        <v>0</v>
      </c>
      <c r="Q1324" t="n">
        <v>0</v>
      </c>
      <c r="R1324" s="2" t="inlineStr"/>
    </row>
    <row r="1325" ht="15" customHeight="1">
      <c r="A1325" t="inlineStr">
        <is>
          <t>A 13475-2025</t>
        </is>
      </c>
      <c r="B1325" s="1" t="n">
        <v>45736.41059027778</v>
      </c>
      <c r="C1325" s="1" t="n">
        <v>46012</v>
      </c>
      <c r="D1325" t="inlineStr">
        <is>
          <t>VÄRMLANDS LÄN</t>
        </is>
      </c>
      <c r="E1325" t="inlineStr">
        <is>
          <t>ARVIKA</t>
        </is>
      </c>
      <c r="G1325" t="n">
        <v>2.1</v>
      </c>
      <c r="H1325" t="n">
        <v>0</v>
      </c>
      <c r="I1325" t="n">
        <v>0</v>
      </c>
      <c r="J1325" t="n">
        <v>0</v>
      </c>
      <c r="K1325" t="n">
        <v>0</v>
      </c>
      <c r="L1325" t="n">
        <v>0</v>
      </c>
      <c r="M1325" t="n">
        <v>0</v>
      </c>
      <c r="N1325" t="n">
        <v>0</v>
      </c>
      <c r="O1325" t="n">
        <v>0</v>
      </c>
      <c r="P1325" t="n">
        <v>0</v>
      </c>
      <c r="Q1325" t="n">
        <v>0</v>
      </c>
      <c r="R1325" s="2" t="inlineStr"/>
    </row>
    <row r="1326" ht="15" customHeight="1">
      <c r="A1326" t="inlineStr">
        <is>
          <t>A 12162-2025</t>
        </is>
      </c>
      <c r="B1326" s="1" t="n">
        <v>45729.42915509259</v>
      </c>
      <c r="C1326" s="1" t="n">
        <v>46012</v>
      </c>
      <c r="D1326" t="inlineStr">
        <is>
          <t>VÄRMLANDS LÄN</t>
        </is>
      </c>
      <c r="E1326" t="inlineStr">
        <is>
          <t>ARVIKA</t>
        </is>
      </c>
      <c r="F1326" t="inlineStr">
        <is>
          <t>Bergvik skog väst AB</t>
        </is>
      </c>
      <c r="G1326" t="n">
        <v>0.8</v>
      </c>
      <c r="H1326" t="n">
        <v>0</v>
      </c>
      <c r="I1326" t="n">
        <v>0</v>
      </c>
      <c r="J1326" t="n">
        <v>0</v>
      </c>
      <c r="K1326" t="n">
        <v>0</v>
      </c>
      <c r="L1326" t="n">
        <v>0</v>
      </c>
      <c r="M1326" t="n">
        <v>0</v>
      </c>
      <c r="N1326" t="n">
        <v>0</v>
      </c>
      <c r="O1326" t="n">
        <v>0</v>
      </c>
      <c r="P1326" t="n">
        <v>0</v>
      </c>
      <c r="Q1326" t="n">
        <v>0</v>
      </c>
      <c r="R1326" s="2" t="inlineStr"/>
    </row>
    <row r="1327" ht="15" customHeight="1">
      <c r="A1327" t="inlineStr">
        <is>
          <t>A 12164-2025</t>
        </is>
      </c>
      <c r="B1327" s="1" t="n">
        <v>45729.43119212963</v>
      </c>
      <c r="C1327" s="1" t="n">
        <v>46012</v>
      </c>
      <c r="D1327" t="inlineStr">
        <is>
          <t>VÄRMLANDS LÄN</t>
        </is>
      </c>
      <c r="E1327" t="inlineStr">
        <is>
          <t>ARVIKA</t>
        </is>
      </c>
      <c r="F1327" t="inlineStr">
        <is>
          <t>Bergvik skog väst AB</t>
        </is>
      </c>
      <c r="G1327" t="n">
        <v>1.6</v>
      </c>
      <c r="H1327" t="n">
        <v>0</v>
      </c>
      <c r="I1327" t="n">
        <v>0</v>
      </c>
      <c r="J1327" t="n">
        <v>0</v>
      </c>
      <c r="K1327" t="n">
        <v>0</v>
      </c>
      <c r="L1327" t="n">
        <v>0</v>
      </c>
      <c r="M1327" t="n">
        <v>0</v>
      </c>
      <c r="N1327" t="n">
        <v>0</v>
      </c>
      <c r="O1327" t="n">
        <v>0</v>
      </c>
      <c r="P1327" t="n">
        <v>0</v>
      </c>
      <c r="Q1327" t="n">
        <v>0</v>
      </c>
      <c r="R1327" s="2" t="inlineStr"/>
    </row>
    <row r="1328" ht="15" customHeight="1">
      <c r="A1328" t="inlineStr">
        <is>
          <t>A 51658-2023</t>
        </is>
      </c>
      <c r="B1328" s="1" t="n">
        <v>45222</v>
      </c>
      <c r="C1328" s="1" t="n">
        <v>46012</v>
      </c>
      <c r="D1328" t="inlineStr">
        <is>
          <t>VÄRMLANDS LÄN</t>
        </is>
      </c>
      <c r="E1328" t="inlineStr">
        <is>
          <t>ARVIKA</t>
        </is>
      </c>
      <c r="F1328" t="inlineStr">
        <is>
          <t>Bergvik skog väst AB</t>
        </is>
      </c>
      <c r="G1328" t="n">
        <v>4.6</v>
      </c>
      <c r="H1328" t="n">
        <v>0</v>
      </c>
      <c r="I1328" t="n">
        <v>0</v>
      </c>
      <c r="J1328" t="n">
        <v>0</v>
      </c>
      <c r="K1328" t="n">
        <v>0</v>
      </c>
      <c r="L1328" t="n">
        <v>0</v>
      </c>
      <c r="M1328" t="n">
        <v>0</v>
      </c>
      <c r="N1328" t="n">
        <v>0</v>
      </c>
      <c r="O1328" t="n">
        <v>0</v>
      </c>
      <c r="P1328" t="n">
        <v>0</v>
      </c>
      <c r="Q1328" t="n">
        <v>0</v>
      </c>
      <c r="R1328" s="2" t="inlineStr"/>
    </row>
    <row r="1329" ht="15" customHeight="1">
      <c r="A1329" t="inlineStr">
        <is>
          <t>A 25601-2023</t>
        </is>
      </c>
      <c r="B1329" s="1" t="n">
        <v>45083</v>
      </c>
      <c r="C1329" s="1" t="n">
        <v>46012</v>
      </c>
      <c r="D1329" t="inlineStr">
        <is>
          <t>VÄRMLANDS LÄN</t>
        </is>
      </c>
      <c r="E1329" t="inlineStr">
        <is>
          <t>ARVIKA</t>
        </is>
      </c>
      <c r="G1329" t="n">
        <v>0.7</v>
      </c>
      <c r="H1329" t="n">
        <v>0</v>
      </c>
      <c r="I1329" t="n">
        <v>0</v>
      </c>
      <c r="J1329" t="n">
        <v>0</v>
      </c>
      <c r="K1329" t="n">
        <v>0</v>
      </c>
      <c r="L1329" t="n">
        <v>0</v>
      </c>
      <c r="M1329" t="n">
        <v>0</v>
      </c>
      <c r="N1329" t="n">
        <v>0</v>
      </c>
      <c r="O1329" t="n">
        <v>0</v>
      </c>
      <c r="P1329" t="n">
        <v>0</v>
      </c>
      <c r="Q1329" t="n">
        <v>0</v>
      </c>
      <c r="R1329" s="2" t="inlineStr"/>
    </row>
    <row r="1330" ht="15" customHeight="1">
      <c r="A1330" t="inlineStr">
        <is>
          <t>A 4751-2022</t>
        </is>
      </c>
      <c r="B1330" s="1" t="n">
        <v>44592</v>
      </c>
      <c r="C1330" s="1" t="n">
        <v>46012</v>
      </c>
      <c r="D1330" t="inlineStr">
        <is>
          <t>VÄRMLANDS LÄN</t>
        </is>
      </c>
      <c r="E1330" t="inlineStr">
        <is>
          <t>ARVIKA</t>
        </is>
      </c>
      <c r="G1330" t="n">
        <v>4.2</v>
      </c>
      <c r="H1330" t="n">
        <v>0</v>
      </c>
      <c r="I1330" t="n">
        <v>0</v>
      </c>
      <c r="J1330" t="n">
        <v>0</v>
      </c>
      <c r="K1330" t="n">
        <v>0</v>
      </c>
      <c r="L1330" t="n">
        <v>0</v>
      </c>
      <c r="M1330" t="n">
        <v>0</v>
      </c>
      <c r="N1330" t="n">
        <v>0</v>
      </c>
      <c r="O1330" t="n">
        <v>0</v>
      </c>
      <c r="P1330" t="n">
        <v>0</v>
      </c>
      <c r="Q1330" t="n">
        <v>0</v>
      </c>
      <c r="R1330" s="2" t="inlineStr"/>
    </row>
    <row r="1331" ht="15" customHeight="1">
      <c r="A1331" t="inlineStr">
        <is>
          <t>A 7456-2023</t>
        </is>
      </c>
      <c r="B1331" s="1" t="n">
        <v>44971.6133912037</v>
      </c>
      <c r="C1331" s="1" t="n">
        <v>46012</v>
      </c>
      <c r="D1331" t="inlineStr">
        <is>
          <t>VÄRMLANDS LÄN</t>
        </is>
      </c>
      <c r="E1331" t="inlineStr">
        <is>
          <t>ARVIKA</t>
        </is>
      </c>
      <c r="F1331" t="inlineStr">
        <is>
          <t>Bergvik skog väst AB</t>
        </is>
      </c>
      <c r="G1331" t="n">
        <v>2.6</v>
      </c>
      <c r="H1331" t="n">
        <v>0</v>
      </c>
      <c r="I1331" t="n">
        <v>0</v>
      </c>
      <c r="J1331" t="n">
        <v>0</v>
      </c>
      <c r="K1331" t="n">
        <v>0</v>
      </c>
      <c r="L1331" t="n">
        <v>0</v>
      </c>
      <c r="M1331" t="n">
        <v>0</v>
      </c>
      <c r="N1331" t="n">
        <v>0</v>
      </c>
      <c r="O1331" t="n">
        <v>0</v>
      </c>
      <c r="P1331" t="n">
        <v>0</v>
      </c>
      <c r="Q1331" t="n">
        <v>0</v>
      </c>
      <c r="R1331" s="2" t="inlineStr"/>
    </row>
    <row r="1332" ht="15" customHeight="1">
      <c r="A1332" t="inlineStr">
        <is>
          <t>A 37648-2023</t>
        </is>
      </c>
      <c r="B1332" s="1" t="n">
        <v>45159</v>
      </c>
      <c r="C1332" s="1" t="n">
        <v>46012</v>
      </c>
      <c r="D1332" t="inlineStr">
        <is>
          <t>VÄRMLANDS LÄN</t>
        </is>
      </c>
      <c r="E1332" t="inlineStr">
        <is>
          <t>ARVIKA</t>
        </is>
      </c>
      <c r="G1332" t="n">
        <v>0.9</v>
      </c>
      <c r="H1332" t="n">
        <v>0</v>
      </c>
      <c r="I1332" t="n">
        <v>0</v>
      </c>
      <c r="J1332" t="n">
        <v>0</v>
      </c>
      <c r="K1332" t="n">
        <v>0</v>
      </c>
      <c r="L1332" t="n">
        <v>0</v>
      </c>
      <c r="M1332" t="n">
        <v>0</v>
      </c>
      <c r="N1332" t="n">
        <v>0</v>
      </c>
      <c r="O1332" t="n">
        <v>0</v>
      </c>
      <c r="P1332" t="n">
        <v>0</v>
      </c>
      <c r="Q1332" t="n">
        <v>0</v>
      </c>
      <c r="R1332" s="2" t="inlineStr"/>
    </row>
    <row r="1333" ht="15" customHeight="1">
      <c r="A1333" t="inlineStr">
        <is>
          <t>A 58591-2023</t>
        </is>
      </c>
      <c r="B1333" s="1" t="n">
        <v>45251</v>
      </c>
      <c r="C1333" s="1" t="n">
        <v>46012</v>
      </c>
      <c r="D1333" t="inlineStr">
        <is>
          <t>VÄRMLANDS LÄN</t>
        </is>
      </c>
      <c r="E1333" t="inlineStr">
        <is>
          <t>ARVIKA</t>
        </is>
      </c>
      <c r="G1333" t="n">
        <v>15.3</v>
      </c>
      <c r="H1333" t="n">
        <v>0</v>
      </c>
      <c r="I1333" t="n">
        <v>0</v>
      </c>
      <c r="J1333" t="n">
        <v>0</v>
      </c>
      <c r="K1333" t="n">
        <v>0</v>
      </c>
      <c r="L1333" t="n">
        <v>0</v>
      </c>
      <c r="M1333" t="n">
        <v>0</v>
      </c>
      <c r="N1333" t="n">
        <v>0</v>
      </c>
      <c r="O1333" t="n">
        <v>0</v>
      </c>
      <c r="P1333" t="n">
        <v>0</v>
      </c>
      <c r="Q1333" t="n">
        <v>0</v>
      </c>
      <c r="R1333" s="2" t="inlineStr"/>
    </row>
    <row r="1334" ht="15" customHeight="1">
      <c r="A1334" t="inlineStr">
        <is>
          <t>A 4430-2023</t>
        </is>
      </c>
      <c r="B1334" s="1" t="n">
        <v>44956</v>
      </c>
      <c r="C1334" s="1" t="n">
        <v>46012</v>
      </c>
      <c r="D1334" t="inlineStr">
        <is>
          <t>VÄRMLANDS LÄN</t>
        </is>
      </c>
      <c r="E1334" t="inlineStr">
        <is>
          <t>ARVIKA</t>
        </is>
      </c>
      <c r="G1334" t="n">
        <v>1.7</v>
      </c>
      <c r="H1334" t="n">
        <v>0</v>
      </c>
      <c r="I1334" t="n">
        <v>0</v>
      </c>
      <c r="J1334" t="n">
        <v>0</v>
      </c>
      <c r="K1334" t="n">
        <v>0</v>
      </c>
      <c r="L1334" t="n">
        <v>0</v>
      </c>
      <c r="M1334" t="n">
        <v>0</v>
      </c>
      <c r="N1334" t="n">
        <v>0</v>
      </c>
      <c r="O1334" t="n">
        <v>0</v>
      </c>
      <c r="P1334" t="n">
        <v>0</v>
      </c>
      <c r="Q1334" t="n">
        <v>0</v>
      </c>
      <c r="R1334" s="2" t="inlineStr"/>
    </row>
    <row r="1335" ht="15" customHeight="1">
      <c r="A1335" t="inlineStr">
        <is>
          <t>A 37658-2023</t>
        </is>
      </c>
      <c r="B1335" s="1" t="n">
        <v>45159.52385416667</v>
      </c>
      <c r="C1335" s="1" t="n">
        <v>46012</v>
      </c>
      <c r="D1335" t="inlineStr">
        <is>
          <t>VÄRMLANDS LÄN</t>
        </is>
      </c>
      <c r="E1335" t="inlineStr">
        <is>
          <t>ARVIKA</t>
        </is>
      </c>
      <c r="G1335" t="n">
        <v>1</v>
      </c>
      <c r="H1335" t="n">
        <v>0</v>
      </c>
      <c r="I1335" t="n">
        <v>0</v>
      </c>
      <c r="J1335" t="n">
        <v>0</v>
      </c>
      <c r="K1335" t="n">
        <v>0</v>
      </c>
      <c r="L1335" t="n">
        <v>0</v>
      </c>
      <c r="M1335" t="n">
        <v>0</v>
      </c>
      <c r="N1335" t="n">
        <v>0</v>
      </c>
      <c r="O1335" t="n">
        <v>0</v>
      </c>
      <c r="P1335" t="n">
        <v>0</v>
      </c>
      <c r="Q1335" t="n">
        <v>0</v>
      </c>
      <c r="R1335" s="2" t="inlineStr"/>
    </row>
    <row r="1336" ht="15" customHeight="1">
      <c r="A1336" t="inlineStr">
        <is>
          <t>A 52800-2021</t>
        </is>
      </c>
      <c r="B1336" s="1" t="n">
        <v>44467</v>
      </c>
      <c r="C1336" s="1" t="n">
        <v>46012</v>
      </c>
      <c r="D1336" t="inlineStr">
        <is>
          <t>VÄRMLANDS LÄN</t>
        </is>
      </c>
      <c r="E1336" t="inlineStr">
        <is>
          <t>ARVIKA</t>
        </is>
      </c>
      <c r="G1336" t="n">
        <v>5.1</v>
      </c>
      <c r="H1336" t="n">
        <v>0</v>
      </c>
      <c r="I1336" t="n">
        <v>0</v>
      </c>
      <c r="J1336" t="n">
        <v>0</v>
      </c>
      <c r="K1336" t="n">
        <v>0</v>
      </c>
      <c r="L1336" t="n">
        <v>0</v>
      </c>
      <c r="M1336" t="n">
        <v>0</v>
      </c>
      <c r="N1336" t="n">
        <v>0</v>
      </c>
      <c r="O1336" t="n">
        <v>0</v>
      </c>
      <c r="P1336" t="n">
        <v>0</v>
      </c>
      <c r="Q1336" t="n">
        <v>0</v>
      </c>
      <c r="R1336" s="2" t="inlineStr"/>
    </row>
    <row r="1337" ht="15" customHeight="1">
      <c r="A1337" t="inlineStr">
        <is>
          <t>A 4195-2024</t>
        </is>
      </c>
      <c r="B1337" s="1" t="n">
        <v>45324.35050925926</v>
      </c>
      <c r="C1337" s="1" t="n">
        <v>46012</v>
      </c>
      <c r="D1337" t="inlineStr">
        <is>
          <t>VÄRMLANDS LÄN</t>
        </is>
      </c>
      <c r="E1337" t="inlineStr">
        <is>
          <t>ARVIKA</t>
        </is>
      </c>
      <c r="G1337" t="n">
        <v>1.1</v>
      </c>
      <c r="H1337" t="n">
        <v>0</v>
      </c>
      <c r="I1337" t="n">
        <v>0</v>
      </c>
      <c r="J1337" t="n">
        <v>0</v>
      </c>
      <c r="K1337" t="n">
        <v>0</v>
      </c>
      <c r="L1337" t="n">
        <v>0</v>
      </c>
      <c r="M1337" t="n">
        <v>0</v>
      </c>
      <c r="N1337" t="n">
        <v>0</v>
      </c>
      <c r="O1337" t="n">
        <v>0</v>
      </c>
      <c r="P1337" t="n">
        <v>0</v>
      </c>
      <c r="Q1337" t="n">
        <v>0</v>
      </c>
      <c r="R1337" s="2" t="inlineStr"/>
    </row>
    <row r="1338" ht="15" customHeight="1">
      <c r="A1338" t="inlineStr">
        <is>
          <t>A 37398-2023</t>
        </is>
      </c>
      <c r="B1338" s="1" t="n">
        <v>45156.58699074074</v>
      </c>
      <c r="C1338" s="1" t="n">
        <v>46012</v>
      </c>
      <c r="D1338" t="inlineStr">
        <is>
          <t>VÄRMLANDS LÄN</t>
        </is>
      </c>
      <c r="E1338" t="inlineStr">
        <is>
          <t>ARVIKA</t>
        </is>
      </c>
      <c r="G1338" t="n">
        <v>2.3</v>
      </c>
      <c r="H1338" t="n">
        <v>0</v>
      </c>
      <c r="I1338" t="n">
        <v>0</v>
      </c>
      <c r="J1338" t="n">
        <v>0</v>
      </c>
      <c r="K1338" t="n">
        <v>0</v>
      </c>
      <c r="L1338" t="n">
        <v>0</v>
      </c>
      <c r="M1338" t="n">
        <v>0</v>
      </c>
      <c r="N1338" t="n">
        <v>0</v>
      </c>
      <c r="O1338" t="n">
        <v>0</v>
      </c>
      <c r="P1338" t="n">
        <v>0</v>
      </c>
      <c r="Q1338" t="n">
        <v>0</v>
      </c>
      <c r="R1338" s="2" t="inlineStr"/>
    </row>
    <row r="1339" ht="15" customHeight="1">
      <c r="A1339" t="inlineStr">
        <is>
          <t>A 31083-2023</t>
        </is>
      </c>
      <c r="B1339" s="1" t="n">
        <v>45113.64513888889</v>
      </c>
      <c r="C1339" s="1" t="n">
        <v>46012</v>
      </c>
      <c r="D1339" t="inlineStr">
        <is>
          <t>VÄRMLANDS LÄN</t>
        </is>
      </c>
      <c r="E1339" t="inlineStr">
        <is>
          <t>ARVIKA</t>
        </is>
      </c>
      <c r="G1339" t="n">
        <v>0.6</v>
      </c>
      <c r="H1339" t="n">
        <v>0</v>
      </c>
      <c r="I1339" t="n">
        <v>0</v>
      </c>
      <c r="J1339" t="n">
        <v>0</v>
      </c>
      <c r="K1339" t="n">
        <v>0</v>
      </c>
      <c r="L1339" t="n">
        <v>0</v>
      </c>
      <c r="M1339" t="n">
        <v>0</v>
      </c>
      <c r="N1339" t="n">
        <v>0</v>
      </c>
      <c r="O1339" t="n">
        <v>0</v>
      </c>
      <c r="P1339" t="n">
        <v>0</v>
      </c>
      <c r="Q1339" t="n">
        <v>0</v>
      </c>
      <c r="R1339" s="2" t="inlineStr"/>
    </row>
    <row r="1340" ht="15" customHeight="1">
      <c r="A1340" t="inlineStr">
        <is>
          <t>A 33639-2024</t>
        </is>
      </c>
      <c r="B1340" s="1" t="n">
        <v>45520</v>
      </c>
      <c r="C1340" s="1" t="n">
        <v>46012</v>
      </c>
      <c r="D1340" t="inlineStr">
        <is>
          <t>VÄRMLANDS LÄN</t>
        </is>
      </c>
      <c r="E1340" t="inlineStr">
        <is>
          <t>ARVIKA</t>
        </is>
      </c>
      <c r="F1340" t="inlineStr">
        <is>
          <t>Bergvik skog väst AB</t>
        </is>
      </c>
      <c r="G1340" t="n">
        <v>3.3</v>
      </c>
      <c r="H1340" t="n">
        <v>0</v>
      </c>
      <c r="I1340" t="n">
        <v>0</v>
      </c>
      <c r="J1340" t="n">
        <v>0</v>
      </c>
      <c r="K1340" t="n">
        <v>0</v>
      </c>
      <c r="L1340" t="n">
        <v>0</v>
      </c>
      <c r="M1340" t="n">
        <v>0</v>
      </c>
      <c r="N1340" t="n">
        <v>0</v>
      </c>
      <c r="O1340" t="n">
        <v>0</v>
      </c>
      <c r="P1340" t="n">
        <v>0</v>
      </c>
      <c r="Q1340" t="n">
        <v>0</v>
      </c>
      <c r="R1340" s="2" t="inlineStr"/>
    </row>
    <row r="1341" ht="15" customHeight="1">
      <c r="A1341" t="inlineStr">
        <is>
          <t>A 24479-2024</t>
        </is>
      </c>
      <c r="B1341" s="1" t="n">
        <v>45459</v>
      </c>
      <c r="C1341" s="1" t="n">
        <v>46012</v>
      </c>
      <c r="D1341" t="inlineStr">
        <is>
          <t>VÄRMLANDS LÄN</t>
        </is>
      </c>
      <c r="E1341" t="inlineStr">
        <is>
          <t>ARVIKA</t>
        </is>
      </c>
      <c r="F1341" t="inlineStr">
        <is>
          <t>Bergvik skog väst AB</t>
        </is>
      </c>
      <c r="G1341" t="n">
        <v>2</v>
      </c>
      <c r="H1341" t="n">
        <v>0</v>
      </c>
      <c r="I1341" t="n">
        <v>0</v>
      </c>
      <c r="J1341" t="n">
        <v>0</v>
      </c>
      <c r="K1341" t="n">
        <v>0</v>
      </c>
      <c r="L1341" t="n">
        <v>0</v>
      </c>
      <c r="M1341" t="n">
        <v>0</v>
      </c>
      <c r="N1341" t="n">
        <v>0</v>
      </c>
      <c r="O1341" t="n">
        <v>0</v>
      </c>
      <c r="P1341" t="n">
        <v>0</v>
      </c>
      <c r="Q1341" t="n">
        <v>0</v>
      </c>
      <c r="R1341" s="2" t="inlineStr"/>
    </row>
    <row r="1342" ht="15" customHeight="1">
      <c r="A1342" t="inlineStr">
        <is>
          <t>A 5322-2023</t>
        </is>
      </c>
      <c r="B1342" s="1" t="n">
        <v>44959.57515046297</v>
      </c>
      <c r="C1342" s="1" t="n">
        <v>46012</v>
      </c>
      <c r="D1342" t="inlineStr">
        <is>
          <t>VÄRMLANDS LÄN</t>
        </is>
      </c>
      <c r="E1342" t="inlineStr">
        <is>
          <t>ARVIKA</t>
        </is>
      </c>
      <c r="G1342" t="n">
        <v>0.8</v>
      </c>
      <c r="H1342" t="n">
        <v>0</v>
      </c>
      <c r="I1342" t="n">
        <v>0</v>
      </c>
      <c r="J1342" t="n">
        <v>0</v>
      </c>
      <c r="K1342" t="n">
        <v>0</v>
      </c>
      <c r="L1342" t="n">
        <v>0</v>
      </c>
      <c r="M1342" t="n">
        <v>0</v>
      </c>
      <c r="N1342" t="n">
        <v>0</v>
      </c>
      <c r="O1342" t="n">
        <v>0</v>
      </c>
      <c r="P1342" t="n">
        <v>0</v>
      </c>
      <c r="Q1342" t="n">
        <v>0</v>
      </c>
      <c r="R1342" s="2" t="inlineStr"/>
    </row>
    <row r="1343" ht="15" customHeight="1">
      <c r="A1343" t="inlineStr">
        <is>
          <t>A 60595-2022</t>
        </is>
      </c>
      <c r="B1343" s="1" t="n">
        <v>44906</v>
      </c>
      <c r="C1343" s="1" t="n">
        <v>46012</v>
      </c>
      <c r="D1343" t="inlineStr">
        <is>
          <t>VÄRMLANDS LÄN</t>
        </is>
      </c>
      <c r="E1343" t="inlineStr">
        <is>
          <t>ARVIKA</t>
        </is>
      </c>
      <c r="G1343" t="n">
        <v>1</v>
      </c>
      <c r="H1343" t="n">
        <v>0</v>
      </c>
      <c r="I1343" t="n">
        <v>0</v>
      </c>
      <c r="J1343" t="n">
        <v>0</v>
      </c>
      <c r="K1343" t="n">
        <v>0</v>
      </c>
      <c r="L1343" t="n">
        <v>0</v>
      </c>
      <c r="M1343" t="n">
        <v>0</v>
      </c>
      <c r="N1343" t="n">
        <v>0</v>
      </c>
      <c r="O1343" t="n">
        <v>0</v>
      </c>
      <c r="P1343" t="n">
        <v>0</v>
      </c>
      <c r="Q1343" t="n">
        <v>0</v>
      </c>
      <c r="R1343" s="2" t="inlineStr"/>
    </row>
    <row r="1344" ht="15" customHeight="1">
      <c r="A1344" t="inlineStr">
        <is>
          <t>A 17363-2023</t>
        </is>
      </c>
      <c r="B1344" s="1" t="n">
        <v>45035</v>
      </c>
      <c r="C1344" s="1" t="n">
        <v>46012</v>
      </c>
      <c r="D1344" t="inlineStr">
        <is>
          <t>VÄRMLANDS LÄN</t>
        </is>
      </c>
      <c r="E1344" t="inlineStr">
        <is>
          <t>ARVIKA</t>
        </is>
      </c>
      <c r="G1344" t="n">
        <v>19.4</v>
      </c>
      <c r="H1344" t="n">
        <v>0</v>
      </c>
      <c r="I1344" t="n">
        <v>0</v>
      </c>
      <c r="J1344" t="n">
        <v>0</v>
      </c>
      <c r="K1344" t="n">
        <v>0</v>
      </c>
      <c r="L1344" t="n">
        <v>0</v>
      </c>
      <c r="M1344" t="n">
        <v>0</v>
      </c>
      <c r="N1344" t="n">
        <v>0</v>
      </c>
      <c r="O1344" t="n">
        <v>0</v>
      </c>
      <c r="P1344" t="n">
        <v>0</v>
      </c>
      <c r="Q1344" t="n">
        <v>0</v>
      </c>
      <c r="R1344" s="2" t="inlineStr"/>
    </row>
    <row r="1345" ht="15" customHeight="1">
      <c r="A1345" t="inlineStr">
        <is>
          <t>A 2155-2023</t>
        </is>
      </c>
      <c r="B1345" s="1" t="n">
        <v>44941.59325231481</v>
      </c>
      <c r="C1345" s="1" t="n">
        <v>46012</v>
      </c>
      <c r="D1345" t="inlineStr">
        <is>
          <t>VÄRMLANDS LÄN</t>
        </is>
      </c>
      <c r="E1345" t="inlineStr">
        <is>
          <t>ARVIKA</t>
        </is>
      </c>
      <c r="G1345" t="n">
        <v>5.2</v>
      </c>
      <c r="H1345" t="n">
        <v>0</v>
      </c>
      <c r="I1345" t="n">
        <v>0</v>
      </c>
      <c r="J1345" t="n">
        <v>0</v>
      </c>
      <c r="K1345" t="n">
        <v>0</v>
      </c>
      <c r="L1345" t="n">
        <v>0</v>
      </c>
      <c r="M1345" t="n">
        <v>0</v>
      </c>
      <c r="N1345" t="n">
        <v>0</v>
      </c>
      <c r="O1345" t="n">
        <v>0</v>
      </c>
      <c r="P1345" t="n">
        <v>0</v>
      </c>
      <c r="Q1345" t="n">
        <v>0</v>
      </c>
      <c r="R1345" s="2" t="inlineStr"/>
    </row>
    <row r="1346" ht="15" customHeight="1">
      <c r="A1346" t="inlineStr">
        <is>
          <t>A 691-2024</t>
        </is>
      </c>
      <c r="B1346" s="1" t="n">
        <v>45300</v>
      </c>
      <c r="C1346" s="1" t="n">
        <v>46012</v>
      </c>
      <c r="D1346" t="inlineStr">
        <is>
          <t>VÄRMLANDS LÄN</t>
        </is>
      </c>
      <c r="E1346" t="inlineStr">
        <is>
          <t>ARVIKA</t>
        </is>
      </c>
      <c r="G1346" t="n">
        <v>0.5</v>
      </c>
      <c r="H1346" t="n">
        <v>0</v>
      </c>
      <c r="I1346" t="n">
        <v>0</v>
      </c>
      <c r="J1346" t="n">
        <v>0</v>
      </c>
      <c r="K1346" t="n">
        <v>0</v>
      </c>
      <c r="L1346" t="n">
        <v>0</v>
      </c>
      <c r="M1346" t="n">
        <v>0</v>
      </c>
      <c r="N1346" t="n">
        <v>0</v>
      </c>
      <c r="O1346" t="n">
        <v>0</v>
      </c>
      <c r="P1346" t="n">
        <v>0</v>
      </c>
      <c r="Q1346" t="n">
        <v>0</v>
      </c>
      <c r="R1346" s="2" t="inlineStr"/>
    </row>
    <row r="1347" ht="15" customHeight="1">
      <c r="A1347" t="inlineStr">
        <is>
          <t>A 13187-2025</t>
        </is>
      </c>
      <c r="B1347" s="1" t="n">
        <v>45735.38898148148</v>
      </c>
      <c r="C1347" s="1" t="n">
        <v>46012</v>
      </c>
      <c r="D1347" t="inlineStr">
        <is>
          <t>VÄRMLANDS LÄN</t>
        </is>
      </c>
      <c r="E1347" t="inlineStr">
        <is>
          <t>ARVIKA</t>
        </is>
      </c>
      <c r="F1347" t="inlineStr">
        <is>
          <t>Bergvik skog väst AB</t>
        </is>
      </c>
      <c r="G1347" t="n">
        <v>0.6</v>
      </c>
      <c r="H1347" t="n">
        <v>0</v>
      </c>
      <c r="I1347" t="n">
        <v>0</v>
      </c>
      <c r="J1347" t="n">
        <v>0</v>
      </c>
      <c r="K1347" t="n">
        <v>0</v>
      </c>
      <c r="L1347" t="n">
        <v>0</v>
      </c>
      <c r="M1347" t="n">
        <v>0</v>
      </c>
      <c r="N1347" t="n">
        <v>0</v>
      </c>
      <c r="O1347" t="n">
        <v>0</v>
      </c>
      <c r="P1347" t="n">
        <v>0</v>
      </c>
      <c r="Q1347" t="n">
        <v>0</v>
      </c>
      <c r="R1347" s="2" t="inlineStr"/>
    </row>
    <row r="1348" ht="15" customHeight="1">
      <c r="A1348" t="inlineStr">
        <is>
          <t>A 38107-2023</t>
        </is>
      </c>
      <c r="B1348" s="1" t="n">
        <v>45161</v>
      </c>
      <c r="C1348" s="1" t="n">
        <v>46012</v>
      </c>
      <c r="D1348" t="inlineStr">
        <is>
          <t>VÄRMLANDS LÄN</t>
        </is>
      </c>
      <c r="E1348" t="inlineStr">
        <is>
          <t>ARVIKA</t>
        </is>
      </c>
      <c r="G1348" t="n">
        <v>1.7</v>
      </c>
      <c r="H1348" t="n">
        <v>0</v>
      </c>
      <c r="I1348" t="n">
        <v>0</v>
      </c>
      <c r="J1348" t="n">
        <v>0</v>
      </c>
      <c r="K1348" t="n">
        <v>0</v>
      </c>
      <c r="L1348" t="n">
        <v>0</v>
      </c>
      <c r="M1348" t="n">
        <v>0</v>
      </c>
      <c r="N1348" t="n">
        <v>0</v>
      </c>
      <c r="O1348" t="n">
        <v>0</v>
      </c>
      <c r="P1348" t="n">
        <v>0</v>
      </c>
      <c r="Q1348" t="n">
        <v>0</v>
      </c>
      <c r="R1348" s="2" t="inlineStr"/>
    </row>
    <row r="1349" ht="15" customHeight="1">
      <c r="A1349" t="inlineStr">
        <is>
          <t>A 37852-2023</t>
        </is>
      </c>
      <c r="B1349" s="1" t="n">
        <v>45158</v>
      </c>
      <c r="C1349" s="1" t="n">
        <v>46012</v>
      </c>
      <c r="D1349" t="inlineStr">
        <is>
          <t>VÄRMLANDS LÄN</t>
        </is>
      </c>
      <c r="E1349" t="inlineStr">
        <is>
          <t>ARVIKA</t>
        </is>
      </c>
      <c r="G1349" t="n">
        <v>0.9</v>
      </c>
      <c r="H1349" t="n">
        <v>0</v>
      </c>
      <c r="I1349" t="n">
        <v>0</v>
      </c>
      <c r="J1349" t="n">
        <v>0</v>
      </c>
      <c r="K1349" t="n">
        <v>0</v>
      </c>
      <c r="L1349" t="n">
        <v>0</v>
      </c>
      <c r="M1349" t="n">
        <v>0</v>
      </c>
      <c r="N1349" t="n">
        <v>0</v>
      </c>
      <c r="O1349" t="n">
        <v>0</v>
      </c>
      <c r="P1349" t="n">
        <v>0</v>
      </c>
      <c r="Q1349" t="n">
        <v>0</v>
      </c>
      <c r="R1349" s="2" t="inlineStr"/>
    </row>
    <row r="1350" ht="15" customHeight="1">
      <c r="A1350" t="inlineStr">
        <is>
          <t>A 53960-2024</t>
        </is>
      </c>
      <c r="B1350" s="1" t="n">
        <v>45616.31168981481</v>
      </c>
      <c r="C1350" s="1" t="n">
        <v>46012</v>
      </c>
      <c r="D1350" t="inlineStr">
        <is>
          <t>VÄRMLANDS LÄN</t>
        </is>
      </c>
      <c r="E1350" t="inlineStr">
        <is>
          <t>ARVIKA</t>
        </is>
      </c>
      <c r="G1350" t="n">
        <v>1.6</v>
      </c>
      <c r="H1350" t="n">
        <v>0</v>
      </c>
      <c r="I1350" t="n">
        <v>0</v>
      </c>
      <c r="J1350" t="n">
        <v>0</v>
      </c>
      <c r="K1350" t="n">
        <v>0</v>
      </c>
      <c r="L1350" t="n">
        <v>0</v>
      </c>
      <c r="M1350" t="n">
        <v>0</v>
      </c>
      <c r="N1350" t="n">
        <v>0</v>
      </c>
      <c r="O1350" t="n">
        <v>0</v>
      </c>
      <c r="P1350" t="n">
        <v>0</v>
      </c>
      <c r="Q1350" t="n">
        <v>0</v>
      </c>
      <c r="R1350" s="2" t="inlineStr"/>
    </row>
    <row r="1351" ht="15" customHeight="1">
      <c r="A1351" t="inlineStr">
        <is>
          <t>A 31452-2023</t>
        </is>
      </c>
      <c r="B1351" s="1" t="n">
        <v>45114</v>
      </c>
      <c r="C1351" s="1" t="n">
        <v>46012</v>
      </c>
      <c r="D1351" t="inlineStr">
        <is>
          <t>VÄRMLANDS LÄN</t>
        </is>
      </c>
      <c r="E1351" t="inlineStr">
        <is>
          <t>ARVIKA</t>
        </is>
      </c>
      <c r="G1351" t="n">
        <v>4.7</v>
      </c>
      <c r="H1351" t="n">
        <v>0</v>
      </c>
      <c r="I1351" t="n">
        <v>0</v>
      </c>
      <c r="J1351" t="n">
        <v>0</v>
      </c>
      <c r="K1351" t="n">
        <v>0</v>
      </c>
      <c r="L1351" t="n">
        <v>0</v>
      </c>
      <c r="M1351" t="n">
        <v>0</v>
      </c>
      <c r="N1351" t="n">
        <v>0</v>
      </c>
      <c r="O1351" t="n">
        <v>0</v>
      </c>
      <c r="P1351" t="n">
        <v>0</v>
      </c>
      <c r="Q1351" t="n">
        <v>0</v>
      </c>
      <c r="R1351" s="2" t="inlineStr"/>
    </row>
    <row r="1352" ht="15" customHeight="1">
      <c r="A1352" t="inlineStr">
        <is>
          <t>A 17033-2024</t>
        </is>
      </c>
      <c r="B1352" s="1" t="n">
        <v>45412.39658564814</v>
      </c>
      <c r="C1352" s="1" t="n">
        <v>46012</v>
      </c>
      <c r="D1352" t="inlineStr">
        <is>
          <t>VÄRMLANDS LÄN</t>
        </is>
      </c>
      <c r="E1352" t="inlineStr">
        <is>
          <t>ARVIKA</t>
        </is>
      </c>
      <c r="F1352" t="inlineStr">
        <is>
          <t>Bergvik skog väst AB</t>
        </is>
      </c>
      <c r="G1352" t="n">
        <v>2.7</v>
      </c>
      <c r="H1352" t="n">
        <v>0</v>
      </c>
      <c r="I1352" t="n">
        <v>0</v>
      </c>
      <c r="J1352" t="n">
        <v>0</v>
      </c>
      <c r="K1352" t="n">
        <v>0</v>
      </c>
      <c r="L1352" t="n">
        <v>0</v>
      </c>
      <c r="M1352" t="n">
        <v>0</v>
      </c>
      <c r="N1352" t="n">
        <v>0</v>
      </c>
      <c r="O1352" t="n">
        <v>0</v>
      </c>
      <c r="P1352" t="n">
        <v>0</v>
      </c>
      <c r="Q1352" t="n">
        <v>0</v>
      </c>
      <c r="R1352" s="2" t="inlineStr"/>
    </row>
    <row r="1353" ht="15" customHeight="1">
      <c r="A1353" t="inlineStr">
        <is>
          <t>A 10493-2024</t>
        </is>
      </c>
      <c r="B1353" s="1" t="n">
        <v>45366</v>
      </c>
      <c r="C1353" s="1" t="n">
        <v>46012</v>
      </c>
      <c r="D1353" t="inlineStr">
        <is>
          <t>VÄRMLANDS LÄN</t>
        </is>
      </c>
      <c r="E1353" t="inlineStr">
        <is>
          <t>ARVIKA</t>
        </is>
      </c>
      <c r="G1353" t="n">
        <v>2</v>
      </c>
      <c r="H1353" t="n">
        <v>0</v>
      </c>
      <c r="I1353" t="n">
        <v>0</v>
      </c>
      <c r="J1353" t="n">
        <v>0</v>
      </c>
      <c r="K1353" t="n">
        <v>0</v>
      </c>
      <c r="L1353" t="n">
        <v>0</v>
      </c>
      <c r="M1353" t="n">
        <v>0</v>
      </c>
      <c r="N1353" t="n">
        <v>0</v>
      </c>
      <c r="O1353" t="n">
        <v>0</v>
      </c>
      <c r="P1353" t="n">
        <v>0</v>
      </c>
      <c r="Q1353" t="n">
        <v>0</v>
      </c>
      <c r="R1353" s="2" t="inlineStr"/>
    </row>
    <row r="1354" ht="15" customHeight="1">
      <c r="A1354" t="inlineStr">
        <is>
          <t>A 20357-2025</t>
        </is>
      </c>
      <c r="B1354" s="1" t="n">
        <v>45775</v>
      </c>
      <c r="C1354" s="1" t="n">
        <v>46012</v>
      </c>
      <c r="D1354" t="inlineStr">
        <is>
          <t>VÄRMLANDS LÄN</t>
        </is>
      </c>
      <c r="E1354" t="inlineStr">
        <is>
          <t>ARVIKA</t>
        </is>
      </c>
      <c r="F1354" t="inlineStr">
        <is>
          <t>Bergvik skog väst AB</t>
        </is>
      </c>
      <c r="G1354" t="n">
        <v>2.4</v>
      </c>
      <c r="H1354" t="n">
        <v>0</v>
      </c>
      <c r="I1354" t="n">
        <v>0</v>
      </c>
      <c r="J1354" t="n">
        <v>0</v>
      </c>
      <c r="K1354" t="n">
        <v>0</v>
      </c>
      <c r="L1354" t="n">
        <v>0</v>
      </c>
      <c r="M1354" t="n">
        <v>0</v>
      </c>
      <c r="N1354" t="n">
        <v>0</v>
      </c>
      <c r="O1354" t="n">
        <v>0</v>
      </c>
      <c r="P1354" t="n">
        <v>0</v>
      </c>
      <c r="Q1354" t="n">
        <v>0</v>
      </c>
      <c r="R1354" s="2" t="inlineStr"/>
    </row>
    <row r="1355" ht="15" customHeight="1">
      <c r="A1355" t="inlineStr">
        <is>
          <t>A 2702-2025</t>
        </is>
      </c>
      <c r="B1355" s="1" t="n">
        <v>45677</v>
      </c>
      <c r="C1355" s="1" t="n">
        <v>46012</v>
      </c>
      <c r="D1355" t="inlineStr">
        <is>
          <t>VÄRMLANDS LÄN</t>
        </is>
      </c>
      <c r="E1355" t="inlineStr">
        <is>
          <t>ARVIKA</t>
        </is>
      </c>
      <c r="G1355" t="n">
        <v>4.8</v>
      </c>
      <c r="H1355" t="n">
        <v>0</v>
      </c>
      <c r="I1355" t="n">
        <v>0</v>
      </c>
      <c r="J1355" t="n">
        <v>0</v>
      </c>
      <c r="K1355" t="n">
        <v>0</v>
      </c>
      <c r="L1355" t="n">
        <v>0</v>
      </c>
      <c r="M1355" t="n">
        <v>0</v>
      </c>
      <c r="N1355" t="n">
        <v>0</v>
      </c>
      <c r="O1355" t="n">
        <v>0</v>
      </c>
      <c r="P1355" t="n">
        <v>0</v>
      </c>
      <c r="Q1355" t="n">
        <v>0</v>
      </c>
      <c r="R1355" s="2" t="inlineStr"/>
    </row>
    <row r="1356" ht="15" customHeight="1">
      <c r="A1356" t="inlineStr">
        <is>
          <t>A 929-2025</t>
        </is>
      </c>
      <c r="B1356" s="1" t="n">
        <v>45665.84310185185</v>
      </c>
      <c r="C1356" s="1" t="n">
        <v>46012</v>
      </c>
      <c r="D1356" t="inlineStr">
        <is>
          <t>VÄRMLANDS LÄN</t>
        </is>
      </c>
      <c r="E1356" t="inlineStr">
        <is>
          <t>ARVIKA</t>
        </is>
      </c>
      <c r="G1356" t="n">
        <v>0.5</v>
      </c>
      <c r="H1356" t="n">
        <v>0</v>
      </c>
      <c r="I1356" t="n">
        <v>0</v>
      </c>
      <c r="J1356" t="n">
        <v>0</v>
      </c>
      <c r="K1356" t="n">
        <v>0</v>
      </c>
      <c r="L1356" t="n">
        <v>0</v>
      </c>
      <c r="M1356" t="n">
        <v>0</v>
      </c>
      <c r="N1356" t="n">
        <v>0</v>
      </c>
      <c r="O1356" t="n">
        <v>0</v>
      </c>
      <c r="P1356" t="n">
        <v>0</v>
      </c>
      <c r="Q1356" t="n">
        <v>0</v>
      </c>
      <c r="R1356" s="2" t="inlineStr"/>
    </row>
    <row r="1357" ht="15" customHeight="1">
      <c r="A1357" t="inlineStr">
        <is>
          <t>A 31532-2023</t>
        </is>
      </c>
      <c r="B1357" s="1" t="n">
        <v>45116.81061342593</v>
      </c>
      <c r="C1357" s="1" t="n">
        <v>46012</v>
      </c>
      <c r="D1357" t="inlineStr">
        <is>
          <t>VÄRMLANDS LÄN</t>
        </is>
      </c>
      <c r="E1357" t="inlineStr">
        <is>
          <t>ARVIKA</t>
        </is>
      </c>
      <c r="G1357" t="n">
        <v>2.5</v>
      </c>
      <c r="H1357" t="n">
        <v>0</v>
      </c>
      <c r="I1357" t="n">
        <v>0</v>
      </c>
      <c r="J1357" t="n">
        <v>0</v>
      </c>
      <c r="K1357" t="n">
        <v>0</v>
      </c>
      <c r="L1357" t="n">
        <v>0</v>
      </c>
      <c r="M1357" t="n">
        <v>0</v>
      </c>
      <c r="N1357" t="n">
        <v>0</v>
      </c>
      <c r="O1357" t="n">
        <v>0</v>
      </c>
      <c r="P1357" t="n">
        <v>0</v>
      </c>
      <c r="Q1357" t="n">
        <v>0</v>
      </c>
      <c r="R1357" s="2" t="inlineStr"/>
    </row>
    <row r="1358" ht="15" customHeight="1">
      <c r="A1358" t="inlineStr">
        <is>
          <t>A 5945-2025</t>
        </is>
      </c>
      <c r="B1358" s="1" t="n">
        <v>45695</v>
      </c>
      <c r="C1358" s="1" t="n">
        <v>46012</v>
      </c>
      <c r="D1358" t="inlineStr">
        <is>
          <t>VÄRMLANDS LÄN</t>
        </is>
      </c>
      <c r="E1358" t="inlineStr">
        <is>
          <t>ARVIKA</t>
        </is>
      </c>
      <c r="G1358" t="n">
        <v>0.5</v>
      </c>
      <c r="H1358" t="n">
        <v>0</v>
      </c>
      <c r="I1358" t="n">
        <v>0</v>
      </c>
      <c r="J1358" t="n">
        <v>0</v>
      </c>
      <c r="K1358" t="n">
        <v>0</v>
      </c>
      <c r="L1358" t="n">
        <v>0</v>
      </c>
      <c r="M1358" t="n">
        <v>0</v>
      </c>
      <c r="N1358" t="n">
        <v>0</v>
      </c>
      <c r="O1358" t="n">
        <v>0</v>
      </c>
      <c r="P1358" t="n">
        <v>0</v>
      </c>
      <c r="Q1358" t="n">
        <v>0</v>
      </c>
      <c r="R1358" s="2" t="inlineStr"/>
    </row>
    <row r="1359" ht="15" customHeight="1">
      <c r="A1359" t="inlineStr">
        <is>
          <t>A 25275-2024</t>
        </is>
      </c>
      <c r="B1359" s="1" t="n">
        <v>45462.62945601852</v>
      </c>
      <c r="C1359" s="1" t="n">
        <v>46012</v>
      </c>
      <c r="D1359" t="inlineStr">
        <is>
          <t>VÄRMLANDS LÄN</t>
        </is>
      </c>
      <c r="E1359" t="inlineStr">
        <is>
          <t>ARVIKA</t>
        </is>
      </c>
      <c r="F1359" t="inlineStr">
        <is>
          <t>Bergvik skog väst AB</t>
        </is>
      </c>
      <c r="G1359" t="n">
        <v>3.3</v>
      </c>
      <c r="H1359" t="n">
        <v>0</v>
      </c>
      <c r="I1359" t="n">
        <v>0</v>
      </c>
      <c r="J1359" t="n">
        <v>0</v>
      </c>
      <c r="K1359" t="n">
        <v>0</v>
      </c>
      <c r="L1359" t="n">
        <v>0</v>
      </c>
      <c r="M1359" t="n">
        <v>0</v>
      </c>
      <c r="N1359" t="n">
        <v>0</v>
      </c>
      <c r="O1359" t="n">
        <v>0</v>
      </c>
      <c r="P1359" t="n">
        <v>0</v>
      </c>
      <c r="Q1359" t="n">
        <v>0</v>
      </c>
      <c r="R1359" s="2" t="inlineStr"/>
    </row>
    <row r="1360" ht="15" customHeight="1">
      <c r="A1360" t="inlineStr">
        <is>
          <t>A 5332-2024</t>
        </is>
      </c>
      <c r="B1360" s="1" t="n">
        <v>45331.43228009259</v>
      </c>
      <c r="C1360" s="1" t="n">
        <v>46012</v>
      </c>
      <c r="D1360" t="inlineStr">
        <is>
          <t>VÄRMLANDS LÄN</t>
        </is>
      </c>
      <c r="E1360" t="inlineStr">
        <is>
          <t>ARVIKA</t>
        </is>
      </c>
      <c r="F1360" t="inlineStr">
        <is>
          <t>Bergvik skog väst AB</t>
        </is>
      </c>
      <c r="G1360" t="n">
        <v>3.3</v>
      </c>
      <c r="H1360" t="n">
        <v>0</v>
      </c>
      <c r="I1360" t="n">
        <v>0</v>
      </c>
      <c r="J1360" t="n">
        <v>0</v>
      </c>
      <c r="K1360" t="n">
        <v>0</v>
      </c>
      <c r="L1360" t="n">
        <v>0</v>
      </c>
      <c r="M1360" t="n">
        <v>0</v>
      </c>
      <c r="N1360" t="n">
        <v>0</v>
      </c>
      <c r="O1360" t="n">
        <v>0</v>
      </c>
      <c r="P1360" t="n">
        <v>0</v>
      </c>
      <c r="Q1360" t="n">
        <v>0</v>
      </c>
      <c r="R1360" s="2" t="inlineStr"/>
    </row>
    <row r="1361" ht="15" customHeight="1">
      <c r="A1361" t="inlineStr">
        <is>
          <t>A 26056-2024</t>
        </is>
      </c>
      <c r="B1361" s="1" t="n">
        <v>45468</v>
      </c>
      <c r="C1361" s="1" t="n">
        <v>46012</v>
      </c>
      <c r="D1361" t="inlineStr">
        <is>
          <t>VÄRMLANDS LÄN</t>
        </is>
      </c>
      <c r="E1361" t="inlineStr">
        <is>
          <t>ARVIKA</t>
        </is>
      </c>
      <c r="F1361" t="inlineStr">
        <is>
          <t>Bergvik skog väst AB</t>
        </is>
      </c>
      <c r="G1361" t="n">
        <v>1.7</v>
      </c>
      <c r="H1361" t="n">
        <v>0</v>
      </c>
      <c r="I1361" t="n">
        <v>0</v>
      </c>
      <c r="J1361" t="n">
        <v>0</v>
      </c>
      <c r="K1361" t="n">
        <v>0</v>
      </c>
      <c r="L1361" t="n">
        <v>0</v>
      </c>
      <c r="M1361" t="n">
        <v>0</v>
      </c>
      <c r="N1361" t="n">
        <v>0</v>
      </c>
      <c r="O1361" t="n">
        <v>0</v>
      </c>
      <c r="P1361" t="n">
        <v>0</v>
      </c>
      <c r="Q1361" t="n">
        <v>0</v>
      </c>
      <c r="R1361" s="2" t="inlineStr"/>
    </row>
    <row r="1362" ht="15" customHeight="1">
      <c r="A1362" t="inlineStr">
        <is>
          <t>A 16151-2025</t>
        </is>
      </c>
      <c r="B1362" s="1" t="n">
        <v>45750</v>
      </c>
      <c r="C1362" s="1" t="n">
        <v>46012</v>
      </c>
      <c r="D1362" t="inlineStr">
        <is>
          <t>VÄRMLANDS LÄN</t>
        </is>
      </c>
      <c r="E1362" t="inlineStr">
        <is>
          <t>ARVIKA</t>
        </is>
      </c>
      <c r="F1362" t="inlineStr">
        <is>
          <t>Bergvik skog väst AB</t>
        </is>
      </c>
      <c r="G1362" t="n">
        <v>2.3</v>
      </c>
      <c r="H1362" t="n">
        <v>0</v>
      </c>
      <c r="I1362" t="n">
        <v>0</v>
      </c>
      <c r="J1362" t="n">
        <v>0</v>
      </c>
      <c r="K1362" t="n">
        <v>0</v>
      </c>
      <c r="L1362" t="n">
        <v>0</v>
      </c>
      <c r="M1362" t="n">
        <v>0</v>
      </c>
      <c r="N1362" t="n">
        <v>0</v>
      </c>
      <c r="O1362" t="n">
        <v>0</v>
      </c>
      <c r="P1362" t="n">
        <v>0</v>
      </c>
      <c r="Q1362" t="n">
        <v>0</v>
      </c>
      <c r="R1362" s="2" t="inlineStr"/>
    </row>
    <row r="1363" ht="15" customHeight="1">
      <c r="A1363" t="inlineStr">
        <is>
          <t>A 48855-2024</t>
        </is>
      </c>
      <c r="B1363" s="1" t="n">
        <v>45593.86349537037</v>
      </c>
      <c r="C1363" s="1" t="n">
        <v>46012</v>
      </c>
      <c r="D1363" t="inlineStr">
        <is>
          <t>VÄRMLANDS LÄN</t>
        </is>
      </c>
      <c r="E1363" t="inlineStr">
        <is>
          <t>ARVIKA</t>
        </is>
      </c>
      <c r="F1363" t="inlineStr">
        <is>
          <t>Kommuner</t>
        </is>
      </c>
      <c r="G1363" t="n">
        <v>12.9</v>
      </c>
      <c r="H1363" t="n">
        <v>0</v>
      </c>
      <c r="I1363" t="n">
        <v>0</v>
      </c>
      <c r="J1363" t="n">
        <v>0</v>
      </c>
      <c r="K1363" t="n">
        <v>0</v>
      </c>
      <c r="L1363" t="n">
        <v>0</v>
      </c>
      <c r="M1363" t="n">
        <v>0</v>
      </c>
      <c r="N1363" t="n">
        <v>0</v>
      </c>
      <c r="O1363" t="n">
        <v>0</v>
      </c>
      <c r="P1363" t="n">
        <v>0</v>
      </c>
      <c r="Q1363" t="n">
        <v>0</v>
      </c>
      <c r="R1363" s="2" t="inlineStr"/>
    </row>
    <row r="1364" ht="15" customHeight="1">
      <c r="A1364" t="inlineStr">
        <is>
          <t>A 19158-2025</t>
        </is>
      </c>
      <c r="B1364" s="1" t="n">
        <v>45769</v>
      </c>
      <c r="C1364" s="1" t="n">
        <v>46012</v>
      </c>
      <c r="D1364" t="inlineStr">
        <is>
          <t>VÄRMLANDS LÄN</t>
        </is>
      </c>
      <c r="E1364" t="inlineStr">
        <is>
          <t>ARVIKA</t>
        </is>
      </c>
      <c r="F1364" t="inlineStr">
        <is>
          <t>Bergvik skog väst AB</t>
        </is>
      </c>
      <c r="G1364" t="n">
        <v>3.4</v>
      </c>
      <c r="H1364" t="n">
        <v>0</v>
      </c>
      <c r="I1364" t="n">
        <v>0</v>
      </c>
      <c r="J1364" t="n">
        <v>0</v>
      </c>
      <c r="K1364" t="n">
        <v>0</v>
      </c>
      <c r="L1364" t="n">
        <v>0</v>
      </c>
      <c r="M1364" t="n">
        <v>0</v>
      </c>
      <c r="N1364" t="n">
        <v>0</v>
      </c>
      <c r="O1364" t="n">
        <v>0</v>
      </c>
      <c r="P1364" t="n">
        <v>0</v>
      </c>
      <c r="Q1364" t="n">
        <v>0</v>
      </c>
      <c r="R1364" s="2" t="inlineStr"/>
    </row>
    <row r="1365" ht="15" customHeight="1">
      <c r="A1365" t="inlineStr">
        <is>
          <t>A 22934-2023</t>
        </is>
      </c>
      <c r="B1365" s="1" t="n">
        <v>45072</v>
      </c>
      <c r="C1365" s="1" t="n">
        <v>46012</v>
      </c>
      <c r="D1365" t="inlineStr">
        <is>
          <t>VÄRMLANDS LÄN</t>
        </is>
      </c>
      <c r="E1365" t="inlineStr">
        <is>
          <t>ARVIKA</t>
        </is>
      </c>
      <c r="G1365" t="n">
        <v>1.1</v>
      </c>
      <c r="H1365" t="n">
        <v>0</v>
      </c>
      <c r="I1365" t="n">
        <v>0</v>
      </c>
      <c r="J1365" t="n">
        <v>0</v>
      </c>
      <c r="K1365" t="n">
        <v>0</v>
      </c>
      <c r="L1365" t="n">
        <v>0</v>
      </c>
      <c r="M1365" t="n">
        <v>0</v>
      </c>
      <c r="N1365" t="n">
        <v>0</v>
      </c>
      <c r="O1365" t="n">
        <v>0</v>
      </c>
      <c r="P1365" t="n">
        <v>0</v>
      </c>
      <c r="Q1365" t="n">
        <v>0</v>
      </c>
      <c r="R1365" s="2" t="inlineStr"/>
    </row>
    <row r="1366" ht="15" customHeight="1">
      <c r="A1366" t="inlineStr">
        <is>
          <t>A 11969-2025</t>
        </is>
      </c>
      <c r="B1366" s="1" t="n">
        <v>45728.58295138889</v>
      </c>
      <c r="C1366" s="1" t="n">
        <v>46012</v>
      </c>
      <c r="D1366" t="inlineStr">
        <is>
          <t>VÄRMLANDS LÄN</t>
        </is>
      </c>
      <c r="E1366" t="inlineStr">
        <is>
          <t>ARVIKA</t>
        </is>
      </c>
      <c r="G1366" t="n">
        <v>4</v>
      </c>
      <c r="H1366" t="n">
        <v>0</v>
      </c>
      <c r="I1366" t="n">
        <v>0</v>
      </c>
      <c r="J1366" t="n">
        <v>0</v>
      </c>
      <c r="K1366" t="n">
        <v>0</v>
      </c>
      <c r="L1366" t="n">
        <v>0</v>
      </c>
      <c r="M1366" t="n">
        <v>0</v>
      </c>
      <c r="N1366" t="n">
        <v>0</v>
      </c>
      <c r="O1366" t="n">
        <v>0</v>
      </c>
      <c r="P1366" t="n">
        <v>0</v>
      </c>
      <c r="Q1366" t="n">
        <v>0</v>
      </c>
      <c r="R1366" s="2" t="inlineStr"/>
    </row>
    <row r="1367" ht="15" customHeight="1">
      <c r="A1367" t="inlineStr">
        <is>
          <t>A 29785-2024</t>
        </is>
      </c>
      <c r="B1367" s="1" t="n">
        <v>45485</v>
      </c>
      <c r="C1367" s="1" t="n">
        <v>46012</v>
      </c>
      <c r="D1367" t="inlineStr">
        <is>
          <t>VÄRMLANDS LÄN</t>
        </is>
      </c>
      <c r="E1367" t="inlineStr">
        <is>
          <t>ARVIKA</t>
        </is>
      </c>
      <c r="G1367" t="n">
        <v>0.8</v>
      </c>
      <c r="H1367" t="n">
        <v>0</v>
      </c>
      <c r="I1367" t="n">
        <v>0</v>
      </c>
      <c r="J1367" t="n">
        <v>0</v>
      </c>
      <c r="K1367" t="n">
        <v>0</v>
      </c>
      <c r="L1367" t="n">
        <v>0</v>
      </c>
      <c r="M1367" t="n">
        <v>0</v>
      </c>
      <c r="N1367" t="n">
        <v>0</v>
      </c>
      <c r="O1367" t="n">
        <v>0</v>
      </c>
      <c r="P1367" t="n">
        <v>0</v>
      </c>
      <c r="Q1367" t="n">
        <v>0</v>
      </c>
      <c r="R1367" s="2" t="inlineStr"/>
    </row>
    <row r="1368" ht="15" customHeight="1">
      <c r="A1368" t="inlineStr">
        <is>
          <t>A 45063-2023</t>
        </is>
      </c>
      <c r="B1368" s="1" t="n">
        <v>45191.38239583333</v>
      </c>
      <c r="C1368" s="1" t="n">
        <v>46012</v>
      </c>
      <c r="D1368" t="inlineStr">
        <is>
          <t>VÄRMLANDS LÄN</t>
        </is>
      </c>
      <c r="E1368" t="inlineStr">
        <is>
          <t>ARVIKA</t>
        </is>
      </c>
      <c r="G1368" t="n">
        <v>4.8</v>
      </c>
      <c r="H1368" t="n">
        <v>0</v>
      </c>
      <c r="I1368" t="n">
        <v>0</v>
      </c>
      <c r="J1368" t="n">
        <v>0</v>
      </c>
      <c r="K1368" t="n">
        <v>0</v>
      </c>
      <c r="L1368" t="n">
        <v>0</v>
      </c>
      <c r="M1368" t="n">
        <v>0</v>
      </c>
      <c r="N1368" t="n">
        <v>0</v>
      </c>
      <c r="O1368" t="n">
        <v>0</v>
      </c>
      <c r="P1368" t="n">
        <v>0</v>
      </c>
      <c r="Q1368" t="n">
        <v>0</v>
      </c>
      <c r="R1368" s="2" t="inlineStr"/>
    </row>
    <row r="1369" ht="15" customHeight="1">
      <c r="A1369" t="inlineStr">
        <is>
          <t>A 36418-2024</t>
        </is>
      </c>
      <c r="B1369" s="1" t="n">
        <v>45536.55913194444</v>
      </c>
      <c r="C1369" s="1" t="n">
        <v>46012</v>
      </c>
      <c r="D1369" t="inlineStr">
        <is>
          <t>VÄRMLANDS LÄN</t>
        </is>
      </c>
      <c r="E1369" t="inlineStr">
        <is>
          <t>ARVIKA</t>
        </is>
      </c>
      <c r="G1369" t="n">
        <v>2.8</v>
      </c>
      <c r="H1369" t="n">
        <v>0</v>
      </c>
      <c r="I1369" t="n">
        <v>0</v>
      </c>
      <c r="J1369" t="n">
        <v>0</v>
      </c>
      <c r="K1369" t="n">
        <v>0</v>
      </c>
      <c r="L1369" t="n">
        <v>0</v>
      </c>
      <c r="M1369" t="n">
        <v>0</v>
      </c>
      <c r="N1369" t="n">
        <v>0</v>
      </c>
      <c r="O1369" t="n">
        <v>0</v>
      </c>
      <c r="P1369" t="n">
        <v>0</v>
      </c>
      <c r="Q1369" t="n">
        <v>0</v>
      </c>
      <c r="R1369" s="2" t="inlineStr"/>
    </row>
    <row r="1370" ht="15" customHeight="1">
      <c r="A1370" t="inlineStr">
        <is>
          <t>A 925-2025</t>
        </is>
      </c>
      <c r="B1370" s="1" t="n">
        <v>45665.82885416667</v>
      </c>
      <c r="C1370" s="1" t="n">
        <v>46012</v>
      </c>
      <c r="D1370" t="inlineStr">
        <is>
          <t>VÄRMLANDS LÄN</t>
        </is>
      </c>
      <c r="E1370" t="inlineStr">
        <is>
          <t>ARVIKA</t>
        </is>
      </c>
      <c r="G1370" t="n">
        <v>1.7</v>
      </c>
      <c r="H1370" t="n">
        <v>0</v>
      </c>
      <c r="I1370" t="n">
        <v>0</v>
      </c>
      <c r="J1370" t="n">
        <v>0</v>
      </c>
      <c r="K1370" t="n">
        <v>0</v>
      </c>
      <c r="L1370" t="n">
        <v>0</v>
      </c>
      <c r="M1370" t="n">
        <v>0</v>
      </c>
      <c r="N1370" t="n">
        <v>0</v>
      </c>
      <c r="O1370" t="n">
        <v>0</v>
      </c>
      <c r="P1370" t="n">
        <v>0</v>
      </c>
      <c r="Q1370" t="n">
        <v>0</v>
      </c>
      <c r="R1370" s="2" t="inlineStr"/>
    </row>
    <row r="1371" ht="15" customHeight="1">
      <c r="A1371" t="inlineStr">
        <is>
          <t>A 927-2025</t>
        </is>
      </c>
      <c r="B1371" s="1" t="n">
        <v>45665.83350694444</v>
      </c>
      <c r="C1371" s="1" t="n">
        <v>46012</v>
      </c>
      <c r="D1371" t="inlineStr">
        <is>
          <t>VÄRMLANDS LÄN</t>
        </is>
      </c>
      <c r="E1371" t="inlineStr">
        <is>
          <t>ARVIKA</t>
        </is>
      </c>
      <c r="G1371" t="n">
        <v>3</v>
      </c>
      <c r="H1371" t="n">
        <v>0</v>
      </c>
      <c r="I1371" t="n">
        <v>0</v>
      </c>
      <c r="J1371" t="n">
        <v>0</v>
      </c>
      <c r="K1371" t="n">
        <v>0</v>
      </c>
      <c r="L1371" t="n">
        <v>0</v>
      </c>
      <c r="M1371" t="n">
        <v>0</v>
      </c>
      <c r="N1371" t="n">
        <v>0</v>
      </c>
      <c r="O1371" t="n">
        <v>0</v>
      </c>
      <c r="P1371" t="n">
        <v>0</v>
      </c>
      <c r="Q1371" t="n">
        <v>0</v>
      </c>
      <c r="R1371" s="2" t="inlineStr"/>
    </row>
    <row r="1372" ht="15" customHeight="1">
      <c r="A1372" t="inlineStr">
        <is>
          <t>A 29494-2024</t>
        </is>
      </c>
      <c r="B1372" s="1" t="n">
        <v>45484.36981481482</v>
      </c>
      <c r="C1372" s="1" t="n">
        <v>46012</v>
      </c>
      <c r="D1372" t="inlineStr">
        <is>
          <t>VÄRMLANDS LÄN</t>
        </is>
      </c>
      <c r="E1372" t="inlineStr">
        <is>
          <t>ARVIKA</t>
        </is>
      </c>
      <c r="G1372" t="n">
        <v>3.9</v>
      </c>
      <c r="H1372" t="n">
        <v>0</v>
      </c>
      <c r="I1372" t="n">
        <v>0</v>
      </c>
      <c r="J1372" t="n">
        <v>0</v>
      </c>
      <c r="K1372" t="n">
        <v>0</v>
      </c>
      <c r="L1372" t="n">
        <v>0</v>
      </c>
      <c r="M1372" t="n">
        <v>0</v>
      </c>
      <c r="N1372" t="n">
        <v>0</v>
      </c>
      <c r="O1372" t="n">
        <v>0</v>
      </c>
      <c r="P1372" t="n">
        <v>0</v>
      </c>
      <c r="Q1372" t="n">
        <v>0</v>
      </c>
      <c r="R1372" s="2" t="inlineStr"/>
    </row>
    <row r="1373" ht="15" customHeight="1">
      <c r="A1373" t="inlineStr">
        <is>
          <t>A 19928-2024</t>
        </is>
      </c>
      <c r="B1373" s="1" t="n">
        <v>45433.59773148148</v>
      </c>
      <c r="C1373" s="1" t="n">
        <v>46012</v>
      </c>
      <c r="D1373" t="inlineStr">
        <is>
          <t>VÄRMLANDS LÄN</t>
        </is>
      </c>
      <c r="E1373" t="inlineStr">
        <is>
          <t>ARVIKA</t>
        </is>
      </c>
      <c r="F1373" t="inlineStr">
        <is>
          <t>Bergvik skog väst AB</t>
        </is>
      </c>
      <c r="G1373" t="n">
        <v>0.4</v>
      </c>
      <c r="H1373" t="n">
        <v>0</v>
      </c>
      <c r="I1373" t="n">
        <v>0</v>
      </c>
      <c r="J1373" t="n">
        <v>0</v>
      </c>
      <c r="K1373" t="n">
        <v>0</v>
      </c>
      <c r="L1373" t="n">
        <v>0</v>
      </c>
      <c r="M1373" t="n">
        <v>0</v>
      </c>
      <c r="N1373" t="n">
        <v>0</v>
      </c>
      <c r="O1373" t="n">
        <v>0</v>
      </c>
      <c r="P1373" t="n">
        <v>0</v>
      </c>
      <c r="Q1373" t="n">
        <v>0</v>
      </c>
      <c r="R1373" s="2" t="inlineStr"/>
    </row>
    <row r="1374" ht="15" customHeight="1">
      <c r="A1374" t="inlineStr">
        <is>
          <t>A 19930-2024</t>
        </is>
      </c>
      <c r="B1374" s="1" t="n">
        <v>45433</v>
      </c>
      <c r="C1374" s="1" t="n">
        <v>46012</v>
      </c>
      <c r="D1374" t="inlineStr">
        <is>
          <t>VÄRMLANDS LÄN</t>
        </is>
      </c>
      <c r="E1374" t="inlineStr">
        <is>
          <t>ARVIKA</t>
        </is>
      </c>
      <c r="G1374" t="n">
        <v>0.5</v>
      </c>
      <c r="H1374" t="n">
        <v>0</v>
      </c>
      <c r="I1374" t="n">
        <v>0</v>
      </c>
      <c r="J1374" t="n">
        <v>0</v>
      </c>
      <c r="K1374" t="n">
        <v>0</v>
      </c>
      <c r="L1374" t="n">
        <v>0</v>
      </c>
      <c r="M1374" t="n">
        <v>0</v>
      </c>
      <c r="N1374" t="n">
        <v>0</v>
      </c>
      <c r="O1374" t="n">
        <v>0</v>
      </c>
      <c r="P1374" t="n">
        <v>0</v>
      </c>
      <c r="Q1374" t="n">
        <v>0</v>
      </c>
      <c r="R1374" s="2" t="inlineStr"/>
    </row>
    <row r="1375" ht="15" customHeight="1">
      <c r="A1375" t="inlineStr">
        <is>
          <t>A 2156-2023</t>
        </is>
      </c>
      <c r="B1375" s="1" t="n">
        <v>44941.60054398148</v>
      </c>
      <c r="C1375" s="1" t="n">
        <v>46012</v>
      </c>
      <c r="D1375" t="inlineStr">
        <is>
          <t>VÄRMLANDS LÄN</t>
        </is>
      </c>
      <c r="E1375" t="inlineStr">
        <is>
          <t>ARVIKA</t>
        </is>
      </c>
      <c r="G1375" t="n">
        <v>5.1</v>
      </c>
      <c r="H1375" t="n">
        <v>0</v>
      </c>
      <c r="I1375" t="n">
        <v>0</v>
      </c>
      <c r="J1375" t="n">
        <v>0</v>
      </c>
      <c r="K1375" t="n">
        <v>0</v>
      </c>
      <c r="L1375" t="n">
        <v>0</v>
      </c>
      <c r="M1375" t="n">
        <v>0</v>
      </c>
      <c r="N1375" t="n">
        <v>0</v>
      </c>
      <c r="O1375" t="n">
        <v>0</v>
      </c>
      <c r="P1375" t="n">
        <v>0</v>
      </c>
      <c r="Q1375" t="n">
        <v>0</v>
      </c>
      <c r="R1375" s="2" t="inlineStr"/>
    </row>
    <row r="1376" ht="15" customHeight="1">
      <c r="A1376" t="inlineStr">
        <is>
          <t>A 47376-2023</t>
        </is>
      </c>
      <c r="B1376" s="1" t="n">
        <v>45202.61515046296</v>
      </c>
      <c r="C1376" s="1" t="n">
        <v>46012</v>
      </c>
      <c r="D1376" t="inlineStr">
        <is>
          <t>VÄRMLANDS LÄN</t>
        </is>
      </c>
      <c r="E1376" t="inlineStr">
        <is>
          <t>ARVIKA</t>
        </is>
      </c>
      <c r="G1376" t="n">
        <v>2</v>
      </c>
      <c r="H1376" t="n">
        <v>0</v>
      </c>
      <c r="I1376" t="n">
        <v>0</v>
      </c>
      <c r="J1376" t="n">
        <v>0</v>
      </c>
      <c r="K1376" t="n">
        <v>0</v>
      </c>
      <c r="L1376" t="n">
        <v>0</v>
      </c>
      <c r="M1376" t="n">
        <v>0</v>
      </c>
      <c r="N1376" t="n">
        <v>0</v>
      </c>
      <c r="O1376" t="n">
        <v>0</v>
      </c>
      <c r="P1376" t="n">
        <v>0</v>
      </c>
      <c r="Q1376" t="n">
        <v>0</v>
      </c>
      <c r="R1376" s="2" t="inlineStr"/>
    </row>
    <row r="1377" ht="15" customHeight="1">
      <c r="A1377" t="inlineStr">
        <is>
          <t>A 47380-2023</t>
        </is>
      </c>
      <c r="B1377" s="1" t="n">
        <v>45202.61791666667</v>
      </c>
      <c r="C1377" s="1" t="n">
        <v>46012</v>
      </c>
      <c r="D1377" t="inlineStr">
        <is>
          <t>VÄRMLANDS LÄN</t>
        </is>
      </c>
      <c r="E1377" t="inlineStr">
        <is>
          <t>ARVIKA</t>
        </is>
      </c>
      <c r="G1377" t="n">
        <v>1.2</v>
      </c>
      <c r="H1377" t="n">
        <v>0</v>
      </c>
      <c r="I1377" t="n">
        <v>0</v>
      </c>
      <c r="J1377" t="n">
        <v>0</v>
      </c>
      <c r="K1377" t="n">
        <v>0</v>
      </c>
      <c r="L1377" t="n">
        <v>0</v>
      </c>
      <c r="M1377" t="n">
        <v>0</v>
      </c>
      <c r="N1377" t="n">
        <v>0</v>
      </c>
      <c r="O1377" t="n">
        <v>0</v>
      </c>
      <c r="P1377" t="n">
        <v>0</v>
      </c>
      <c r="Q1377" t="n">
        <v>0</v>
      </c>
      <c r="R1377" s="2" t="inlineStr"/>
    </row>
    <row r="1378" ht="15" customHeight="1">
      <c r="A1378" t="inlineStr">
        <is>
          <t>A 2106-2024</t>
        </is>
      </c>
      <c r="B1378" s="1" t="n">
        <v>45309.46850694445</v>
      </c>
      <c r="C1378" s="1" t="n">
        <v>46012</v>
      </c>
      <c r="D1378" t="inlineStr">
        <is>
          <t>VÄRMLANDS LÄN</t>
        </is>
      </c>
      <c r="E1378" t="inlineStr">
        <is>
          <t>ARVIKA</t>
        </is>
      </c>
      <c r="G1378" t="n">
        <v>0.6</v>
      </c>
      <c r="H1378" t="n">
        <v>0</v>
      </c>
      <c r="I1378" t="n">
        <v>0</v>
      </c>
      <c r="J1378" t="n">
        <v>0</v>
      </c>
      <c r="K1378" t="n">
        <v>0</v>
      </c>
      <c r="L1378" t="n">
        <v>0</v>
      </c>
      <c r="M1378" t="n">
        <v>0</v>
      </c>
      <c r="N1378" t="n">
        <v>0</v>
      </c>
      <c r="O1378" t="n">
        <v>0</v>
      </c>
      <c r="P1378" t="n">
        <v>0</v>
      </c>
      <c r="Q1378" t="n">
        <v>0</v>
      </c>
      <c r="R1378" s="2" t="inlineStr"/>
    </row>
    <row r="1379" ht="15" customHeight="1">
      <c r="A1379" t="inlineStr">
        <is>
          <t>A 52839-2023</t>
        </is>
      </c>
      <c r="B1379" s="1" t="n">
        <v>45226.42424768519</v>
      </c>
      <c r="C1379" s="1" t="n">
        <v>46012</v>
      </c>
      <c r="D1379" t="inlineStr">
        <is>
          <t>VÄRMLANDS LÄN</t>
        </is>
      </c>
      <c r="E1379" t="inlineStr">
        <is>
          <t>ARVIKA</t>
        </is>
      </c>
      <c r="F1379" t="inlineStr">
        <is>
          <t>Bergvik skog väst AB</t>
        </is>
      </c>
      <c r="G1379" t="n">
        <v>1.5</v>
      </c>
      <c r="H1379" t="n">
        <v>0</v>
      </c>
      <c r="I1379" t="n">
        <v>0</v>
      </c>
      <c r="J1379" t="n">
        <v>0</v>
      </c>
      <c r="K1379" t="n">
        <v>0</v>
      </c>
      <c r="L1379" t="n">
        <v>0</v>
      </c>
      <c r="M1379" t="n">
        <v>0</v>
      </c>
      <c r="N1379" t="n">
        <v>0</v>
      </c>
      <c r="O1379" t="n">
        <v>0</v>
      </c>
      <c r="P1379" t="n">
        <v>0</v>
      </c>
      <c r="Q1379" t="n">
        <v>0</v>
      </c>
      <c r="R1379" s="2" t="inlineStr"/>
    </row>
    <row r="1380" ht="15" customHeight="1">
      <c r="A1380" t="inlineStr">
        <is>
          <t>A 16944-2024</t>
        </is>
      </c>
      <c r="B1380" s="1" t="n">
        <v>45411.7540625</v>
      </c>
      <c r="C1380" s="1" t="n">
        <v>46012</v>
      </c>
      <c r="D1380" t="inlineStr">
        <is>
          <t>VÄRMLANDS LÄN</t>
        </is>
      </c>
      <c r="E1380" t="inlineStr">
        <is>
          <t>ARVIKA</t>
        </is>
      </c>
      <c r="F1380" t="inlineStr">
        <is>
          <t>Bergvik skog väst AB</t>
        </is>
      </c>
      <c r="G1380" t="n">
        <v>1.2</v>
      </c>
      <c r="H1380" t="n">
        <v>0</v>
      </c>
      <c r="I1380" t="n">
        <v>0</v>
      </c>
      <c r="J1380" t="n">
        <v>0</v>
      </c>
      <c r="K1380" t="n">
        <v>0</v>
      </c>
      <c r="L1380" t="n">
        <v>0</v>
      </c>
      <c r="M1380" t="n">
        <v>0</v>
      </c>
      <c r="N1380" t="n">
        <v>0</v>
      </c>
      <c r="O1380" t="n">
        <v>0</v>
      </c>
      <c r="P1380" t="n">
        <v>0</v>
      </c>
      <c r="Q1380" t="n">
        <v>0</v>
      </c>
      <c r="R1380" s="2" t="inlineStr"/>
    </row>
    <row r="1381" ht="15" customHeight="1">
      <c r="A1381" t="inlineStr">
        <is>
          <t>A 45908-2022</t>
        </is>
      </c>
      <c r="B1381" s="1" t="n">
        <v>44846</v>
      </c>
      <c r="C1381" s="1" t="n">
        <v>46012</v>
      </c>
      <c r="D1381" t="inlineStr">
        <is>
          <t>VÄRMLANDS LÄN</t>
        </is>
      </c>
      <c r="E1381" t="inlineStr">
        <is>
          <t>ARVIKA</t>
        </is>
      </c>
      <c r="G1381" t="n">
        <v>0.6</v>
      </c>
      <c r="H1381" t="n">
        <v>0</v>
      </c>
      <c r="I1381" t="n">
        <v>0</v>
      </c>
      <c r="J1381" t="n">
        <v>0</v>
      </c>
      <c r="K1381" t="n">
        <v>0</v>
      </c>
      <c r="L1381" t="n">
        <v>0</v>
      </c>
      <c r="M1381" t="n">
        <v>0</v>
      </c>
      <c r="N1381" t="n">
        <v>0</v>
      </c>
      <c r="O1381" t="n">
        <v>0</v>
      </c>
      <c r="P1381" t="n">
        <v>0</v>
      </c>
      <c r="Q1381" t="n">
        <v>0</v>
      </c>
      <c r="R1381" s="2" t="inlineStr"/>
    </row>
    <row r="1382" ht="15" customHeight="1">
      <c r="A1382" t="inlineStr">
        <is>
          <t>A 45300-2023</t>
        </is>
      </c>
      <c r="B1382" s="1" t="n">
        <v>45191</v>
      </c>
      <c r="C1382" s="1" t="n">
        <v>46012</v>
      </c>
      <c r="D1382" t="inlineStr">
        <is>
          <t>VÄRMLANDS LÄN</t>
        </is>
      </c>
      <c r="E1382" t="inlineStr">
        <is>
          <t>ARVIKA</t>
        </is>
      </c>
      <c r="G1382" t="n">
        <v>1</v>
      </c>
      <c r="H1382" t="n">
        <v>0</v>
      </c>
      <c r="I1382" t="n">
        <v>0</v>
      </c>
      <c r="J1382" t="n">
        <v>0</v>
      </c>
      <c r="K1382" t="n">
        <v>0</v>
      </c>
      <c r="L1382" t="n">
        <v>0</v>
      </c>
      <c r="M1382" t="n">
        <v>0</v>
      </c>
      <c r="N1382" t="n">
        <v>0</v>
      </c>
      <c r="O1382" t="n">
        <v>0</v>
      </c>
      <c r="P1382" t="n">
        <v>0</v>
      </c>
      <c r="Q1382" t="n">
        <v>0</v>
      </c>
      <c r="R1382" s="2" t="inlineStr"/>
    </row>
    <row r="1383" ht="15" customHeight="1">
      <c r="A1383" t="inlineStr">
        <is>
          <t>A 209-2023</t>
        </is>
      </c>
      <c r="B1383" s="1" t="n">
        <v>44928.61258101852</v>
      </c>
      <c r="C1383" s="1" t="n">
        <v>46012</v>
      </c>
      <c r="D1383" t="inlineStr">
        <is>
          <t>VÄRMLANDS LÄN</t>
        </is>
      </c>
      <c r="E1383" t="inlineStr">
        <is>
          <t>ARVIKA</t>
        </is>
      </c>
      <c r="G1383" t="n">
        <v>1.5</v>
      </c>
      <c r="H1383" t="n">
        <v>0</v>
      </c>
      <c r="I1383" t="n">
        <v>0</v>
      </c>
      <c r="J1383" t="n">
        <v>0</v>
      </c>
      <c r="K1383" t="n">
        <v>0</v>
      </c>
      <c r="L1383" t="n">
        <v>0</v>
      </c>
      <c r="M1383" t="n">
        <v>0</v>
      </c>
      <c r="N1383" t="n">
        <v>0</v>
      </c>
      <c r="O1383" t="n">
        <v>0</v>
      </c>
      <c r="P1383" t="n">
        <v>0</v>
      </c>
      <c r="Q1383" t="n">
        <v>0</v>
      </c>
      <c r="R1383" s="2" t="inlineStr"/>
    </row>
    <row r="1384" ht="15" customHeight="1">
      <c r="A1384" t="inlineStr">
        <is>
          <t>A 33869-2024</t>
        </is>
      </c>
      <c r="B1384" s="1" t="n">
        <v>45520.73450231482</v>
      </c>
      <c r="C1384" s="1" t="n">
        <v>46012</v>
      </c>
      <c r="D1384" t="inlineStr">
        <is>
          <t>VÄRMLANDS LÄN</t>
        </is>
      </c>
      <c r="E1384" t="inlineStr">
        <is>
          <t>ARVIKA</t>
        </is>
      </c>
      <c r="G1384" t="n">
        <v>5.2</v>
      </c>
      <c r="H1384" t="n">
        <v>0</v>
      </c>
      <c r="I1384" t="n">
        <v>0</v>
      </c>
      <c r="J1384" t="n">
        <v>0</v>
      </c>
      <c r="K1384" t="n">
        <v>0</v>
      </c>
      <c r="L1384" t="n">
        <v>0</v>
      </c>
      <c r="M1384" t="n">
        <v>0</v>
      </c>
      <c r="N1384" t="n">
        <v>0</v>
      </c>
      <c r="O1384" t="n">
        <v>0</v>
      </c>
      <c r="P1384" t="n">
        <v>0</v>
      </c>
      <c r="Q1384" t="n">
        <v>0</v>
      </c>
      <c r="R1384" s="2" t="inlineStr"/>
    </row>
    <row r="1385" ht="15" customHeight="1">
      <c r="A1385" t="inlineStr">
        <is>
          <t>A 14780-2024</t>
        </is>
      </c>
      <c r="B1385" s="1" t="n">
        <v>45397.74032407408</v>
      </c>
      <c r="C1385" s="1" t="n">
        <v>46012</v>
      </c>
      <c r="D1385" t="inlineStr">
        <is>
          <t>VÄRMLANDS LÄN</t>
        </is>
      </c>
      <c r="E1385" t="inlineStr">
        <is>
          <t>ARVIKA</t>
        </is>
      </c>
      <c r="G1385" t="n">
        <v>1.8</v>
      </c>
      <c r="H1385" t="n">
        <v>0</v>
      </c>
      <c r="I1385" t="n">
        <v>0</v>
      </c>
      <c r="J1385" t="n">
        <v>0</v>
      </c>
      <c r="K1385" t="n">
        <v>0</v>
      </c>
      <c r="L1385" t="n">
        <v>0</v>
      </c>
      <c r="M1385" t="n">
        <v>0</v>
      </c>
      <c r="N1385" t="n">
        <v>0</v>
      </c>
      <c r="O1385" t="n">
        <v>0</v>
      </c>
      <c r="P1385" t="n">
        <v>0</v>
      </c>
      <c r="Q1385" t="n">
        <v>0</v>
      </c>
      <c r="R1385" s="2" t="inlineStr"/>
    </row>
    <row r="1386" ht="15" customHeight="1">
      <c r="A1386" t="inlineStr">
        <is>
          <t>A 21523-2023</t>
        </is>
      </c>
      <c r="B1386" s="1" t="n">
        <v>45063</v>
      </c>
      <c r="C1386" s="1" t="n">
        <v>46012</v>
      </c>
      <c r="D1386" t="inlineStr">
        <is>
          <t>VÄRMLANDS LÄN</t>
        </is>
      </c>
      <c r="E1386" t="inlineStr">
        <is>
          <t>ARVIKA</t>
        </is>
      </c>
      <c r="G1386" t="n">
        <v>1.1</v>
      </c>
      <c r="H1386" t="n">
        <v>0</v>
      </c>
      <c r="I1386" t="n">
        <v>0</v>
      </c>
      <c r="J1386" t="n">
        <v>0</v>
      </c>
      <c r="K1386" t="n">
        <v>0</v>
      </c>
      <c r="L1386" t="n">
        <v>0</v>
      </c>
      <c r="M1386" t="n">
        <v>0</v>
      </c>
      <c r="N1386" t="n">
        <v>0</v>
      </c>
      <c r="O1386" t="n">
        <v>0</v>
      </c>
      <c r="P1386" t="n">
        <v>0</v>
      </c>
      <c r="Q1386" t="n">
        <v>0</v>
      </c>
      <c r="R1386" s="2" t="inlineStr"/>
    </row>
    <row r="1387" ht="15" customHeight="1">
      <c r="A1387" t="inlineStr">
        <is>
          <t>A 40436-2024</t>
        </is>
      </c>
      <c r="B1387" s="1" t="n">
        <v>45555</v>
      </c>
      <c r="C1387" s="1" t="n">
        <v>46012</v>
      </c>
      <c r="D1387" t="inlineStr">
        <is>
          <t>VÄRMLANDS LÄN</t>
        </is>
      </c>
      <c r="E1387" t="inlineStr">
        <is>
          <t>ARVIKA</t>
        </is>
      </c>
      <c r="G1387" t="n">
        <v>0.6</v>
      </c>
      <c r="H1387" t="n">
        <v>0</v>
      </c>
      <c r="I1387" t="n">
        <v>0</v>
      </c>
      <c r="J1387" t="n">
        <v>0</v>
      </c>
      <c r="K1387" t="n">
        <v>0</v>
      </c>
      <c r="L1387" t="n">
        <v>0</v>
      </c>
      <c r="M1387" t="n">
        <v>0</v>
      </c>
      <c r="N1387" t="n">
        <v>0</v>
      </c>
      <c r="O1387" t="n">
        <v>0</v>
      </c>
      <c r="P1387" t="n">
        <v>0</v>
      </c>
      <c r="Q1387" t="n">
        <v>0</v>
      </c>
      <c r="R1387" s="2" t="inlineStr"/>
    </row>
    <row r="1388" ht="15" customHeight="1">
      <c r="A1388" t="inlineStr">
        <is>
          <t>A 40441-2024</t>
        </is>
      </c>
      <c r="B1388" s="1" t="n">
        <v>45555</v>
      </c>
      <c r="C1388" s="1" t="n">
        <v>46012</v>
      </c>
      <c r="D1388" t="inlineStr">
        <is>
          <t>VÄRMLANDS LÄN</t>
        </is>
      </c>
      <c r="E1388" t="inlineStr">
        <is>
          <t>ARVIKA</t>
        </is>
      </c>
      <c r="G1388" t="n">
        <v>1.9</v>
      </c>
      <c r="H1388" t="n">
        <v>0</v>
      </c>
      <c r="I1388" t="n">
        <v>0</v>
      </c>
      <c r="J1388" t="n">
        <v>0</v>
      </c>
      <c r="K1388" t="n">
        <v>0</v>
      </c>
      <c r="L1388" t="n">
        <v>0</v>
      </c>
      <c r="M1388" t="n">
        <v>0</v>
      </c>
      <c r="N1388" t="n">
        <v>0</v>
      </c>
      <c r="O1388" t="n">
        <v>0</v>
      </c>
      <c r="P1388" t="n">
        <v>0</v>
      </c>
      <c r="Q1388" t="n">
        <v>0</v>
      </c>
      <c r="R1388" s="2" t="inlineStr"/>
    </row>
    <row r="1389" ht="15" customHeight="1">
      <c r="A1389" t="inlineStr">
        <is>
          <t>A 10316-2025</t>
        </is>
      </c>
      <c r="B1389" s="1" t="n">
        <v>45720</v>
      </c>
      <c r="C1389" s="1" t="n">
        <v>46012</v>
      </c>
      <c r="D1389" t="inlineStr">
        <is>
          <t>VÄRMLANDS LÄN</t>
        </is>
      </c>
      <c r="E1389" t="inlineStr">
        <is>
          <t>ARVIKA</t>
        </is>
      </c>
      <c r="G1389" t="n">
        <v>7.5</v>
      </c>
      <c r="H1389" t="n">
        <v>0</v>
      </c>
      <c r="I1389" t="n">
        <v>0</v>
      </c>
      <c r="J1389" t="n">
        <v>0</v>
      </c>
      <c r="K1389" t="n">
        <v>0</v>
      </c>
      <c r="L1389" t="n">
        <v>0</v>
      </c>
      <c r="M1389" t="n">
        <v>0</v>
      </c>
      <c r="N1389" t="n">
        <v>0</v>
      </c>
      <c r="O1389" t="n">
        <v>0</v>
      </c>
      <c r="P1389" t="n">
        <v>0</v>
      </c>
      <c r="Q1389" t="n">
        <v>0</v>
      </c>
      <c r="R1389" s="2" t="inlineStr"/>
    </row>
    <row r="1390" ht="15" customHeight="1">
      <c r="A1390" t="inlineStr">
        <is>
          <t>A 53964-2024</t>
        </is>
      </c>
      <c r="B1390" s="1" t="n">
        <v>45616.31475694444</v>
      </c>
      <c r="C1390" s="1" t="n">
        <v>46012</v>
      </c>
      <c r="D1390" t="inlineStr">
        <is>
          <t>VÄRMLANDS LÄN</t>
        </is>
      </c>
      <c r="E1390" t="inlineStr">
        <is>
          <t>ARVIKA</t>
        </is>
      </c>
      <c r="G1390" t="n">
        <v>2.7</v>
      </c>
      <c r="H1390" t="n">
        <v>0</v>
      </c>
      <c r="I1390" t="n">
        <v>0</v>
      </c>
      <c r="J1390" t="n">
        <v>0</v>
      </c>
      <c r="K1390" t="n">
        <v>0</v>
      </c>
      <c r="L1390" t="n">
        <v>0</v>
      </c>
      <c r="M1390" t="n">
        <v>0</v>
      </c>
      <c r="N1390" t="n">
        <v>0</v>
      </c>
      <c r="O1390" t="n">
        <v>0</v>
      </c>
      <c r="P1390" t="n">
        <v>0</v>
      </c>
      <c r="Q1390" t="n">
        <v>0</v>
      </c>
      <c r="R1390" s="2" t="inlineStr"/>
    </row>
    <row r="1391" ht="15" customHeight="1">
      <c r="A1391" t="inlineStr">
        <is>
          <t>A 57205-2024</t>
        </is>
      </c>
      <c r="B1391" s="1" t="n">
        <v>45629.48877314815</v>
      </c>
      <c r="C1391" s="1" t="n">
        <v>46012</v>
      </c>
      <c r="D1391" t="inlineStr">
        <is>
          <t>VÄRMLANDS LÄN</t>
        </is>
      </c>
      <c r="E1391" t="inlineStr">
        <is>
          <t>ARVIKA</t>
        </is>
      </c>
      <c r="G1391" t="n">
        <v>0.5</v>
      </c>
      <c r="H1391" t="n">
        <v>0</v>
      </c>
      <c r="I1391" t="n">
        <v>0</v>
      </c>
      <c r="J1391" t="n">
        <v>0</v>
      </c>
      <c r="K1391" t="n">
        <v>0</v>
      </c>
      <c r="L1391" t="n">
        <v>0</v>
      </c>
      <c r="M1391" t="n">
        <v>0</v>
      </c>
      <c r="N1391" t="n">
        <v>0</v>
      </c>
      <c r="O1391" t="n">
        <v>0</v>
      </c>
      <c r="P1391" t="n">
        <v>0</v>
      </c>
      <c r="Q1391" t="n">
        <v>0</v>
      </c>
      <c r="R1391" s="2" t="inlineStr"/>
    </row>
    <row r="1392" ht="15" customHeight="1">
      <c r="A1392" t="inlineStr">
        <is>
          <t>A 45892-2024</t>
        </is>
      </c>
      <c r="B1392" s="1" t="n">
        <v>45580</v>
      </c>
      <c r="C1392" s="1" t="n">
        <v>46012</v>
      </c>
      <c r="D1392" t="inlineStr">
        <is>
          <t>VÄRMLANDS LÄN</t>
        </is>
      </c>
      <c r="E1392" t="inlineStr">
        <is>
          <t>ARVIKA</t>
        </is>
      </c>
      <c r="G1392" t="n">
        <v>9.199999999999999</v>
      </c>
      <c r="H1392" t="n">
        <v>0</v>
      </c>
      <c r="I1392" t="n">
        <v>0</v>
      </c>
      <c r="J1392" t="n">
        <v>0</v>
      </c>
      <c r="K1392" t="n">
        <v>0</v>
      </c>
      <c r="L1392" t="n">
        <v>0</v>
      </c>
      <c r="M1392" t="n">
        <v>0</v>
      </c>
      <c r="N1392" t="n">
        <v>0</v>
      </c>
      <c r="O1392" t="n">
        <v>0</v>
      </c>
      <c r="P1392" t="n">
        <v>0</v>
      </c>
      <c r="Q1392" t="n">
        <v>0</v>
      </c>
      <c r="R1392" s="2" t="inlineStr"/>
    </row>
    <row r="1393" ht="15" customHeight="1">
      <c r="A1393" t="inlineStr">
        <is>
          <t>A 5311-2024</t>
        </is>
      </c>
      <c r="B1393" s="1" t="n">
        <v>45331</v>
      </c>
      <c r="C1393" s="1" t="n">
        <v>46012</v>
      </c>
      <c r="D1393" t="inlineStr">
        <is>
          <t>VÄRMLANDS LÄN</t>
        </is>
      </c>
      <c r="E1393" t="inlineStr">
        <is>
          <t>ARVIKA</t>
        </is>
      </c>
      <c r="F1393" t="inlineStr">
        <is>
          <t>Bergvik skog väst AB</t>
        </is>
      </c>
      <c r="G1393" t="n">
        <v>1.5</v>
      </c>
      <c r="H1393" t="n">
        <v>0</v>
      </c>
      <c r="I1393" t="n">
        <v>0</v>
      </c>
      <c r="J1393" t="n">
        <v>0</v>
      </c>
      <c r="K1393" t="n">
        <v>0</v>
      </c>
      <c r="L1393" t="n">
        <v>0</v>
      </c>
      <c r="M1393" t="n">
        <v>0</v>
      </c>
      <c r="N1393" t="n">
        <v>0</v>
      </c>
      <c r="O1393" t="n">
        <v>0</v>
      </c>
      <c r="P1393" t="n">
        <v>0</v>
      </c>
      <c r="Q1393" t="n">
        <v>0</v>
      </c>
      <c r="R1393" s="2" t="inlineStr"/>
    </row>
    <row r="1394" ht="15" customHeight="1">
      <c r="A1394" t="inlineStr">
        <is>
          <t>A 22914-2023</t>
        </is>
      </c>
      <c r="B1394" s="1" t="n">
        <v>45072</v>
      </c>
      <c r="C1394" s="1" t="n">
        <v>46012</v>
      </c>
      <c r="D1394" t="inlineStr">
        <is>
          <t>VÄRMLANDS LÄN</t>
        </is>
      </c>
      <c r="E1394" t="inlineStr">
        <is>
          <t>ARVIKA</t>
        </is>
      </c>
      <c r="G1394" t="n">
        <v>4.1</v>
      </c>
      <c r="H1394" t="n">
        <v>0</v>
      </c>
      <c r="I1394" t="n">
        <v>0</v>
      </c>
      <c r="J1394" t="n">
        <v>0</v>
      </c>
      <c r="K1394" t="n">
        <v>0</v>
      </c>
      <c r="L1394" t="n">
        <v>0</v>
      </c>
      <c r="M1394" t="n">
        <v>0</v>
      </c>
      <c r="N1394" t="n">
        <v>0</v>
      </c>
      <c r="O1394" t="n">
        <v>0</v>
      </c>
      <c r="P1394" t="n">
        <v>0</v>
      </c>
      <c r="Q1394" t="n">
        <v>0</v>
      </c>
      <c r="R1394" s="2" t="inlineStr"/>
    </row>
    <row r="1395" ht="15" customHeight="1">
      <c r="A1395" t="inlineStr">
        <is>
          <t>A 9916-2023</t>
        </is>
      </c>
      <c r="B1395" s="1" t="n">
        <v>44985</v>
      </c>
      <c r="C1395" s="1" t="n">
        <v>46012</v>
      </c>
      <c r="D1395" t="inlineStr">
        <is>
          <t>VÄRMLANDS LÄN</t>
        </is>
      </c>
      <c r="E1395" t="inlineStr">
        <is>
          <t>ARVIKA</t>
        </is>
      </c>
      <c r="G1395" t="n">
        <v>10.8</v>
      </c>
      <c r="H1395" t="n">
        <v>0</v>
      </c>
      <c r="I1395" t="n">
        <v>0</v>
      </c>
      <c r="J1395" t="n">
        <v>0</v>
      </c>
      <c r="K1395" t="n">
        <v>0</v>
      </c>
      <c r="L1395" t="n">
        <v>0</v>
      </c>
      <c r="M1395" t="n">
        <v>0</v>
      </c>
      <c r="N1395" t="n">
        <v>0</v>
      </c>
      <c r="O1395" t="n">
        <v>0</v>
      </c>
      <c r="P1395" t="n">
        <v>0</v>
      </c>
      <c r="Q1395" t="n">
        <v>0</v>
      </c>
      <c r="R1395" s="2" t="inlineStr"/>
    </row>
    <row r="1396" ht="15" customHeight="1">
      <c r="A1396" t="inlineStr">
        <is>
          <t>A 9214-2025</t>
        </is>
      </c>
      <c r="B1396" s="1" t="n">
        <v>45714</v>
      </c>
      <c r="C1396" s="1" t="n">
        <v>46012</v>
      </c>
      <c r="D1396" t="inlineStr">
        <is>
          <t>VÄRMLANDS LÄN</t>
        </is>
      </c>
      <c r="E1396" t="inlineStr">
        <is>
          <t>ARVIKA</t>
        </is>
      </c>
      <c r="G1396" t="n">
        <v>1.8</v>
      </c>
      <c r="H1396" t="n">
        <v>0</v>
      </c>
      <c r="I1396" t="n">
        <v>0</v>
      </c>
      <c r="J1396" t="n">
        <v>0</v>
      </c>
      <c r="K1396" t="n">
        <v>0</v>
      </c>
      <c r="L1396" t="n">
        <v>0</v>
      </c>
      <c r="M1396" t="n">
        <v>0</v>
      </c>
      <c r="N1396" t="n">
        <v>0</v>
      </c>
      <c r="O1396" t="n">
        <v>0</v>
      </c>
      <c r="P1396" t="n">
        <v>0</v>
      </c>
      <c r="Q1396" t="n">
        <v>0</v>
      </c>
      <c r="R1396" s="2" t="inlineStr"/>
    </row>
    <row r="1397" ht="15" customHeight="1">
      <c r="A1397" t="inlineStr">
        <is>
          <t>A 36303-2024</t>
        </is>
      </c>
      <c r="B1397" s="1" t="n">
        <v>45534</v>
      </c>
      <c r="C1397" s="1" t="n">
        <v>46012</v>
      </c>
      <c r="D1397" t="inlineStr">
        <is>
          <t>VÄRMLANDS LÄN</t>
        </is>
      </c>
      <c r="E1397" t="inlineStr">
        <is>
          <t>ARVIKA</t>
        </is>
      </c>
      <c r="G1397" t="n">
        <v>0</v>
      </c>
      <c r="H1397" t="n">
        <v>0</v>
      </c>
      <c r="I1397" t="n">
        <v>0</v>
      </c>
      <c r="J1397" t="n">
        <v>0</v>
      </c>
      <c r="K1397" t="n">
        <v>0</v>
      </c>
      <c r="L1397" t="n">
        <v>0</v>
      </c>
      <c r="M1397" t="n">
        <v>0</v>
      </c>
      <c r="N1397" t="n">
        <v>0</v>
      </c>
      <c r="O1397" t="n">
        <v>0</v>
      </c>
      <c r="P1397" t="n">
        <v>0</v>
      </c>
      <c r="Q1397" t="n">
        <v>0</v>
      </c>
      <c r="R1397" s="2" t="inlineStr"/>
    </row>
    <row r="1398" ht="15" customHeight="1">
      <c r="A1398" t="inlineStr">
        <is>
          <t>A 46515-2023</t>
        </is>
      </c>
      <c r="B1398" s="1" t="n">
        <v>45197.70663194444</v>
      </c>
      <c r="C1398" s="1" t="n">
        <v>46012</v>
      </c>
      <c r="D1398" t="inlineStr">
        <is>
          <t>VÄRMLANDS LÄN</t>
        </is>
      </c>
      <c r="E1398" t="inlineStr">
        <is>
          <t>ARVIKA</t>
        </is>
      </c>
      <c r="G1398" t="n">
        <v>1.1</v>
      </c>
      <c r="H1398" t="n">
        <v>0</v>
      </c>
      <c r="I1398" t="n">
        <v>0</v>
      </c>
      <c r="J1398" t="n">
        <v>0</v>
      </c>
      <c r="K1398" t="n">
        <v>0</v>
      </c>
      <c r="L1398" t="n">
        <v>0</v>
      </c>
      <c r="M1398" t="n">
        <v>0</v>
      </c>
      <c r="N1398" t="n">
        <v>0</v>
      </c>
      <c r="O1398" t="n">
        <v>0</v>
      </c>
      <c r="P1398" t="n">
        <v>0</v>
      </c>
      <c r="Q1398" t="n">
        <v>0</v>
      </c>
      <c r="R1398" s="2" t="inlineStr"/>
    </row>
    <row r="1399" ht="15" customHeight="1">
      <c r="A1399" t="inlineStr">
        <is>
          <t>A 61885-2024</t>
        </is>
      </c>
      <c r="B1399" s="1" t="n">
        <v>45652.67144675926</v>
      </c>
      <c r="C1399" s="1" t="n">
        <v>46012</v>
      </c>
      <c r="D1399" t="inlineStr">
        <is>
          <t>VÄRMLANDS LÄN</t>
        </is>
      </c>
      <c r="E1399" t="inlineStr">
        <is>
          <t>ARVIKA</t>
        </is>
      </c>
      <c r="G1399" t="n">
        <v>3.1</v>
      </c>
      <c r="H1399" t="n">
        <v>0</v>
      </c>
      <c r="I1399" t="n">
        <v>0</v>
      </c>
      <c r="J1399" t="n">
        <v>0</v>
      </c>
      <c r="K1399" t="n">
        <v>0</v>
      </c>
      <c r="L1399" t="n">
        <v>0</v>
      </c>
      <c r="M1399" t="n">
        <v>0</v>
      </c>
      <c r="N1399" t="n">
        <v>0</v>
      </c>
      <c r="O1399" t="n">
        <v>0</v>
      </c>
      <c r="P1399" t="n">
        <v>0</v>
      </c>
      <c r="Q1399" t="n">
        <v>0</v>
      </c>
      <c r="R1399" s="2" t="inlineStr"/>
    </row>
    <row r="1400" ht="15" customHeight="1">
      <c r="A1400" t="inlineStr">
        <is>
          <t>A 25954-2023</t>
        </is>
      </c>
      <c r="B1400" s="1" t="n">
        <v>45090</v>
      </c>
      <c r="C1400" s="1" t="n">
        <v>46012</v>
      </c>
      <c r="D1400" t="inlineStr">
        <is>
          <t>VÄRMLANDS LÄN</t>
        </is>
      </c>
      <c r="E1400" t="inlineStr">
        <is>
          <t>ARVIKA</t>
        </is>
      </c>
      <c r="G1400" t="n">
        <v>6.6</v>
      </c>
      <c r="H1400" t="n">
        <v>0</v>
      </c>
      <c r="I1400" t="n">
        <v>0</v>
      </c>
      <c r="J1400" t="n">
        <v>0</v>
      </c>
      <c r="K1400" t="n">
        <v>0</v>
      </c>
      <c r="L1400" t="n">
        <v>0</v>
      </c>
      <c r="M1400" t="n">
        <v>0</v>
      </c>
      <c r="N1400" t="n">
        <v>0</v>
      </c>
      <c r="O1400" t="n">
        <v>0</v>
      </c>
      <c r="P1400" t="n">
        <v>0</v>
      </c>
      <c r="Q1400" t="n">
        <v>0</v>
      </c>
      <c r="R1400" s="2" t="inlineStr"/>
    </row>
    <row r="1401" ht="15" customHeight="1">
      <c r="A1401" t="inlineStr">
        <is>
          <t>A 26354-2024</t>
        </is>
      </c>
      <c r="B1401" s="1" t="n">
        <v>45469.37152777778</v>
      </c>
      <c r="C1401" s="1" t="n">
        <v>46012</v>
      </c>
      <c r="D1401" t="inlineStr">
        <is>
          <t>VÄRMLANDS LÄN</t>
        </is>
      </c>
      <c r="E1401" t="inlineStr">
        <is>
          <t>ARVIKA</t>
        </is>
      </c>
      <c r="F1401" t="inlineStr">
        <is>
          <t>Bergvik skog väst AB</t>
        </is>
      </c>
      <c r="G1401" t="n">
        <v>2.5</v>
      </c>
      <c r="H1401" t="n">
        <v>0</v>
      </c>
      <c r="I1401" t="n">
        <v>0</v>
      </c>
      <c r="J1401" t="n">
        <v>0</v>
      </c>
      <c r="K1401" t="n">
        <v>0</v>
      </c>
      <c r="L1401" t="n">
        <v>0</v>
      </c>
      <c r="M1401" t="n">
        <v>0</v>
      </c>
      <c r="N1401" t="n">
        <v>0</v>
      </c>
      <c r="O1401" t="n">
        <v>0</v>
      </c>
      <c r="P1401" t="n">
        <v>0</v>
      </c>
      <c r="Q1401" t="n">
        <v>0</v>
      </c>
      <c r="R1401" s="2" t="inlineStr"/>
    </row>
    <row r="1402" ht="15" customHeight="1">
      <c r="A1402" t="inlineStr">
        <is>
          <t>A 36959-2022</t>
        </is>
      </c>
      <c r="B1402" s="1" t="n">
        <v>44806</v>
      </c>
      <c r="C1402" s="1" t="n">
        <v>46012</v>
      </c>
      <c r="D1402" t="inlineStr">
        <is>
          <t>VÄRMLANDS LÄN</t>
        </is>
      </c>
      <c r="E1402" t="inlineStr">
        <is>
          <t>ARVIKA</t>
        </is>
      </c>
      <c r="F1402" t="inlineStr">
        <is>
          <t>Bergvik skog väst AB</t>
        </is>
      </c>
      <c r="G1402" t="n">
        <v>2.2</v>
      </c>
      <c r="H1402" t="n">
        <v>0</v>
      </c>
      <c r="I1402" t="n">
        <v>0</v>
      </c>
      <c r="J1402" t="n">
        <v>0</v>
      </c>
      <c r="K1402" t="n">
        <v>0</v>
      </c>
      <c r="L1402" t="n">
        <v>0</v>
      </c>
      <c r="M1402" t="n">
        <v>0</v>
      </c>
      <c r="N1402" t="n">
        <v>0</v>
      </c>
      <c r="O1402" t="n">
        <v>0</v>
      </c>
      <c r="P1402" t="n">
        <v>0</v>
      </c>
      <c r="Q1402" t="n">
        <v>0</v>
      </c>
      <c r="R1402" s="2" t="inlineStr"/>
    </row>
    <row r="1403" ht="15" customHeight="1">
      <c r="A1403" t="inlineStr">
        <is>
          <t>A 49873-2024</t>
        </is>
      </c>
      <c r="B1403" s="1" t="n">
        <v>45597</v>
      </c>
      <c r="C1403" s="1" t="n">
        <v>46012</v>
      </c>
      <c r="D1403" t="inlineStr">
        <is>
          <t>VÄRMLANDS LÄN</t>
        </is>
      </c>
      <c r="E1403" t="inlineStr">
        <is>
          <t>ARVIKA</t>
        </is>
      </c>
      <c r="F1403" t="inlineStr">
        <is>
          <t>Bergvik skog väst AB</t>
        </is>
      </c>
      <c r="G1403" t="n">
        <v>3.6</v>
      </c>
      <c r="H1403" t="n">
        <v>0</v>
      </c>
      <c r="I1403" t="n">
        <v>0</v>
      </c>
      <c r="J1403" t="n">
        <v>0</v>
      </c>
      <c r="K1403" t="n">
        <v>0</v>
      </c>
      <c r="L1403" t="n">
        <v>0</v>
      </c>
      <c r="M1403" t="n">
        <v>0</v>
      </c>
      <c r="N1403" t="n">
        <v>0</v>
      </c>
      <c r="O1403" t="n">
        <v>0</v>
      </c>
      <c r="P1403" t="n">
        <v>0</v>
      </c>
      <c r="Q1403" t="n">
        <v>0</v>
      </c>
      <c r="R1403" s="2" t="inlineStr"/>
    </row>
    <row r="1404" ht="15" customHeight="1">
      <c r="A1404" t="inlineStr">
        <is>
          <t>A 50847-2024</t>
        </is>
      </c>
      <c r="B1404" s="1" t="n">
        <v>45602</v>
      </c>
      <c r="C1404" s="1" t="n">
        <v>46012</v>
      </c>
      <c r="D1404" t="inlineStr">
        <is>
          <t>VÄRMLANDS LÄN</t>
        </is>
      </c>
      <c r="E1404" t="inlineStr">
        <is>
          <t>ARVIKA</t>
        </is>
      </c>
      <c r="F1404" t="inlineStr">
        <is>
          <t>Bergvik skog väst AB</t>
        </is>
      </c>
      <c r="G1404" t="n">
        <v>1</v>
      </c>
      <c r="H1404" t="n">
        <v>0</v>
      </c>
      <c r="I1404" t="n">
        <v>0</v>
      </c>
      <c r="J1404" t="n">
        <v>0</v>
      </c>
      <c r="K1404" t="n">
        <v>0</v>
      </c>
      <c r="L1404" t="n">
        <v>0</v>
      </c>
      <c r="M1404" t="n">
        <v>0</v>
      </c>
      <c r="N1404" t="n">
        <v>0</v>
      </c>
      <c r="O1404" t="n">
        <v>0</v>
      </c>
      <c r="P1404" t="n">
        <v>0</v>
      </c>
      <c r="Q1404" t="n">
        <v>0</v>
      </c>
      <c r="R1404" s="2" t="inlineStr"/>
    </row>
    <row r="1405" ht="15" customHeight="1">
      <c r="A1405" t="inlineStr">
        <is>
          <t>A 45805-2024</t>
        </is>
      </c>
      <c r="B1405" s="1" t="n">
        <v>45579.69106481481</v>
      </c>
      <c r="C1405" s="1" t="n">
        <v>46012</v>
      </c>
      <c r="D1405" t="inlineStr">
        <is>
          <t>VÄRMLANDS LÄN</t>
        </is>
      </c>
      <c r="E1405" t="inlineStr">
        <is>
          <t>ARVIKA</t>
        </is>
      </c>
      <c r="G1405" t="n">
        <v>0.9</v>
      </c>
      <c r="H1405" t="n">
        <v>0</v>
      </c>
      <c r="I1405" t="n">
        <v>0</v>
      </c>
      <c r="J1405" t="n">
        <v>0</v>
      </c>
      <c r="K1405" t="n">
        <v>0</v>
      </c>
      <c r="L1405" t="n">
        <v>0</v>
      </c>
      <c r="M1405" t="n">
        <v>0</v>
      </c>
      <c r="N1405" t="n">
        <v>0</v>
      </c>
      <c r="O1405" t="n">
        <v>0</v>
      </c>
      <c r="P1405" t="n">
        <v>0</v>
      </c>
      <c r="Q1405" t="n">
        <v>0</v>
      </c>
      <c r="R1405" s="2" t="inlineStr"/>
    </row>
    <row r="1406" ht="15" customHeight="1">
      <c r="A1406" t="inlineStr">
        <is>
          <t>A 4049-2022</t>
        </is>
      </c>
      <c r="B1406" s="1" t="n">
        <v>44588</v>
      </c>
      <c r="C1406" s="1" t="n">
        <v>46012</v>
      </c>
      <c r="D1406" t="inlineStr">
        <is>
          <t>VÄRMLANDS LÄN</t>
        </is>
      </c>
      <c r="E1406" t="inlineStr">
        <is>
          <t>ARVIKA</t>
        </is>
      </c>
      <c r="F1406" t="inlineStr">
        <is>
          <t>Bergvik skog väst AB</t>
        </is>
      </c>
      <c r="G1406" t="n">
        <v>1.2</v>
      </c>
      <c r="H1406" t="n">
        <v>0</v>
      </c>
      <c r="I1406" t="n">
        <v>0</v>
      </c>
      <c r="J1406" t="n">
        <v>0</v>
      </c>
      <c r="K1406" t="n">
        <v>0</v>
      </c>
      <c r="L1406" t="n">
        <v>0</v>
      </c>
      <c r="M1406" t="n">
        <v>0</v>
      </c>
      <c r="N1406" t="n">
        <v>0</v>
      </c>
      <c r="O1406" t="n">
        <v>0</v>
      </c>
      <c r="P1406" t="n">
        <v>0</v>
      </c>
      <c r="Q1406" t="n">
        <v>0</v>
      </c>
      <c r="R1406" s="2" t="inlineStr"/>
    </row>
    <row r="1407" ht="15" customHeight="1">
      <c r="A1407" t="inlineStr">
        <is>
          <t>A 32823-2023</t>
        </is>
      </c>
      <c r="B1407" s="1" t="n">
        <v>45109</v>
      </c>
      <c r="C1407" s="1" t="n">
        <v>46012</v>
      </c>
      <c r="D1407" t="inlineStr">
        <is>
          <t>VÄRMLANDS LÄN</t>
        </is>
      </c>
      <c r="E1407" t="inlineStr">
        <is>
          <t>ARVIKA</t>
        </is>
      </c>
      <c r="G1407" t="n">
        <v>3.8</v>
      </c>
      <c r="H1407" t="n">
        <v>0</v>
      </c>
      <c r="I1407" t="n">
        <v>0</v>
      </c>
      <c r="J1407" t="n">
        <v>0</v>
      </c>
      <c r="K1407" t="n">
        <v>0</v>
      </c>
      <c r="L1407" t="n">
        <v>0</v>
      </c>
      <c r="M1407" t="n">
        <v>0</v>
      </c>
      <c r="N1407" t="n">
        <v>0</v>
      </c>
      <c r="O1407" t="n">
        <v>0</v>
      </c>
      <c r="P1407" t="n">
        <v>0</v>
      </c>
      <c r="Q1407" t="n">
        <v>0</v>
      </c>
      <c r="R1407" s="2" t="inlineStr"/>
    </row>
    <row r="1408" ht="15" customHeight="1">
      <c r="A1408" t="inlineStr">
        <is>
          <t>A 60593-2022</t>
        </is>
      </c>
      <c r="B1408" s="1" t="n">
        <v>44906</v>
      </c>
      <c r="C1408" s="1" t="n">
        <v>46012</v>
      </c>
      <c r="D1408" t="inlineStr">
        <is>
          <t>VÄRMLANDS LÄN</t>
        </is>
      </c>
      <c r="E1408" t="inlineStr">
        <is>
          <t>ARVIKA</t>
        </is>
      </c>
      <c r="G1408" t="n">
        <v>1</v>
      </c>
      <c r="H1408" t="n">
        <v>0</v>
      </c>
      <c r="I1408" t="n">
        <v>0</v>
      </c>
      <c r="J1408" t="n">
        <v>0</v>
      </c>
      <c r="K1408" t="n">
        <v>0</v>
      </c>
      <c r="L1408" t="n">
        <v>0</v>
      </c>
      <c r="M1408" t="n">
        <v>0</v>
      </c>
      <c r="N1408" t="n">
        <v>0</v>
      </c>
      <c r="O1408" t="n">
        <v>0</v>
      </c>
      <c r="P1408" t="n">
        <v>0</v>
      </c>
      <c r="Q1408" t="n">
        <v>0</v>
      </c>
      <c r="R1408" s="2" t="inlineStr"/>
    </row>
    <row r="1409" ht="15" customHeight="1">
      <c r="A1409" t="inlineStr">
        <is>
          <t>A 23430-2024</t>
        </is>
      </c>
      <c r="B1409" s="1" t="n">
        <v>45453.61859953704</v>
      </c>
      <c r="C1409" s="1" t="n">
        <v>46012</v>
      </c>
      <c r="D1409" t="inlineStr">
        <is>
          <t>VÄRMLANDS LÄN</t>
        </is>
      </c>
      <c r="E1409" t="inlineStr">
        <is>
          <t>ARVIKA</t>
        </is>
      </c>
      <c r="F1409" t="inlineStr">
        <is>
          <t>Bergvik skog väst AB</t>
        </is>
      </c>
      <c r="G1409" t="n">
        <v>2.6</v>
      </c>
      <c r="H1409" t="n">
        <v>0</v>
      </c>
      <c r="I1409" t="n">
        <v>0</v>
      </c>
      <c r="J1409" t="n">
        <v>0</v>
      </c>
      <c r="K1409" t="n">
        <v>0</v>
      </c>
      <c r="L1409" t="n">
        <v>0</v>
      </c>
      <c r="M1409" t="n">
        <v>0</v>
      </c>
      <c r="N1409" t="n">
        <v>0</v>
      </c>
      <c r="O1409" t="n">
        <v>0</v>
      </c>
      <c r="P1409" t="n">
        <v>0</v>
      </c>
      <c r="Q1409" t="n">
        <v>0</v>
      </c>
      <c r="R1409" s="2" t="inlineStr"/>
    </row>
    <row r="1410" ht="15" customHeight="1">
      <c r="A1410" t="inlineStr">
        <is>
          <t>A 16809-2023</t>
        </is>
      </c>
      <c r="B1410" s="1" t="n">
        <v>45033.36878472222</v>
      </c>
      <c r="C1410" s="1" t="n">
        <v>46012</v>
      </c>
      <c r="D1410" t="inlineStr">
        <is>
          <t>VÄRMLANDS LÄN</t>
        </is>
      </c>
      <c r="E1410" t="inlineStr">
        <is>
          <t>ARVIKA</t>
        </is>
      </c>
      <c r="G1410" t="n">
        <v>1</v>
      </c>
      <c r="H1410" t="n">
        <v>0</v>
      </c>
      <c r="I1410" t="n">
        <v>0</v>
      </c>
      <c r="J1410" t="n">
        <v>0</v>
      </c>
      <c r="K1410" t="n">
        <v>0</v>
      </c>
      <c r="L1410" t="n">
        <v>0</v>
      </c>
      <c r="M1410" t="n">
        <v>0</v>
      </c>
      <c r="N1410" t="n">
        <v>0</v>
      </c>
      <c r="O1410" t="n">
        <v>0</v>
      </c>
      <c r="P1410" t="n">
        <v>0</v>
      </c>
      <c r="Q1410" t="n">
        <v>0</v>
      </c>
      <c r="R1410" s="2" t="inlineStr"/>
    </row>
    <row r="1411" ht="15" customHeight="1">
      <c r="A1411" t="inlineStr">
        <is>
          <t>A 9061-2023</t>
        </is>
      </c>
      <c r="B1411" s="1" t="n">
        <v>44979.71533564815</v>
      </c>
      <c r="C1411" s="1" t="n">
        <v>46012</v>
      </c>
      <c r="D1411" t="inlineStr">
        <is>
          <t>VÄRMLANDS LÄN</t>
        </is>
      </c>
      <c r="E1411" t="inlineStr">
        <is>
          <t>ARVIKA</t>
        </is>
      </c>
      <c r="G1411" t="n">
        <v>2.3</v>
      </c>
      <c r="H1411" t="n">
        <v>0</v>
      </c>
      <c r="I1411" t="n">
        <v>0</v>
      </c>
      <c r="J1411" t="n">
        <v>0</v>
      </c>
      <c r="K1411" t="n">
        <v>0</v>
      </c>
      <c r="L1411" t="n">
        <v>0</v>
      </c>
      <c r="M1411" t="n">
        <v>0</v>
      </c>
      <c r="N1411" t="n">
        <v>0</v>
      </c>
      <c r="O1411" t="n">
        <v>0</v>
      </c>
      <c r="P1411" t="n">
        <v>0</v>
      </c>
      <c r="Q1411" t="n">
        <v>0</v>
      </c>
      <c r="R1411" s="2" t="inlineStr"/>
    </row>
    <row r="1412" ht="15" customHeight="1">
      <c r="A1412" t="inlineStr">
        <is>
          <t>A 6602-2024</t>
        </is>
      </c>
      <c r="B1412" s="1" t="n">
        <v>45341</v>
      </c>
      <c r="C1412" s="1" t="n">
        <v>46012</v>
      </c>
      <c r="D1412" t="inlineStr">
        <is>
          <t>VÄRMLANDS LÄN</t>
        </is>
      </c>
      <c r="E1412" t="inlineStr">
        <is>
          <t>ARVIKA</t>
        </is>
      </c>
      <c r="G1412" t="n">
        <v>7.5</v>
      </c>
      <c r="H1412" t="n">
        <v>0</v>
      </c>
      <c r="I1412" t="n">
        <v>0</v>
      </c>
      <c r="J1412" t="n">
        <v>0</v>
      </c>
      <c r="K1412" t="n">
        <v>0</v>
      </c>
      <c r="L1412" t="n">
        <v>0</v>
      </c>
      <c r="M1412" t="n">
        <v>0</v>
      </c>
      <c r="N1412" t="n">
        <v>0</v>
      </c>
      <c r="O1412" t="n">
        <v>0</v>
      </c>
      <c r="P1412" t="n">
        <v>0</v>
      </c>
      <c r="Q1412" t="n">
        <v>0</v>
      </c>
      <c r="R1412" s="2" t="inlineStr"/>
    </row>
    <row r="1413" ht="15" customHeight="1">
      <c r="A1413" t="inlineStr">
        <is>
          <t>A 62169-2024</t>
        </is>
      </c>
      <c r="B1413" s="1" t="n">
        <v>45657.61693287037</v>
      </c>
      <c r="C1413" s="1" t="n">
        <v>46012</v>
      </c>
      <c r="D1413" t="inlineStr">
        <is>
          <t>VÄRMLANDS LÄN</t>
        </is>
      </c>
      <c r="E1413" t="inlineStr">
        <is>
          <t>ARVIKA</t>
        </is>
      </c>
      <c r="G1413" t="n">
        <v>2.5</v>
      </c>
      <c r="H1413" t="n">
        <v>0</v>
      </c>
      <c r="I1413" t="n">
        <v>0</v>
      </c>
      <c r="J1413" t="n">
        <v>0</v>
      </c>
      <c r="K1413" t="n">
        <v>0</v>
      </c>
      <c r="L1413" t="n">
        <v>0</v>
      </c>
      <c r="M1413" t="n">
        <v>0</v>
      </c>
      <c r="N1413" t="n">
        <v>0</v>
      </c>
      <c r="O1413" t="n">
        <v>0</v>
      </c>
      <c r="P1413" t="n">
        <v>0</v>
      </c>
      <c r="Q1413" t="n">
        <v>0</v>
      </c>
      <c r="R1413" s="2" t="inlineStr"/>
    </row>
    <row r="1414" ht="15" customHeight="1">
      <c r="A1414" t="inlineStr">
        <is>
          <t>A 8165-2024</t>
        </is>
      </c>
      <c r="B1414" s="1" t="n">
        <v>45351</v>
      </c>
      <c r="C1414" s="1" t="n">
        <v>46012</v>
      </c>
      <c r="D1414" t="inlineStr">
        <is>
          <t>VÄRMLANDS LÄN</t>
        </is>
      </c>
      <c r="E1414" t="inlineStr">
        <is>
          <t>ARVIKA</t>
        </is>
      </c>
      <c r="G1414" t="n">
        <v>3.2</v>
      </c>
      <c r="H1414" t="n">
        <v>0</v>
      </c>
      <c r="I1414" t="n">
        <v>0</v>
      </c>
      <c r="J1414" t="n">
        <v>0</v>
      </c>
      <c r="K1414" t="n">
        <v>0</v>
      </c>
      <c r="L1414" t="n">
        <v>0</v>
      </c>
      <c r="M1414" t="n">
        <v>0</v>
      </c>
      <c r="N1414" t="n">
        <v>0</v>
      </c>
      <c r="O1414" t="n">
        <v>0</v>
      </c>
      <c r="P1414" t="n">
        <v>0</v>
      </c>
      <c r="Q1414" t="n">
        <v>0</v>
      </c>
      <c r="R1414" s="2" t="inlineStr"/>
    </row>
    <row r="1415" ht="15" customHeight="1">
      <c r="A1415" t="inlineStr">
        <is>
          <t>A 61927-2024</t>
        </is>
      </c>
      <c r="B1415" s="1" t="n">
        <v>45653</v>
      </c>
      <c r="C1415" s="1" t="n">
        <v>46012</v>
      </c>
      <c r="D1415" t="inlineStr">
        <is>
          <t>VÄRMLANDS LÄN</t>
        </is>
      </c>
      <c r="E1415" t="inlineStr">
        <is>
          <t>ARVIKA</t>
        </is>
      </c>
      <c r="F1415" t="inlineStr">
        <is>
          <t>Bergvik skog väst AB</t>
        </is>
      </c>
      <c r="G1415" t="n">
        <v>2.2</v>
      </c>
      <c r="H1415" t="n">
        <v>0</v>
      </c>
      <c r="I1415" t="n">
        <v>0</v>
      </c>
      <c r="J1415" t="n">
        <v>0</v>
      </c>
      <c r="K1415" t="n">
        <v>0</v>
      </c>
      <c r="L1415" t="n">
        <v>0</v>
      </c>
      <c r="M1415" t="n">
        <v>0</v>
      </c>
      <c r="N1415" t="n">
        <v>0</v>
      </c>
      <c r="O1415" t="n">
        <v>0</v>
      </c>
      <c r="P1415" t="n">
        <v>0</v>
      </c>
      <c r="Q1415" t="n">
        <v>0</v>
      </c>
      <c r="R1415" s="2" t="inlineStr"/>
    </row>
    <row r="1416" ht="15" customHeight="1">
      <c r="A1416" t="inlineStr">
        <is>
          <t>A 63128-2023</t>
        </is>
      </c>
      <c r="B1416" s="1" t="n">
        <v>45273</v>
      </c>
      <c r="C1416" s="1" t="n">
        <v>46012</v>
      </c>
      <c r="D1416" t="inlineStr">
        <is>
          <t>VÄRMLANDS LÄN</t>
        </is>
      </c>
      <c r="E1416" t="inlineStr">
        <is>
          <t>ARVIKA</t>
        </is>
      </c>
      <c r="G1416" t="n">
        <v>1.7</v>
      </c>
      <c r="H1416" t="n">
        <v>0</v>
      </c>
      <c r="I1416" t="n">
        <v>0</v>
      </c>
      <c r="J1416" t="n">
        <v>0</v>
      </c>
      <c r="K1416" t="n">
        <v>0</v>
      </c>
      <c r="L1416" t="n">
        <v>0</v>
      </c>
      <c r="M1416" t="n">
        <v>0</v>
      </c>
      <c r="N1416" t="n">
        <v>0</v>
      </c>
      <c r="O1416" t="n">
        <v>0</v>
      </c>
      <c r="P1416" t="n">
        <v>0</v>
      </c>
      <c r="Q1416" t="n">
        <v>0</v>
      </c>
      <c r="R1416" s="2" t="inlineStr"/>
    </row>
    <row r="1417" ht="15" customHeight="1">
      <c r="A1417" t="inlineStr">
        <is>
          <t>A 58151-2024</t>
        </is>
      </c>
      <c r="B1417" s="1" t="n">
        <v>45632</v>
      </c>
      <c r="C1417" s="1" t="n">
        <v>46012</v>
      </c>
      <c r="D1417" t="inlineStr">
        <is>
          <t>VÄRMLANDS LÄN</t>
        </is>
      </c>
      <c r="E1417" t="inlineStr">
        <is>
          <t>ARVIKA</t>
        </is>
      </c>
      <c r="F1417" t="inlineStr">
        <is>
          <t>Bergvik skog väst AB</t>
        </is>
      </c>
      <c r="G1417" t="n">
        <v>1.4</v>
      </c>
      <c r="H1417" t="n">
        <v>0</v>
      </c>
      <c r="I1417" t="n">
        <v>0</v>
      </c>
      <c r="J1417" t="n">
        <v>0</v>
      </c>
      <c r="K1417" t="n">
        <v>0</v>
      </c>
      <c r="L1417" t="n">
        <v>0</v>
      </c>
      <c r="M1417" t="n">
        <v>0</v>
      </c>
      <c r="N1417" t="n">
        <v>0</v>
      </c>
      <c r="O1417" t="n">
        <v>0</v>
      </c>
      <c r="P1417" t="n">
        <v>0</v>
      </c>
      <c r="Q1417" t="n">
        <v>0</v>
      </c>
      <c r="R1417" s="2" t="inlineStr"/>
    </row>
    <row r="1418" ht="15" customHeight="1">
      <c r="A1418" t="inlineStr">
        <is>
          <t>A 58153-2024</t>
        </is>
      </c>
      <c r="B1418" s="1" t="n">
        <v>45632</v>
      </c>
      <c r="C1418" s="1" t="n">
        <v>46012</v>
      </c>
      <c r="D1418" t="inlineStr">
        <is>
          <t>VÄRMLANDS LÄN</t>
        </is>
      </c>
      <c r="E1418" t="inlineStr">
        <is>
          <t>ARVIKA</t>
        </is>
      </c>
      <c r="F1418" t="inlineStr">
        <is>
          <t>Bergvik skog väst AB</t>
        </is>
      </c>
      <c r="G1418" t="n">
        <v>1.9</v>
      </c>
      <c r="H1418" t="n">
        <v>0</v>
      </c>
      <c r="I1418" t="n">
        <v>0</v>
      </c>
      <c r="J1418" t="n">
        <v>0</v>
      </c>
      <c r="K1418" t="n">
        <v>0</v>
      </c>
      <c r="L1418" t="n">
        <v>0</v>
      </c>
      <c r="M1418" t="n">
        <v>0</v>
      </c>
      <c r="N1418" t="n">
        <v>0</v>
      </c>
      <c r="O1418" t="n">
        <v>0</v>
      </c>
      <c r="P1418" t="n">
        <v>0</v>
      </c>
      <c r="Q1418" t="n">
        <v>0</v>
      </c>
      <c r="R1418" s="2" t="inlineStr"/>
    </row>
    <row r="1419" ht="15" customHeight="1">
      <c r="A1419" t="inlineStr">
        <is>
          <t>A 8702-2023</t>
        </is>
      </c>
      <c r="B1419" s="1" t="n">
        <v>44978.36069444445</v>
      </c>
      <c r="C1419" s="1" t="n">
        <v>46012</v>
      </c>
      <c r="D1419" t="inlineStr">
        <is>
          <t>VÄRMLANDS LÄN</t>
        </is>
      </c>
      <c r="E1419" t="inlineStr">
        <is>
          <t>ARVIKA</t>
        </is>
      </c>
      <c r="G1419" t="n">
        <v>1.2</v>
      </c>
      <c r="H1419" t="n">
        <v>0</v>
      </c>
      <c r="I1419" t="n">
        <v>0</v>
      </c>
      <c r="J1419" t="n">
        <v>0</v>
      </c>
      <c r="K1419" t="n">
        <v>0</v>
      </c>
      <c r="L1419" t="n">
        <v>0</v>
      </c>
      <c r="M1419" t="n">
        <v>0</v>
      </c>
      <c r="N1419" t="n">
        <v>0</v>
      </c>
      <c r="O1419" t="n">
        <v>0</v>
      </c>
      <c r="P1419" t="n">
        <v>0</v>
      </c>
      <c r="Q1419" t="n">
        <v>0</v>
      </c>
      <c r="R1419" s="2" t="inlineStr"/>
    </row>
    <row r="1420" ht="15" customHeight="1">
      <c r="A1420" t="inlineStr">
        <is>
          <t>A 74330-2021</t>
        </is>
      </c>
      <c r="B1420" s="1" t="n">
        <v>44559</v>
      </c>
      <c r="C1420" s="1" t="n">
        <v>46012</v>
      </c>
      <c r="D1420" t="inlineStr">
        <is>
          <t>VÄRMLANDS LÄN</t>
        </is>
      </c>
      <c r="E1420" t="inlineStr">
        <is>
          <t>ARVIKA</t>
        </is>
      </c>
      <c r="G1420" t="n">
        <v>1.5</v>
      </c>
      <c r="H1420" t="n">
        <v>0</v>
      </c>
      <c r="I1420" t="n">
        <v>0</v>
      </c>
      <c r="J1420" t="n">
        <v>0</v>
      </c>
      <c r="K1420" t="n">
        <v>0</v>
      </c>
      <c r="L1420" t="n">
        <v>0</v>
      </c>
      <c r="M1420" t="n">
        <v>0</v>
      </c>
      <c r="N1420" t="n">
        <v>0</v>
      </c>
      <c r="O1420" t="n">
        <v>0</v>
      </c>
      <c r="P1420" t="n">
        <v>0</v>
      </c>
      <c r="Q1420" t="n">
        <v>0</v>
      </c>
      <c r="R1420" s="2" t="inlineStr"/>
    </row>
    <row r="1421" ht="15" customHeight="1">
      <c r="A1421" t="inlineStr">
        <is>
          <t>A 35992-2023</t>
        </is>
      </c>
      <c r="B1421" s="1" t="n">
        <v>45149</v>
      </c>
      <c r="C1421" s="1" t="n">
        <v>46012</v>
      </c>
      <c r="D1421" t="inlineStr">
        <is>
          <t>VÄRMLANDS LÄN</t>
        </is>
      </c>
      <c r="E1421" t="inlineStr">
        <is>
          <t>ARVIKA</t>
        </is>
      </c>
      <c r="F1421" t="inlineStr">
        <is>
          <t>Kyrkan</t>
        </is>
      </c>
      <c r="G1421" t="n">
        <v>2.1</v>
      </c>
      <c r="H1421" t="n">
        <v>0</v>
      </c>
      <c r="I1421" t="n">
        <v>0</v>
      </c>
      <c r="J1421" t="n">
        <v>0</v>
      </c>
      <c r="K1421" t="n">
        <v>0</v>
      </c>
      <c r="L1421" t="n">
        <v>0</v>
      </c>
      <c r="M1421" t="n">
        <v>0</v>
      </c>
      <c r="N1421" t="n">
        <v>0</v>
      </c>
      <c r="O1421" t="n">
        <v>0</v>
      </c>
      <c r="P1421" t="n">
        <v>0</v>
      </c>
      <c r="Q1421" t="n">
        <v>0</v>
      </c>
      <c r="R1421" s="2" t="inlineStr"/>
    </row>
    <row r="1422" ht="15" customHeight="1">
      <c r="A1422" t="inlineStr">
        <is>
          <t>A 59104-2024</t>
        </is>
      </c>
      <c r="B1422" s="1" t="n">
        <v>45637</v>
      </c>
      <c r="C1422" s="1" t="n">
        <v>46012</v>
      </c>
      <c r="D1422" t="inlineStr">
        <is>
          <t>VÄRMLANDS LÄN</t>
        </is>
      </c>
      <c r="E1422" t="inlineStr">
        <is>
          <t>ARVIKA</t>
        </is>
      </c>
      <c r="G1422" t="n">
        <v>0.3</v>
      </c>
      <c r="H1422" t="n">
        <v>0</v>
      </c>
      <c r="I1422" t="n">
        <v>0</v>
      </c>
      <c r="J1422" t="n">
        <v>0</v>
      </c>
      <c r="K1422" t="n">
        <v>0</v>
      </c>
      <c r="L1422" t="n">
        <v>0</v>
      </c>
      <c r="M1422" t="n">
        <v>0</v>
      </c>
      <c r="N1422" t="n">
        <v>0</v>
      </c>
      <c r="O1422" t="n">
        <v>0</v>
      </c>
      <c r="P1422" t="n">
        <v>0</v>
      </c>
      <c r="Q1422" t="n">
        <v>0</v>
      </c>
      <c r="R1422" s="2" t="inlineStr"/>
    </row>
    <row r="1423" ht="15" customHeight="1">
      <c r="A1423" t="inlineStr">
        <is>
          <t>A 60516-2024</t>
        </is>
      </c>
      <c r="B1423" s="1" t="n">
        <v>45643</v>
      </c>
      <c r="C1423" s="1" t="n">
        <v>46012</v>
      </c>
      <c r="D1423" t="inlineStr">
        <is>
          <t>VÄRMLANDS LÄN</t>
        </is>
      </c>
      <c r="E1423" t="inlineStr">
        <is>
          <t>ARVIKA</t>
        </is>
      </c>
      <c r="G1423" t="n">
        <v>1.6</v>
      </c>
      <c r="H1423" t="n">
        <v>0</v>
      </c>
      <c r="I1423" t="n">
        <v>0</v>
      </c>
      <c r="J1423" t="n">
        <v>0</v>
      </c>
      <c r="K1423" t="n">
        <v>0</v>
      </c>
      <c r="L1423" t="n">
        <v>0</v>
      </c>
      <c r="M1423" t="n">
        <v>0</v>
      </c>
      <c r="N1423" t="n">
        <v>0</v>
      </c>
      <c r="O1423" t="n">
        <v>0</v>
      </c>
      <c r="P1423" t="n">
        <v>0</v>
      </c>
      <c r="Q1423" t="n">
        <v>0</v>
      </c>
      <c r="R1423" s="2" t="inlineStr"/>
    </row>
    <row r="1424" ht="15" customHeight="1">
      <c r="A1424" t="inlineStr">
        <is>
          <t>A 44419-2021</t>
        </is>
      </c>
      <c r="B1424" s="1" t="n">
        <v>44435</v>
      </c>
      <c r="C1424" s="1" t="n">
        <v>46012</v>
      </c>
      <c r="D1424" t="inlineStr">
        <is>
          <t>VÄRMLANDS LÄN</t>
        </is>
      </c>
      <c r="E1424" t="inlineStr">
        <is>
          <t>ARVIKA</t>
        </is>
      </c>
      <c r="G1424" t="n">
        <v>4.3</v>
      </c>
      <c r="H1424" t="n">
        <v>0</v>
      </c>
      <c r="I1424" t="n">
        <v>0</v>
      </c>
      <c r="J1424" t="n">
        <v>0</v>
      </c>
      <c r="K1424" t="n">
        <v>0</v>
      </c>
      <c r="L1424" t="n">
        <v>0</v>
      </c>
      <c r="M1424" t="n">
        <v>0</v>
      </c>
      <c r="N1424" t="n">
        <v>0</v>
      </c>
      <c r="O1424" t="n">
        <v>0</v>
      </c>
      <c r="P1424" t="n">
        <v>0</v>
      </c>
      <c r="Q1424" t="n">
        <v>0</v>
      </c>
      <c r="R1424" s="2" t="inlineStr"/>
    </row>
    <row r="1425" ht="15" customHeight="1">
      <c r="A1425" t="inlineStr">
        <is>
          <t>A 5329-2025</t>
        </is>
      </c>
      <c r="B1425" s="1" t="n">
        <v>45692.53505787037</v>
      </c>
      <c r="C1425" s="1" t="n">
        <v>46012</v>
      </c>
      <c r="D1425" t="inlineStr">
        <is>
          <t>VÄRMLANDS LÄN</t>
        </is>
      </c>
      <c r="E1425" t="inlineStr">
        <is>
          <t>ARVIKA</t>
        </is>
      </c>
      <c r="F1425" t="inlineStr">
        <is>
          <t>Kommuner</t>
        </is>
      </c>
      <c r="G1425" t="n">
        <v>3.8</v>
      </c>
      <c r="H1425" t="n">
        <v>0</v>
      </c>
      <c r="I1425" t="n">
        <v>0</v>
      </c>
      <c r="J1425" t="n">
        <v>0</v>
      </c>
      <c r="K1425" t="n">
        <v>0</v>
      </c>
      <c r="L1425" t="n">
        <v>0</v>
      </c>
      <c r="M1425" t="n">
        <v>0</v>
      </c>
      <c r="N1425" t="n">
        <v>0</v>
      </c>
      <c r="O1425" t="n">
        <v>0</v>
      </c>
      <c r="P1425" t="n">
        <v>0</v>
      </c>
      <c r="Q1425" t="n">
        <v>0</v>
      </c>
      <c r="R1425" s="2" t="inlineStr"/>
    </row>
    <row r="1426" ht="15" customHeight="1">
      <c r="A1426" t="inlineStr">
        <is>
          <t>A 60528-2024</t>
        </is>
      </c>
      <c r="B1426" s="1" t="n">
        <v>45643.70802083334</v>
      </c>
      <c r="C1426" s="1" t="n">
        <v>46012</v>
      </c>
      <c r="D1426" t="inlineStr">
        <is>
          <t>VÄRMLANDS LÄN</t>
        </is>
      </c>
      <c r="E1426" t="inlineStr">
        <is>
          <t>ARVIKA</t>
        </is>
      </c>
      <c r="F1426" t="inlineStr">
        <is>
          <t>Bergvik skog väst AB</t>
        </is>
      </c>
      <c r="G1426" t="n">
        <v>3.6</v>
      </c>
      <c r="H1426" t="n">
        <v>0</v>
      </c>
      <c r="I1426" t="n">
        <v>0</v>
      </c>
      <c r="J1426" t="n">
        <v>0</v>
      </c>
      <c r="K1426" t="n">
        <v>0</v>
      </c>
      <c r="L1426" t="n">
        <v>0</v>
      </c>
      <c r="M1426" t="n">
        <v>0</v>
      </c>
      <c r="N1426" t="n">
        <v>0</v>
      </c>
      <c r="O1426" t="n">
        <v>0</v>
      </c>
      <c r="P1426" t="n">
        <v>0</v>
      </c>
      <c r="Q1426" t="n">
        <v>0</v>
      </c>
      <c r="R1426" s="2" t="inlineStr"/>
    </row>
    <row r="1427" ht="15" customHeight="1">
      <c r="A1427" t="inlineStr">
        <is>
          <t>A 22262-2024</t>
        </is>
      </c>
      <c r="B1427" s="1" t="n">
        <v>45446.49438657407</v>
      </c>
      <c r="C1427" s="1" t="n">
        <v>46012</v>
      </c>
      <c r="D1427" t="inlineStr">
        <is>
          <t>VÄRMLANDS LÄN</t>
        </is>
      </c>
      <c r="E1427" t="inlineStr">
        <is>
          <t>ARVIKA</t>
        </is>
      </c>
      <c r="F1427" t="inlineStr">
        <is>
          <t>Bergvik skog väst AB</t>
        </is>
      </c>
      <c r="G1427" t="n">
        <v>25.5</v>
      </c>
      <c r="H1427" t="n">
        <v>0</v>
      </c>
      <c r="I1427" t="n">
        <v>0</v>
      </c>
      <c r="J1427" t="n">
        <v>0</v>
      </c>
      <c r="K1427" t="n">
        <v>0</v>
      </c>
      <c r="L1427" t="n">
        <v>0</v>
      </c>
      <c r="M1427" t="n">
        <v>0</v>
      </c>
      <c r="N1427" t="n">
        <v>0</v>
      </c>
      <c r="O1427" t="n">
        <v>0</v>
      </c>
      <c r="P1427" t="n">
        <v>0</v>
      </c>
      <c r="Q1427" t="n">
        <v>0</v>
      </c>
      <c r="R1427" s="2" t="inlineStr"/>
    </row>
    <row r="1428" ht="15" customHeight="1">
      <c r="A1428" t="inlineStr">
        <is>
          <t>A 60998-2024</t>
        </is>
      </c>
      <c r="B1428" s="1" t="n">
        <v>45645</v>
      </c>
      <c r="C1428" s="1" t="n">
        <v>46012</v>
      </c>
      <c r="D1428" t="inlineStr">
        <is>
          <t>VÄRMLANDS LÄN</t>
        </is>
      </c>
      <c r="E1428" t="inlineStr">
        <is>
          <t>ARVIKA</t>
        </is>
      </c>
      <c r="G1428" t="n">
        <v>2.8</v>
      </c>
      <c r="H1428" t="n">
        <v>0</v>
      </c>
      <c r="I1428" t="n">
        <v>0</v>
      </c>
      <c r="J1428" t="n">
        <v>0</v>
      </c>
      <c r="K1428" t="n">
        <v>0</v>
      </c>
      <c r="L1428" t="n">
        <v>0</v>
      </c>
      <c r="M1428" t="n">
        <v>0</v>
      </c>
      <c r="N1428" t="n">
        <v>0</v>
      </c>
      <c r="O1428" t="n">
        <v>0</v>
      </c>
      <c r="P1428" t="n">
        <v>0</v>
      </c>
      <c r="Q1428" t="n">
        <v>0</v>
      </c>
      <c r="R1428" s="2" t="inlineStr"/>
    </row>
    <row r="1429" ht="15" customHeight="1">
      <c r="A1429" t="inlineStr">
        <is>
          <t>A 1309-2025</t>
        </is>
      </c>
      <c r="B1429" s="1" t="n">
        <v>45667</v>
      </c>
      <c r="C1429" s="1" t="n">
        <v>46012</v>
      </c>
      <c r="D1429" t="inlineStr">
        <is>
          <t>VÄRMLANDS LÄN</t>
        </is>
      </c>
      <c r="E1429" t="inlineStr">
        <is>
          <t>ARVIKA</t>
        </is>
      </c>
      <c r="F1429" t="inlineStr">
        <is>
          <t>Bergvik skog väst AB</t>
        </is>
      </c>
      <c r="G1429" t="n">
        <v>14.5</v>
      </c>
      <c r="H1429" t="n">
        <v>0</v>
      </c>
      <c r="I1429" t="n">
        <v>0</v>
      </c>
      <c r="J1429" t="n">
        <v>0</v>
      </c>
      <c r="K1429" t="n">
        <v>0</v>
      </c>
      <c r="L1429" t="n">
        <v>0</v>
      </c>
      <c r="M1429" t="n">
        <v>0</v>
      </c>
      <c r="N1429" t="n">
        <v>0</v>
      </c>
      <c r="O1429" t="n">
        <v>0</v>
      </c>
      <c r="P1429" t="n">
        <v>0</v>
      </c>
      <c r="Q1429" t="n">
        <v>0</v>
      </c>
      <c r="R1429" s="2" t="inlineStr"/>
    </row>
    <row r="1430" ht="15" customHeight="1">
      <c r="A1430" t="inlineStr">
        <is>
          <t>A 17123-2025</t>
        </is>
      </c>
      <c r="B1430" s="1" t="n">
        <v>45755.69649305556</v>
      </c>
      <c r="C1430" s="1" t="n">
        <v>46012</v>
      </c>
      <c r="D1430" t="inlineStr">
        <is>
          <t>VÄRMLANDS LÄN</t>
        </is>
      </c>
      <c r="E1430" t="inlineStr">
        <is>
          <t>ARVIKA</t>
        </is>
      </c>
      <c r="G1430" t="n">
        <v>1.1</v>
      </c>
      <c r="H1430" t="n">
        <v>0</v>
      </c>
      <c r="I1430" t="n">
        <v>0</v>
      </c>
      <c r="J1430" t="n">
        <v>0</v>
      </c>
      <c r="K1430" t="n">
        <v>0</v>
      </c>
      <c r="L1430" t="n">
        <v>0</v>
      </c>
      <c r="M1430" t="n">
        <v>0</v>
      </c>
      <c r="N1430" t="n">
        <v>0</v>
      </c>
      <c r="O1430" t="n">
        <v>0</v>
      </c>
      <c r="P1430" t="n">
        <v>0</v>
      </c>
      <c r="Q1430" t="n">
        <v>0</v>
      </c>
      <c r="R1430" s="2" t="inlineStr"/>
    </row>
    <row r="1431" ht="15" customHeight="1">
      <c r="A1431" t="inlineStr">
        <is>
          <t>A 11321-2025</t>
        </is>
      </c>
      <c r="B1431" s="1" t="n">
        <v>45726.46517361111</v>
      </c>
      <c r="C1431" s="1" t="n">
        <v>46012</v>
      </c>
      <c r="D1431" t="inlineStr">
        <is>
          <t>VÄRMLANDS LÄN</t>
        </is>
      </c>
      <c r="E1431" t="inlineStr">
        <is>
          <t>ARVIKA</t>
        </is>
      </c>
      <c r="G1431" t="n">
        <v>0.5</v>
      </c>
      <c r="H1431" t="n">
        <v>0</v>
      </c>
      <c r="I1431" t="n">
        <v>0</v>
      </c>
      <c r="J1431" t="n">
        <v>0</v>
      </c>
      <c r="K1431" t="n">
        <v>0</v>
      </c>
      <c r="L1431" t="n">
        <v>0</v>
      </c>
      <c r="M1431" t="n">
        <v>0</v>
      </c>
      <c r="N1431" t="n">
        <v>0</v>
      </c>
      <c r="O1431" t="n">
        <v>0</v>
      </c>
      <c r="P1431" t="n">
        <v>0</v>
      </c>
      <c r="Q1431" t="n">
        <v>0</v>
      </c>
      <c r="R1431" s="2" t="inlineStr"/>
    </row>
    <row r="1432" ht="15" customHeight="1">
      <c r="A1432" t="inlineStr">
        <is>
          <t>A 11342-2025</t>
        </is>
      </c>
      <c r="B1432" s="1" t="n">
        <v>45726</v>
      </c>
      <c r="C1432" s="1" t="n">
        <v>46012</v>
      </c>
      <c r="D1432" t="inlineStr">
        <is>
          <t>VÄRMLANDS LÄN</t>
        </is>
      </c>
      <c r="E1432" t="inlineStr">
        <is>
          <t>ARVIKA</t>
        </is>
      </c>
      <c r="G1432" t="n">
        <v>0.9</v>
      </c>
      <c r="H1432" t="n">
        <v>0</v>
      </c>
      <c r="I1432" t="n">
        <v>0</v>
      </c>
      <c r="J1432" t="n">
        <v>0</v>
      </c>
      <c r="K1432" t="n">
        <v>0</v>
      </c>
      <c r="L1432" t="n">
        <v>0</v>
      </c>
      <c r="M1432" t="n">
        <v>0</v>
      </c>
      <c r="N1432" t="n">
        <v>0</v>
      </c>
      <c r="O1432" t="n">
        <v>0</v>
      </c>
      <c r="P1432" t="n">
        <v>0</v>
      </c>
      <c r="Q1432" t="n">
        <v>0</v>
      </c>
      <c r="R1432" s="2" t="inlineStr"/>
    </row>
    <row r="1433" ht="15" customHeight="1">
      <c r="A1433" t="inlineStr">
        <is>
          <t>A 16559-2025</t>
        </is>
      </c>
      <c r="B1433" s="1" t="n">
        <v>45751</v>
      </c>
      <c r="C1433" s="1" t="n">
        <v>46012</v>
      </c>
      <c r="D1433" t="inlineStr">
        <is>
          <t>VÄRMLANDS LÄN</t>
        </is>
      </c>
      <c r="E1433" t="inlineStr">
        <is>
          <t>ARVIKA</t>
        </is>
      </c>
      <c r="F1433" t="inlineStr">
        <is>
          <t>Kommuner</t>
        </is>
      </c>
      <c r="G1433" t="n">
        <v>0.7</v>
      </c>
      <c r="H1433" t="n">
        <v>0</v>
      </c>
      <c r="I1433" t="n">
        <v>0</v>
      </c>
      <c r="J1433" t="n">
        <v>0</v>
      </c>
      <c r="K1433" t="n">
        <v>0</v>
      </c>
      <c r="L1433" t="n">
        <v>0</v>
      </c>
      <c r="M1433" t="n">
        <v>0</v>
      </c>
      <c r="N1433" t="n">
        <v>0</v>
      </c>
      <c r="O1433" t="n">
        <v>0</v>
      </c>
      <c r="P1433" t="n">
        <v>0</v>
      </c>
      <c r="Q1433" t="n">
        <v>0</v>
      </c>
      <c r="R1433" s="2" t="inlineStr"/>
    </row>
    <row r="1434" ht="15" customHeight="1">
      <c r="A1434" t="inlineStr">
        <is>
          <t>A 6868-2024</t>
        </is>
      </c>
      <c r="B1434" s="1" t="n">
        <v>45342</v>
      </c>
      <c r="C1434" s="1" t="n">
        <v>46012</v>
      </c>
      <c r="D1434" t="inlineStr">
        <is>
          <t>VÄRMLANDS LÄN</t>
        </is>
      </c>
      <c r="E1434" t="inlineStr">
        <is>
          <t>ARVIKA</t>
        </is>
      </c>
      <c r="G1434" t="n">
        <v>3.6</v>
      </c>
      <c r="H1434" t="n">
        <v>0</v>
      </c>
      <c r="I1434" t="n">
        <v>0</v>
      </c>
      <c r="J1434" t="n">
        <v>0</v>
      </c>
      <c r="K1434" t="n">
        <v>0</v>
      </c>
      <c r="L1434" t="n">
        <v>0</v>
      </c>
      <c r="M1434" t="n">
        <v>0</v>
      </c>
      <c r="N1434" t="n">
        <v>0</v>
      </c>
      <c r="O1434" t="n">
        <v>0</v>
      </c>
      <c r="P1434" t="n">
        <v>0</v>
      </c>
      <c r="Q1434" t="n">
        <v>0</v>
      </c>
      <c r="R1434" s="2" t="inlineStr"/>
    </row>
    <row r="1435" ht="15" customHeight="1">
      <c r="A1435" t="inlineStr">
        <is>
          <t>A 10475-2025</t>
        </is>
      </c>
      <c r="B1435" s="1" t="n">
        <v>45720</v>
      </c>
      <c r="C1435" s="1" t="n">
        <v>46012</v>
      </c>
      <c r="D1435" t="inlineStr">
        <is>
          <t>VÄRMLANDS LÄN</t>
        </is>
      </c>
      <c r="E1435" t="inlineStr">
        <is>
          <t>ARVIKA</t>
        </is>
      </c>
      <c r="F1435" t="inlineStr">
        <is>
          <t>Kyrkan</t>
        </is>
      </c>
      <c r="G1435" t="n">
        <v>4.1</v>
      </c>
      <c r="H1435" t="n">
        <v>0</v>
      </c>
      <c r="I1435" t="n">
        <v>0</v>
      </c>
      <c r="J1435" t="n">
        <v>0</v>
      </c>
      <c r="K1435" t="n">
        <v>0</v>
      </c>
      <c r="L1435" t="n">
        <v>0</v>
      </c>
      <c r="M1435" t="n">
        <v>0</v>
      </c>
      <c r="N1435" t="n">
        <v>0</v>
      </c>
      <c r="O1435" t="n">
        <v>0</v>
      </c>
      <c r="P1435" t="n">
        <v>0</v>
      </c>
      <c r="Q1435" t="n">
        <v>0</v>
      </c>
      <c r="R1435" s="2" t="inlineStr"/>
    </row>
    <row r="1436" ht="15" customHeight="1">
      <c r="A1436" t="inlineStr">
        <is>
          <t>A 32577-2023</t>
        </is>
      </c>
      <c r="B1436" s="1" t="n">
        <v>45121.47208333333</v>
      </c>
      <c r="C1436" s="1" t="n">
        <v>46012</v>
      </c>
      <c r="D1436" t="inlineStr">
        <is>
          <t>VÄRMLANDS LÄN</t>
        </is>
      </c>
      <c r="E1436" t="inlineStr">
        <is>
          <t>ARVIKA</t>
        </is>
      </c>
      <c r="G1436" t="n">
        <v>0.9</v>
      </c>
      <c r="H1436" t="n">
        <v>0</v>
      </c>
      <c r="I1436" t="n">
        <v>0</v>
      </c>
      <c r="J1436" t="n">
        <v>0</v>
      </c>
      <c r="K1436" t="n">
        <v>0</v>
      </c>
      <c r="L1436" t="n">
        <v>0</v>
      </c>
      <c r="M1436" t="n">
        <v>0</v>
      </c>
      <c r="N1436" t="n">
        <v>0</v>
      </c>
      <c r="O1436" t="n">
        <v>0</v>
      </c>
      <c r="P1436" t="n">
        <v>0</v>
      </c>
      <c r="Q1436" t="n">
        <v>0</v>
      </c>
      <c r="R1436" s="2" t="inlineStr"/>
    </row>
    <row r="1437" ht="15" customHeight="1">
      <c r="A1437" t="inlineStr">
        <is>
          <t>A 32619-2023</t>
        </is>
      </c>
      <c r="B1437" s="1" t="n">
        <v>45121</v>
      </c>
      <c r="C1437" s="1" t="n">
        <v>46012</v>
      </c>
      <c r="D1437" t="inlineStr">
        <is>
          <t>VÄRMLANDS LÄN</t>
        </is>
      </c>
      <c r="E1437" t="inlineStr">
        <is>
          <t>ARVIKA</t>
        </is>
      </c>
      <c r="G1437" t="n">
        <v>2.2</v>
      </c>
      <c r="H1437" t="n">
        <v>0</v>
      </c>
      <c r="I1437" t="n">
        <v>0</v>
      </c>
      <c r="J1437" t="n">
        <v>0</v>
      </c>
      <c r="K1437" t="n">
        <v>0</v>
      </c>
      <c r="L1437" t="n">
        <v>0</v>
      </c>
      <c r="M1437" t="n">
        <v>0</v>
      </c>
      <c r="N1437" t="n">
        <v>0</v>
      </c>
      <c r="O1437" t="n">
        <v>0</v>
      </c>
      <c r="P1437" t="n">
        <v>0</v>
      </c>
      <c r="Q1437" t="n">
        <v>0</v>
      </c>
      <c r="R1437" s="2" t="inlineStr"/>
    </row>
    <row r="1438" ht="15" customHeight="1">
      <c r="A1438" t="inlineStr">
        <is>
          <t>A 58061-2024</t>
        </is>
      </c>
      <c r="B1438" s="1" t="n">
        <v>45631.89354166666</v>
      </c>
      <c r="C1438" s="1" t="n">
        <v>46012</v>
      </c>
      <c r="D1438" t="inlineStr">
        <is>
          <t>VÄRMLANDS LÄN</t>
        </is>
      </c>
      <c r="E1438" t="inlineStr">
        <is>
          <t>ARVIKA</t>
        </is>
      </c>
      <c r="G1438" t="n">
        <v>1.9</v>
      </c>
      <c r="H1438" t="n">
        <v>0</v>
      </c>
      <c r="I1438" t="n">
        <v>0</v>
      </c>
      <c r="J1438" t="n">
        <v>0</v>
      </c>
      <c r="K1438" t="n">
        <v>0</v>
      </c>
      <c r="L1438" t="n">
        <v>0</v>
      </c>
      <c r="M1438" t="n">
        <v>0</v>
      </c>
      <c r="N1438" t="n">
        <v>0</v>
      </c>
      <c r="O1438" t="n">
        <v>0</v>
      </c>
      <c r="P1438" t="n">
        <v>0</v>
      </c>
      <c r="Q1438" t="n">
        <v>0</v>
      </c>
      <c r="R1438" s="2" t="inlineStr"/>
    </row>
    <row r="1439" ht="15" customHeight="1">
      <c r="A1439" t="inlineStr">
        <is>
          <t>A 60826-2024</t>
        </is>
      </c>
      <c r="B1439" s="1" t="n">
        <v>45644</v>
      </c>
      <c r="C1439" s="1" t="n">
        <v>46012</v>
      </c>
      <c r="D1439" t="inlineStr">
        <is>
          <t>VÄRMLANDS LÄN</t>
        </is>
      </c>
      <c r="E1439" t="inlineStr">
        <is>
          <t>ARVIKA</t>
        </is>
      </c>
      <c r="G1439" t="n">
        <v>3</v>
      </c>
      <c r="H1439" t="n">
        <v>0</v>
      </c>
      <c r="I1439" t="n">
        <v>0</v>
      </c>
      <c r="J1439" t="n">
        <v>0</v>
      </c>
      <c r="K1439" t="n">
        <v>0</v>
      </c>
      <c r="L1439" t="n">
        <v>0</v>
      </c>
      <c r="M1439" t="n">
        <v>0</v>
      </c>
      <c r="N1439" t="n">
        <v>0</v>
      </c>
      <c r="O1439" t="n">
        <v>0</v>
      </c>
      <c r="P1439" t="n">
        <v>0</v>
      </c>
      <c r="Q1439" t="n">
        <v>0</v>
      </c>
      <c r="R1439" s="2" t="inlineStr"/>
    </row>
    <row r="1440" ht="15" customHeight="1">
      <c r="A1440" t="inlineStr">
        <is>
          <t>A 50383-2024</t>
        </is>
      </c>
      <c r="B1440" s="1" t="n">
        <v>45601.31583333333</v>
      </c>
      <c r="C1440" s="1" t="n">
        <v>46012</v>
      </c>
      <c r="D1440" t="inlineStr">
        <is>
          <t>VÄRMLANDS LÄN</t>
        </is>
      </c>
      <c r="E1440" t="inlineStr">
        <is>
          <t>ARVIKA</t>
        </is>
      </c>
      <c r="G1440" t="n">
        <v>1.5</v>
      </c>
      <c r="H1440" t="n">
        <v>0</v>
      </c>
      <c r="I1440" t="n">
        <v>0</v>
      </c>
      <c r="J1440" t="n">
        <v>0</v>
      </c>
      <c r="K1440" t="n">
        <v>0</v>
      </c>
      <c r="L1440" t="n">
        <v>0</v>
      </c>
      <c r="M1440" t="n">
        <v>0</v>
      </c>
      <c r="N1440" t="n">
        <v>0</v>
      </c>
      <c r="O1440" t="n">
        <v>0</v>
      </c>
      <c r="P1440" t="n">
        <v>0</v>
      </c>
      <c r="Q1440" t="n">
        <v>0</v>
      </c>
      <c r="R1440" s="2" t="inlineStr"/>
    </row>
    <row r="1441" ht="15" customHeight="1">
      <c r="A1441" t="inlineStr">
        <is>
          <t>A 4997-2025</t>
        </is>
      </c>
      <c r="B1441" s="1" t="n">
        <v>45691.35917824074</v>
      </c>
      <c r="C1441" s="1" t="n">
        <v>46012</v>
      </c>
      <c r="D1441" t="inlineStr">
        <is>
          <t>VÄRMLANDS LÄN</t>
        </is>
      </c>
      <c r="E1441" t="inlineStr">
        <is>
          <t>ARVIKA</t>
        </is>
      </c>
      <c r="G1441" t="n">
        <v>1.7</v>
      </c>
      <c r="H1441" t="n">
        <v>0</v>
      </c>
      <c r="I1441" t="n">
        <v>0</v>
      </c>
      <c r="J1441" t="n">
        <v>0</v>
      </c>
      <c r="K1441" t="n">
        <v>0</v>
      </c>
      <c r="L1441" t="n">
        <v>0</v>
      </c>
      <c r="M1441" t="n">
        <v>0</v>
      </c>
      <c r="N1441" t="n">
        <v>0</v>
      </c>
      <c r="O1441" t="n">
        <v>0</v>
      </c>
      <c r="P1441" t="n">
        <v>0</v>
      </c>
      <c r="Q1441" t="n">
        <v>0</v>
      </c>
      <c r="R1441" s="2" t="inlineStr"/>
    </row>
    <row r="1442" ht="15" customHeight="1">
      <c r="A1442" t="inlineStr">
        <is>
          <t>A 4506-2025</t>
        </is>
      </c>
      <c r="B1442" s="1" t="n">
        <v>45686.73459490741</v>
      </c>
      <c r="C1442" s="1" t="n">
        <v>46012</v>
      </c>
      <c r="D1442" t="inlineStr">
        <is>
          <t>VÄRMLANDS LÄN</t>
        </is>
      </c>
      <c r="E1442" t="inlineStr">
        <is>
          <t>ARVIKA</t>
        </is>
      </c>
      <c r="G1442" t="n">
        <v>0.2</v>
      </c>
      <c r="H1442" t="n">
        <v>0</v>
      </c>
      <c r="I1442" t="n">
        <v>0</v>
      </c>
      <c r="J1442" t="n">
        <v>0</v>
      </c>
      <c r="K1442" t="n">
        <v>0</v>
      </c>
      <c r="L1442" t="n">
        <v>0</v>
      </c>
      <c r="M1442" t="n">
        <v>0</v>
      </c>
      <c r="N1442" t="n">
        <v>0</v>
      </c>
      <c r="O1442" t="n">
        <v>0</v>
      </c>
      <c r="P1442" t="n">
        <v>0</v>
      </c>
      <c r="Q1442" t="n">
        <v>0</v>
      </c>
      <c r="R1442" s="2" t="inlineStr"/>
    </row>
    <row r="1443" ht="15" customHeight="1">
      <c r="A1443" t="inlineStr">
        <is>
          <t>A 48457-2023</t>
        </is>
      </c>
      <c r="B1443" s="1" t="n">
        <v>45206</v>
      </c>
      <c r="C1443" s="1" t="n">
        <v>46012</v>
      </c>
      <c r="D1443" t="inlineStr">
        <is>
          <t>VÄRMLANDS LÄN</t>
        </is>
      </c>
      <c r="E1443" t="inlineStr">
        <is>
          <t>ARVIKA</t>
        </is>
      </c>
      <c r="G1443" t="n">
        <v>1.7</v>
      </c>
      <c r="H1443" t="n">
        <v>0</v>
      </c>
      <c r="I1443" t="n">
        <v>0</v>
      </c>
      <c r="J1443" t="n">
        <v>0</v>
      </c>
      <c r="K1443" t="n">
        <v>0</v>
      </c>
      <c r="L1443" t="n">
        <v>0</v>
      </c>
      <c r="M1443" t="n">
        <v>0</v>
      </c>
      <c r="N1443" t="n">
        <v>0</v>
      </c>
      <c r="O1443" t="n">
        <v>0</v>
      </c>
      <c r="P1443" t="n">
        <v>0</v>
      </c>
      <c r="Q1443" t="n">
        <v>0</v>
      </c>
      <c r="R1443" s="2" t="inlineStr"/>
    </row>
    <row r="1444" ht="15" customHeight="1">
      <c r="A1444" t="inlineStr">
        <is>
          <t>A 51316-2024</t>
        </is>
      </c>
      <c r="B1444" s="1" t="n">
        <v>45604.32564814815</v>
      </c>
      <c r="C1444" s="1" t="n">
        <v>46012</v>
      </c>
      <c r="D1444" t="inlineStr">
        <is>
          <t>VÄRMLANDS LÄN</t>
        </is>
      </c>
      <c r="E1444" t="inlineStr">
        <is>
          <t>ARVIKA</t>
        </is>
      </c>
      <c r="G1444" t="n">
        <v>0.7</v>
      </c>
      <c r="H1444" t="n">
        <v>0</v>
      </c>
      <c r="I1444" t="n">
        <v>0</v>
      </c>
      <c r="J1444" t="n">
        <v>0</v>
      </c>
      <c r="K1444" t="n">
        <v>0</v>
      </c>
      <c r="L1444" t="n">
        <v>0</v>
      </c>
      <c r="M1444" t="n">
        <v>0</v>
      </c>
      <c r="N1444" t="n">
        <v>0</v>
      </c>
      <c r="O1444" t="n">
        <v>0</v>
      </c>
      <c r="P1444" t="n">
        <v>0</v>
      </c>
      <c r="Q1444" t="n">
        <v>0</v>
      </c>
      <c r="R1444" s="2" t="inlineStr"/>
    </row>
    <row r="1445" ht="15" customHeight="1">
      <c r="A1445" t="inlineStr">
        <is>
          <t>A 18477-2025</t>
        </is>
      </c>
      <c r="B1445" s="1" t="n">
        <v>45762.86576388889</v>
      </c>
      <c r="C1445" s="1" t="n">
        <v>46012</v>
      </c>
      <c r="D1445" t="inlineStr">
        <is>
          <t>VÄRMLANDS LÄN</t>
        </is>
      </c>
      <c r="E1445" t="inlineStr">
        <is>
          <t>ARVIKA</t>
        </is>
      </c>
      <c r="G1445" t="n">
        <v>2.2</v>
      </c>
      <c r="H1445" t="n">
        <v>0</v>
      </c>
      <c r="I1445" t="n">
        <v>0</v>
      </c>
      <c r="J1445" t="n">
        <v>0</v>
      </c>
      <c r="K1445" t="n">
        <v>0</v>
      </c>
      <c r="L1445" t="n">
        <v>0</v>
      </c>
      <c r="M1445" t="n">
        <v>0</v>
      </c>
      <c r="N1445" t="n">
        <v>0</v>
      </c>
      <c r="O1445" t="n">
        <v>0</v>
      </c>
      <c r="P1445" t="n">
        <v>0</v>
      </c>
      <c r="Q1445" t="n">
        <v>0</v>
      </c>
      <c r="R1445" s="2" t="inlineStr"/>
    </row>
    <row r="1446" ht="15" customHeight="1">
      <c r="A1446" t="inlineStr">
        <is>
          <t>A 20195-2025</t>
        </is>
      </c>
      <c r="B1446" s="1" t="n">
        <v>45772.60922453704</v>
      </c>
      <c r="C1446" s="1" t="n">
        <v>46012</v>
      </c>
      <c r="D1446" t="inlineStr">
        <is>
          <t>VÄRMLANDS LÄN</t>
        </is>
      </c>
      <c r="E1446" t="inlineStr">
        <is>
          <t>ARVIKA</t>
        </is>
      </c>
      <c r="G1446" t="n">
        <v>1.1</v>
      </c>
      <c r="H1446" t="n">
        <v>0</v>
      </c>
      <c r="I1446" t="n">
        <v>0</v>
      </c>
      <c r="J1446" t="n">
        <v>0</v>
      </c>
      <c r="K1446" t="n">
        <v>0</v>
      </c>
      <c r="L1446" t="n">
        <v>0</v>
      </c>
      <c r="M1446" t="n">
        <v>0</v>
      </c>
      <c r="N1446" t="n">
        <v>0</v>
      </c>
      <c r="O1446" t="n">
        <v>0</v>
      </c>
      <c r="P1446" t="n">
        <v>0</v>
      </c>
      <c r="Q1446" t="n">
        <v>0</v>
      </c>
      <c r="R1446" s="2" t="inlineStr"/>
    </row>
    <row r="1447" ht="15" customHeight="1">
      <c r="A1447" t="inlineStr">
        <is>
          <t>A 15640-2025</t>
        </is>
      </c>
      <c r="B1447" s="1" t="n">
        <v>45748</v>
      </c>
      <c r="C1447" s="1" t="n">
        <v>46012</v>
      </c>
      <c r="D1447" t="inlineStr">
        <is>
          <t>VÄRMLANDS LÄN</t>
        </is>
      </c>
      <c r="E1447" t="inlineStr">
        <is>
          <t>ARVIKA</t>
        </is>
      </c>
      <c r="F1447" t="inlineStr">
        <is>
          <t>Bergvik skog väst AB</t>
        </is>
      </c>
      <c r="G1447" t="n">
        <v>5.6</v>
      </c>
      <c r="H1447" t="n">
        <v>0</v>
      </c>
      <c r="I1447" t="n">
        <v>0</v>
      </c>
      <c r="J1447" t="n">
        <v>0</v>
      </c>
      <c r="K1447" t="n">
        <v>0</v>
      </c>
      <c r="L1447" t="n">
        <v>0</v>
      </c>
      <c r="M1447" t="n">
        <v>0</v>
      </c>
      <c r="N1447" t="n">
        <v>0</v>
      </c>
      <c r="O1447" t="n">
        <v>0</v>
      </c>
      <c r="P1447" t="n">
        <v>0</v>
      </c>
      <c r="Q1447" t="n">
        <v>0</v>
      </c>
      <c r="R1447" s="2" t="inlineStr"/>
    </row>
    <row r="1448" ht="15" customHeight="1">
      <c r="A1448" t="inlineStr">
        <is>
          <t>A 53892-2022</t>
        </is>
      </c>
      <c r="B1448" s="1" t="n">
        <v>44880</v>
      </c>
      <c r="C1448" s="1" t="n">
        <v>46012</v>
      </c>
      <c r="D1448" t="inlineStr">
        <is>
          <t>VÄRMLANDS LÄN</t>
        </is>
      </c>
      <c r="E1448" t="inlineStr">
        <is>
          <t>ARVIKA</t>
        </is>
      </c>
      <c r="G1448" t="n">
        <v>0.8</v>
      </c>
      <c r="H1448" t="n">
        <v>0</v>
      </c>
      <c r="I1448" t="n">
        <v>0</v>
      </c>
      <c r="J1448" t="n">
        <v>0</v>
      </c>
      <c r="K1448" t="n">
        <v>0</v>
      </c>
      <c r="L1448" t="n">
        <v>0</v>
      </c>
      <c r="M1448" t="n">
        <v>0</v>
      </c>
      <c r="N1448" t="n">
        <v>0</v>
      </c>
      <c r="O1448" t="n">
        <v>0</v>
      </c>
      <c r="P1448" t="n">
        <v>0</v>
      </c>
      <c r="Q1448" t="n">
        <v>0</v>
      </c>
      <c r="R1448" s="2" t="inlineStr"/>
    </row>
    <row r="1449" ht="15" customHeight="1">
      <c r="A1449" t="inlineStr">
        <is>
          <t>A 54158-2024</t>
        </is>
      </c>
      <c r="B1449" s="1" t="n">
        <v>45616.61067129629</v>
      </c>
      <c r="C1449" s="1" t="n">
        <v>46012</v>
      </c>
      <c r="D1449" t="inlineStr">
        <is>
          <t>VÄRMLANDS LÄN</t>
        </is>
      </c>
      <c r="E1449" t="inlineStr">
        <is>
          <t>ARVIKA</t>
        </is>
      </c>
      <c r="F1449" t="inlineStr">
        <is>
          <t>Bergvik skog väst AB</t>
        </is>
      </c>
      <c r="G1449" t="n">
        <v>7.4</v>
      </c>
      <c r="H1449" t="n">
        <v>0</v>
      </c>
      <c r="I1449" t="n">
        <v>0</v>
      </c>
      <c r="J1449" t="n">
        <v>0</v>
      </c>
      <c r="K1449" t="n">
        <v>0</v>
      </c>
      <c r="L1449" t="n">
        <v>0</v>
      </c>
      <c r="M1449" t="n">
        <v>0</v>
      </c>
      <c r="N1449" t="n">
        <v>0</v>
      </c>
      <c r="O1449" t="n">
        <v>0</v>
      </c>
      <c r="P1449" t="n">
        <v>0</v>
      </c>
      <c r="Q1449" t="n">
        <v>0</v>
      </c>
      <c r="R1449" s="2" t="inlineStr"/>
    </row>
    <row r="1450" ht="15" customHeight="1">
      <c r="A1450" t="inlineStr">
        <is>
          <t>A 33421-2024</t>
        </is>
      </c>
      <c r="B1450" s="1" t="n">
        <v>45519.50402777778</v>
      </c>
      <c r="C1450" s="1" t="n">
        <v>46012</v>
      </c>
      <c r="D1450" t="inlineStr">
        <is>
          <t>VÄRMLANDS LÄN</t>
        </is>
      </c>
      <c r="E1450" t="inlineStr">
        <is>
          <t>ARVIKA</t>
        </is>
      </c>
      <c r="F1450" t="inlineStr">
        <is>
          <t>Bergvik skog väst AB</t>
        </is>
      </c>
      <c r="G1450" t="n">
        <v>2.1</v>
      </c>
      <c r="H1450" t="n">
        <v>0</v>
      </c>
      <c r="I1450" t="n">
        <v>0</v>
      </c>
      <c r="J1450" t="n">
        <v>0</v>
      </c>
      <c r="K1450" t="n">
        <v>0</v>
      </c>
      <c r="L1450" t="n">
        <v>0</v>
      </c>
      <c r="M1450" t="n">
        <v>0</v>
      </c>
      <c r="N1450" t="n">
        <v>0</v>
      </c>
      <c r="O1450" t="n">
        <v>0</v>
      </c>
      <c r="P1450" t="n">
        <v>0</v>
      </c>
      <c r="Q1450" t="n">
        <v>0</v>
      </c>
      <c r="R1450" s="2" t="inlineStr"/>
    </row>
    <row r="1451" ht="15" customHeight="1">
      <c r="A1451" t="inlineStr">
        <is>
          <t>A 38531-2023</t>
        </is>
      </c>
      <c r="B1451" s="1" t="n">
        <v>45162.57219907407</v>
      </c>
      <c r="C1451" s="1" t="n">
        <v>46012</v>
      </c>
      <c r="D1451" t="inlineStr">
        <is>
          <t>VÄRMLANDS LÄN</t>
        </is>
      </c>
      <c r="E1451" t="inlineStr">
        <is>
          <t>ARVIKA</t>
        </is>
      </c>
      <c r="G1451" t="n">
        <v>2.3</v>
      </c>
      <c r="H1451" t="n">
        <v>0</v>
      </c>
      <c r="I1451" t="n">
        <v>0</v>
      </c>
      <c r="J1451" t="n">
        <v>0</v>
      </c>
      <c r="K1451" t="n">
        <v>0</v>
      </c>
      <c r="L1451" t="n">
        <v>0</v>
      </c>
      <c r="M1451" t="n">
        <v>0</v>
      </c>
      <c r="N1451" t="n">
        <v>0</v>
      </c>
      <c r="O1451" t="n">
        <v>0</v>
      </c>
      <c r="P1451" t="n">
        <v>0</v>
      </c>
      <c r="Q1451" t="n">
        <v>0</v>
      </c>
      <c r="R1451" s="2" t="inlineStr"/>
    </row>
    <row r="1452" ht="15" customHeight="1">
      <c r="A1452" t="inlineStr">
        <is>
          <t>A 1411-2025</t>
        </is>
      </c>
      <c r="B1452" s="1" t="n">
        <v>45667</v>
      </c>
      <c r="C1452" s="1" t="n">
        <v>46012</v>
      </c>
      <c r="D1452" t="inlineStr">
        <is>
          <t>VÄRMLANDS LÄN</t>
        </is>
      </c>
      <c r="E1452" t="inlineStr">
        <is>
          <t>ARVIKA</t>
        </is>
      </c>
      <c r="G1452" t="n">
        <v>2.2</v>
      </c>
      <c r="H1452" t="n">
        <v>0</v>
      </c>
      <c r="I1452" t="n">
        <v>0</v>
      </c>
      <c r="J1452" t="n">
        <v>0</v>
      </c>
      <c r="K1452" t="n">
        <v>0</v>
      </c>
      <c r="L1452" t="n">
        <v>0</v>
      </c>
      <c r="M1452" t="n">
        <v>0</v>
      </c>
      <c r="N1452" t="n">
        <v>0</v>
      </c>
      <c r="O1452" t="n">
        <v>0</v>
      </c>
      <c r="P1452" t="n">
        <v>0</v>
      </c>
      <c r="Q1452" t="n">
        <v>0</v>
      </c>
      <c r="R1452" s="2" t="inlineStr"/>
    </row>
    <row r="1453" ht="15" customHeight="1">
      <c r="A1453" t="inlineStr">
        <is>
          <t>A 20634-2025</t>
        </is>
      </c>
      <c r="B1453" s="1" t="n">
        <v>45776.35204861111</v>
      </c>
      <c r="C1453" s="1" t="n">
        <v>46012</v>
      </c>
      <c r="D1453" t="inlineStr">
        <is>
          <t>VÄRMLANDS LÄN</t>
        </is>
      </c>
      <c r="E1453" t="inlineStr">
        <is>
          <t>ARVIKA</t>
        </is>
      </c>
      <c r="G1453" t="n">
        <v>1</v>
      </c>
      <c r="H1453" t="n">
        <v>0</v>
      </c>
      <c r="I1453" t="n">
        <v>0</v>
      </c>
      <c r="J1453" t="n">
        <v>0</v>
      </c>
      <c r="K1453" t="n">
        <v>0</v>
      </c>
      <c r="L1453" t="n">
        <v>0</v>
      </c>
      <c r="M1453" t="n">
        <v>0</v>
      </c>
      <c r="N1453" t="n">
        <v>0</v>
      </c>
      <c r="O1453" t="n">
        <v>0</v>
      </c>
      <c r="P1453" t="n">
        <v>0</v>
      </c>
      <c r="Q1453" t="n">
        <v>0</v>
      </c>
      <c r="R1453" s="2" t="inlineStr"/>
    </row>
    <row r="1454" ht="15" customHeight="1">
      <c r="A1454" t="inlineStr">
        <is>
          <t>A 37213-2024</t>
        </is>
      </c>
      <c r="B1454" s="1" t="n">
        <v>45539.69202546297</v>
      </c>
      <c r="C1454" s="1" t="n">
        <v>46012</v>
      </c>
      <c r="D1454" t="inlineStr">
        <is>
          <t>VÄRMLANDS LÄN</t>
        </is>
      </c>
      <c r="E1454" t="inlineStr">
        <is>
          <t>ARVIKA</t>
        </is>
      </c>
      <c r="G1454" t="n">
        <v>1.7</v>
      </c>
      <c r="H1454" t="n">
        <v>0</v>
      </c>
      <c r="I1454" t="n">
        <v>0</v>
      </c>
      <c r="J1454" t="n">
        <v>0</v>
      </c>
      <c r="K1454" t="n">
        <v>0</v>
      </c>
      <c r="L1454" t="n">
        <v>0</v>
      </c>
      <c r="M1454" t="n">
        <v>0</v>
      </c>
      <c r="N1454" t="n">
        <v>0</v>
      </c>
      <c r="O1454" t="n">
        <v>0</v>
      </c>
      <c r="P1454" t="n">
        <v>0</v>
      </c>
      <c r="Q1454" t="n">
        <v>0</v>
      </c>
      <c r="R1454" s="2" t="inlineStr"/>
    </row>
    <row r="1455" ht="15" customHeight="1">
      <c r="A1455" t="inlineStr">
        <is>
          <t>A 21780-2025</t>
        </is>
      </c>
      <c r="B1455" s="1" t="n">
        <v>45783.66653935185</v>
      </c>
      <c r="C1455" s="1" t="n">
        <v>46012</v>
      </c>
      <c r="D1455" t="inlineStr">
        <is>
          <t>VÄRMLANDS LÄN</t>
        </is>
      </c>
      <c r="E1455" t="inlineStr">
        <is>
          <t>ARVIKA</t>
        </is>
      </c>
      <c r="G1455" t="n">
        <v>11.8</v>
      </c>
      <c r="H1455" t="n">
        <v>0</v>
      </c>
      <c r="I1455" t="n">
        <v>0</v>
      </c>
      <c r="J1455" t="n">
        <v>0</v>
      </c>
      <c r="K1455" t="n">
        <v>0</v>
      </c>
      <c r="L1455" t="n">
        <v>0</v>
      </c>
      <c r="M1455" t="n">
        <v>0</v>
      </c>
      <c r="N1455" t="n">
        <v>0</v>
      </c>
      <c r="O1455" t="n">
        <v>0</v>
      </c>
      <c r="P1455" t="n">
        <v>0</v>
      </c>
      <c r="Q1455" t="n">
        <v>0</v>
      </c>
      <c r="R1455" s="2" t="inlineStr"/>
    </row>
    <row r="1456" ht="15" customHeight="1">
      <c r="A1456" t="inlineStr">
        <is>
          <t>A 21580-2025</t>
        </is>
      </c>
      <c r="B1456" s="1" t="n">
        <v>45782.94450231481</v>
      </c>
      <c r="C1456" s="1" t="n">
        <v>46012</v>
      </c>
      <c r="D1456" t="inlineStr">
        <is>
          <t>VÄRMLANDS LÄN</t>
        </is>
      </c>
      <c r="E1456" t="inlineStr">
        <is>
          <t>ARVIKA</t>
        </is>
      </c>
      <c r="G1456" t="n">
        <v>1.1</v>
      </c>
      <c r="H1456" t="n">
        <v>0</v>
      </c>
      <c r="I1456" t="n">
        <v>0</v>
      </c>
      <c r="J1456" t="n">
        <v>0</v>
      </c>
      <c r="K1456" t="n">
        <v>0</v>
      </c>
      <c r="L1456" t="n">
        <v>0</v>
      </c>
      <c r="M1456" t="n">
        <v>0</v>
      </c>
      <c r="N1456" t="n">
        <v>0</v>
      </c>
      <c r="O1456" t="n">
        <v>0</v>
      </c>
      <c r="P1456" t="n">
        <v>0</v>
      </c>
      <c r="Q1456" t="n">
        <v>0</v>
      </c>
      <c r="R1456" s="2" t="inlineStr"/>
    </row>
    <row r="1457" ht="15" customHeight="1">
      <c r="A1457" t="inlineStr">
        <is>
          <t>A 21907-2025</t>
        </is>
      </c>
      <c r="B1457" s="1" t="n">
        <v>45784</v>
      </c>
      <c r="C1457" s="1" t="n">
        <v>46012</v>
      </c>
      <c r="D1457" t="inlineStr">
        <is>
          <t>VÄRMLANDS LÄN</t>
        </is>
      </c>
      <c r="E1457" t="inlineStr">
        <is>
          <t>ARVIKA</t>
        </is>
      </c>
      <c r="G1457" t="n">
        <v>1.2</v>
      </c>
      <c r="H1457" t="n">
        <v>0</v>
      </c>
      <c r="I1457" t="n">
        <v>0</v>
      </c>
      <c r="J1457" t="n">
        <v>0</v>
      </c>
      <c r="K1457" t="n">
        <v>0</v>
      </c>
      <c r="L1457" t="n">
        <v>0</v>
      </c>
      <c r="M1457" t="n">
        <v>0</v>
      </c>
      <c r="N1457" t="n">
        <v>0</v>
      </c>
      <c r="O1457" t="n">
        <v>0</v>
      </c>
      <c r="P1457" t="n">
        <v>0</v>
      </c>
      <c r="Q1457" t="n">
        <v>0</v>
      </c>
      <c r="R1457" s="2" t="inlineStr"/>
    </row>
    <row r="1458" ht="15" customHeight="1">
      <c r="A1458" t="inlineStr">
        <is>
          <t>A 21693-2025</t>
        </is>
      </c>
      <c r="B1458" s="1" t="n">
        <v>45783.49979166667</v>
      </c>
      <c r="C1458" s="1" t="n">
        <v>46012</v>
      </c>
      <c r="D1458" t="inlineStr">
        <is>
          <t>VÄRMLANDS LÄN</t>
        </is>
      </c>
      <c r="E1458" t="inlineStr">
        <is>
          <t>ARVIKA</t>
        </is>
      </c>
      <c r="G1458" t="n">
        <v>2.3</v>
      </c>
      <c r="H1458" t="n">
        <v>0</v>
      </c>
      <c r="I1458" t="n">
        <v>0</v>
      </c>
      <c r="J1458" t="n">
        <v>0</v>
      </c>
      <c r="K1458" t="n">
        <v>0</v>
      </c>
      <c r="L1458" t="n">
        <v>0</v>
      </c>
      <c r="M1458" t="n">
        <v>0</v>
      </c>
      <c r="N1458" t="n">
        <v>0</v>
      </c>
      <c r="O1458" t="n">
        <v>0</v>
      </c>
      <c r="P1458" t="n">
        <v>0</v>
      </c>
      <c r="Q1458" t="n">
        <v>0</v>
      </c>
      <c r="R1458" s="2" t="inlineStr"/>
    </row>
    <row r="1459" ht="15" customHeight="1">
      <c r="A1459" t="inlineStr">
        <is>
          <t>A 20884-2024</t>
        </is>
      </c>
      <c r="B1459" s="1" t="n">
        <v>45439.45408564815</v>
      </c>
      <c r="C1459" s="1" t="n">
        <v>46012</v>
      </c>
      <c r="D1459" t="inlineStr">
        <is>
          <t>VÄRMLANDS LÄN</t>
        </is>
      </c>
      <c r="E1459" t="inlineStr">
        <is>
          <t>ARVIKA</t>
        </is>
      </c>
      <c r="G1459" t="n">
        <v>1.9</v>
      </c>
      <c r="H1459" t="n">
        <v>0</v>
      </c>
      <c r="I1459" t="n">
        <v>0</v>
      </c>
      <c r="J1459" t="n">
        <v>0</v>
      </c>
      <c r="K1459" t="n">
        <v>0</v>
      </c>
      <c r="L1459" t="n">
        <v>0</v>
      </c>
      <c r="M1459" t="n">
        <v>0</v>
      </c>
      <c r="N1459" t="n">
        <v>0</v>
      </c>
      <c r="O1459" t="n">
        <v>0</v>
      </c>
      <c r="P1459" t="n">
        <v>0</v>
      </c>
      <c r="Q1459" t="n">
        <v>0</v>
      </c>
      <c r="R1459" s="2" t="inlineStr"/>
    </row>
    <row r="1460" ht="15" customHeight="1">
      <c r="A1460" t="inlineStr">
        <is>
          <t>A 9525-2024</t>
        </is>
      </c>
      <c r="B1460" s="1" t="n">
        <v>45359.65731481482</v>
      </c>
      <c r="C1460" s="1" t="n">
        <v>46012</v>
      </c>
      <c r="D1460" t="inlineStr">
        <is>
          <t>VÄRMLANDS LÄN</t>
        </is>
      </c>
      <c r="E1460" t="inlineStr">
        <is>
          <t>ARVIKA</t>
        </is>
      </c>
      <c r="G1460" t="n">
        <v>3.3</v>
      </c>
      <c r="H1460" t="n">
        <v>0</v>
      </c>
      <c r="I1460" t="n">
        <v>0</v>
      </c>
      <c r="J1460" t="n">
        <v>0</v>
      </c>
      <c r="K1460" t="n">
        <v>0</v>
      </c>
      <c r="L1460" t="n">
        <v>0</v>
      </c>
      <c r="M1460" t="n">
        <v>0</v>
      </c>
      <c r="N1460" t="n">
        <v>0</v>
      </c>
      <c r="O1460" t="n">
        <v>0</v>
      </c>
      <c r="P1460" t="n">
        <v>0</v>
      </c>
      <c r="Q1460" t="n">
        <v>0</v>
      </c>
      <c r="R1460" s="2" t="inlineStr"/>
    </row>
    <row r="1461" ht="15" customHeight="1">
      <c r="A1461" t="inlineStr">
        <is>
          <t>A 22485-2025</t>
        </is>
      </c>
      <c r="B1461" s="1" t="n">
        <v>45786.64387731482</v>
      </c>
      <c r="C1461" s="1" t="n">
        <v>46012</v>
      </c>
      <c r="D1461" t="inlineStr">
        <is>
          <t>VÄRMLANDS LÄN</t>
        </is>
      </c>
      <c r="E1461" t="inlineStr">
        <is>
          <t>ARVIKA</t>
        </is>
      </c>
      <c r="G1461" t="n">
        <v>1.5</v>
      </c>
      <c r="H1461" t="n">
        <v>0</v>
      </c>
      <c r="I1461" t="n">
        <v>0</v>
      </c>
      <c r="J1461" t="n">
        <v>0</v>
      </c>
      <c r="K1461" t="n">
        <v>0</v>
      </c>
      <c r="L1461" t="n">
        <v>0</v>
      </c>
      <c r="M1461" t="n">
        <v>0</v>
      </c>
      <c r="N1461" t="n">
        <v>0</v>
      </c>
      <c r="O1461" t="n">
        <v>0</v>
      </c>
      <c r="P1461" t="n">
        <v>0</v>
      </c>
      <c r="Q1461" t="n">
        <v>0</v>
      </c>
      <c r="R1461" s="2" t="inlineStr"/>
    </row>
    <row r="1462" ht="15" customHeight="1">
      <c r="A1462" t="inlineStr">
        <is>
          <t>A 22037-2025</t>
        </is>
      </c>
      <c r="B1462" s="1" t="n">
        <v>45785.32155092592</v>
      </c>
      <c r="C1462" s="1" t="n">
        <v>46012</v>
      </c>
      <c r="D1462" t="inlineStr">
        <is>
          <t>VÄRMLANDS LÄN</t>
        </is>
      </c>
      <c r="E1462" t="inlineStr">
        <is>
          <t>ARVIKA</t>
        </is>
      </c>
      <c r="G1462" t="n">
        <v>2.4</v>
      </c>
      <c r="H1462" t="n">
        <v>0</v>
      </c>
      <c r="I1462" t="n">
        <v>0</v>
      </c>
      <c r="J1462" t="n">
        <v>0</v>
      </c>
      <c r="K1462" t="n">
        <v>0</v>
      </c>
      <c r="L1462" t="n">
        <v>0</v>
      </c>
      <c r="M1462" t="n">
        <v>0</v>
      </c>
      <c r="N1462" t="n">
        <v>0</v>
      </c>
      <c r="O1462" t="n">
        <v>0</v>
      </c>
      <c r="P1462" t="n">
        <v>0</v>
      </c>
      <c r="Q1462" t="n">
        <v>0</v>
      </c>
      <c r="R1462" s="2" t="inlineStr"/>
    </row>
    <row r="1463" ht="15" customHeight="1">
      <c r="A1463" t="inlineStr">
        <is>
          <t>A 22521-2025</t>
        </is>
      </c>
      <c r="B1463" s="1" t="n">
        <v>45786.68</v>
      </c>
      <c r="C1463" s="1" t="n">
        <v>46012</v>
      </c>
      <c r="D1463" t="inlineStr">
        <is>
          <t>VÄRMLANDS LÄN</t>
        </is>
      </c>
      <c r="E1463" t="inlineStr">
        <is>
          <t>ARVIKA</t>
        </is>
      </c>
      <c r="G1463" t="n">
        <v>4.3</v>
      </c>
      <c r="H1463" t="n">
        <v>0</v>
      </c>
      <c r="I1463" t="n">
        <v>0</v>
      </c>
      <c r="J1463" t="n">
        <v>0</v>
      </c>
      <c r="K1463" t="n">
        <v>0</v>
      </c>
      <c r="L1463" t="n">
        <v>0</v>
      </c>
      <c r="M1463" t="n">
        <v>0</v>
      </c>
      <c r="N1463" t="n">
        <v>0</v>
      </c>
      <c r="O1463" t="n">
        <v>0</v>
      </c>
      <c r="P1463" t="n">
        <v>0</v>
      </c>
      <c r="Q1463" t="n">
        <v>0</v>
      </c>
      <c r="R1463" s="2" t="inlineStr"/>
    </row>
    <row r="1464" ht="15" customHeight="1">
      <c r="A1464" t="inlineStr">
        <is>
          <t>A 22835-2025</t>
        </is>
      </c>
      <c r="B1464" s="1" t="n">
        <v>45789.90738425926</v>
      </c>
      <c r="C1464" s="1" t="n">
        <v>46012</v>
      </c>
      <c r="D1464" t="inlineStr">
        <is>
          <t>VÄRMLANDS LÄN</t>
        </is>
      </c>
      <c r="E1464" t="inlineStr">
        <is>
          <t>ARVIKA</t>
        </is>
      </c>
      <c r="G1464" t="n">
        <v>1.8</v>
      </c>
      <c r="H1464" t="n">
        <v>0</v>
      </c>
      <c r="I1464" t="n">
        <v>0</v>
      </c>
      <c r="J1464" t="n">
        <v>0</v>
      </c>
      <c r="K1464" t="n">
        <v>0</v>
      </c>
      <c r="L1464" t="n">
        <v>0</v>
      </c>
      <c r="M1464" t="n">
        <v>0</v>
      </c>
      <c r="N1464" t="n">
        <v>0</v>
      </c>
      <c r="O1464" t="n">
        <v>0</v>
      </c>
      <c r="P1464" t="n">
        <v>0</v>
      </c>
      <c r="Q1464" t="n">
        <v>0</v>
      </c>
      <c r="R1464" s="2" t="inlineStr"/>
    </row>
    <row r="1465" ht="15" customHeight="1">
      <c r="A1465" t="inlineStr">
        <is>
          <t>A 22834-2025</t>
        </is>
      </c>
      <c r="B1465" s="1" t="n">
        <v>45789.90438657408</v>
      </c>
      <c r="C1465" s="1" t="n">
        <v>46012</v>
      </c>
      <c r="D1465" t="inlineStr">
        <is>
          <t>VÄRMLANDS LÄN</t>
        </is>
      </c>
      <c r="E1465" t="inlineStr">
        <is>
          <t>ARVIKA</t>
        </is>
      </c>
      <c r="G1465" t="n">
        <v>3.4</v>
      </c>
      <c r="H1465" t="n">
        <v>0</v>
      </c>
      <c r="I1465" t="n">
        <v>0</v>
      </c>
      <c r="J1465" t="n">
        <v>0</v>
      </c>
      <c r="K1465" t="n">
        <v>0</v>
      </c>
      <c r="L1465" t="n">
        <v>0</v>
      </c>
      <c r="M1465" t="n">
        <v>0</v>
      </c>
      <c r="N1465" t="n">
        <v>0</v>
      </c>
      <c r="O1465" t="n">
        <v>0</v>
      </c>
      <c r="P1465" t="n">
        <v>0</v>
      </c>
      <c r="Q1465" t="n">
        <v>0</v>
      </c>
      <c r="R1465" s="2" t="inlineStr"/>
    </row>
    <row r="1466" ht="15" customHeight="1">
      <c r="A1466" t="inlineStr">
        <is>
          <t>A 22992-2025</t>
        </is>
      </c>
      <c r="B1466" s="1" t="n">
        <v>45790.58039351852</v>
      </c>
      <c r="C1466" s="1" t="n">
        <v>46012</v>
      </c>
      <c r="D1466" t="inlineStr">
        <is>
          <t>VÄRMLANDS LÄN</t>
        </is>
      </c>
      <c r="E1466" t="inlineStr">
        <is>
          <t>ARVIKA</t>
        </is>
      </c>
      <c r="G1466" t="n">
        <v>2</v>
      </c>
      <c r="H1466" t="n">
        <v>0</v>
      </c>
      <c r="I1466" t="n">
        <v>0</v>
      </c>
      <c r="J1466" t="n">
        <v>0</v>
      </c>
      <c r="K1466" t="n">
        <v>0</v>
      </c>
      <c r="L1466" t="n">
        <v>0</v>
      </c>
      <c r="M1466" t="n">
        <v>0</v>
      </c>
      <c r="N1466" t="n">
        <v>0</v>
      </c>
      <c r="O1466" t="n">
        <v>0</v>
      </c>
      <c r="P1466" t="n">
        <v>0</v>
      </c>
      <c r="Q1466" t="n">
        <v>0</v>
      </c>
      <c r="R1466" s="2" t="inlineStr"/>
    </row>
    <row r="1467" ht="15" customHeight="1">
      <c r="A1467" t="inlineStr">
        <is>
          <t>A 22849-2025</t>
        </is>
      </c>
      <c r="B1467" s="1" t="n">
        <v>45790.33559027778</v>
      </c>
      <c r="C1467" s="1" t="n">
        <v>46012</v>
      </c>
      <c r="D1467" t="inlineStr">
        <is>
          <t>VÄRMLANDS LÄN</t>
        </is>
      </c>
      <c r="E1467" t="inlineStr">
        <is>
          <t>ARVIKA</t>
        </is>
      </c>
      <c r="F1467" t="inlineStr">
        <is>
          <t>Bergvik skog väst AB</t>
        </is>
      </c>
      <c r="G1467" t="n">
        <v>3.9</v>
      </c>
      <c r="H1467" t="n">
        <v>0</v>
      </c>
      <c r="I1467" t="n">
        <v>0</v>
      </c>
      <c r="J1467" t="n">
        <v>0</v>
      </c>
      <c r="K1467" t="n">
        <v>0</v>
      </c>
      <c r="L1467" t="n">
        <v>0</v>
      </c>
      <c r="M1467" t="n">
        <v>0</v>
      </c>
      <c r="N1467" t="n">
        <v>0</v>
      </c>
      <c r="O1467" t="n">
        <v>0</v>
      </c>
      <c r="P1467" t="n">
        <v>0</v>
      </c>
      <c r="Q1467" t="n">
        <v>0</v>
      </c>
      <c r="R1467" s="2" t="inlineStr"/>
    </row>
    <row r="1468" ht="15" customHeight="1">
      <c r="A1468" t="inlineStr">
        <is>
          <t>A 22836-2025</t>
        </is>
      </c>
      <c r="B1468" s="1" t="n">
        <v>45789.9125</v>
      </c>
      <c r="C1468" s="1" t="n">
        <v>46012</v>
      </c>
      <c r="D1468" t="inlineStr">
        <is>
          <t>VÄRMLANDS LÄN</t>
        </is>
      </c>
      <c r="E1468" t="inlineStr">
        <is>
          <t>ARVIKA</t>
        </is>
      </c>
      <c r="G1468" t="n">
        <v>1.8</v>
      </c>
      <c r="H1468" t="n">
        <v>0</v>
      </c>
      <c r="I1468" t="n">
        <v>0</v>
      </c>
      <c r="J1468" t="n">
        <v>0</v>
      </c>
      <c r="K1468" t="n">
        <v>0</v>
      </c>
      <c r="L1468" t="n">
        <v>0</v>
      </c>
      <c r="M1468" t="n">
        <v>0</v>
      </c>
      <c r="N1468" t="n">
        <v>0</v>
      </c>
      <c r="O1468" t="n">
        <v>0</v>
      </c>
      <c r="P1468" t="n">
        <v>0</v>
      </c>
      <c r="Q1468" t="n">
        <v>0</v>
      </c>
      <c r="R1468" s="2" t="inlineStr"/>
    </row>
    <row r="1469" ht="15" customHeight="1">
      <c r="A1469" t="inlineStr">
        <is>
          <t>A 22589-2025</t>
        </is>
      </c>
      <c r="B1469" s="1" t="n">
        <v>45789.40226851852</v>
      </c>
      <c r="C1469" s="1" t="n">
        <v>46012</v>
      </c>
      <c r="D1469" t="inlineStr">
        <is>
          <t>VÄRMLANDS LÄN</t>
        </is>
      </c>
      <c r="E1469" t="inlineStr">
        <is>
          <t>ARVIKA</t>
        </is>
      </c>
      <c r="F1469" t="inlineStr">
        <is>
          <t>Bergvik skog väst AB</t>
        </is>
      </c>
      <c r="G1469" t="n">
        <v>1.9</v>
      </c>
      <c r="H1469" t="n">
        <v>0</v>
      </c>
      <c r="I1469" t="n">
        <v>0</v>
      </c>
      <c r="J1469" t="n">
        <v>0</v>
      </c>
      <c r="K1469" t="n">
        <v>0</v>
      </c>
      <c r="L1469" t="n">
        <v>0</v>
      </c>
      <c r="M1469" t="n">
        <v>0</v>
      </c>
      <c r="N1469" t="n">
        <v>0</v>
      </c>
      <c r="O1469" t="n">
        <v>0</v>
      </c>
      <c r="P1469" t="n">
        <v>0</v>
      </c>
      <c r="Q1469" t="n">
        <v>0</v>
      </c>
      <c r="R1469" s="2" t="inlineStr"/>
    </row>
    <row r="1470" ht="15" customHeight="1">
      <c r="A1470" t="inlineStr">
        <is>
          <t>A 22714-2025</t>
        </is>
      </c>
      <c r="B1470" s="1" t="n">
        <v>45788</v>
      </c>
      <c r="C1470" s="1" t="n">
        <v>46012</v>
      </c>
      <c r="D1470" t="inlineStr">
        <is>
          <t>VÄRMLANDS LÄN</t>
        </is>
      </c>
      <c r="E1470" t="inlineStr">
        <is>
          <t>ARVIKA</t>
        </is>
      </c>
      <c r="G1470" t="n">
        <v>2.3</v>
      </c>
      <c r="H1470" t="n">
        <v>0</v>
      </c>
      <c r="I1470" t="n">
        <v>0</v>
      </c>
      <c r="J1470" t="n">
        <v>0</v>
      </c>
      <c r="K1470" t="n">
        <v>0</v>
      </c>
      <c r="L1470" t="n">
        <v>0</v>
      </c>
      <c r="M1470" t="n">
        <v>0</v>
      </c>
      <c r="N1470" t="n">
        <v>0</v>
      </c>
      <c r="O1470" t="n">
        <v>0</v>
      </c>
      <c r="P1470" t="n">
        <v>0</v>
      </c>
      <c r="Q1470" t="n">
        <v>0</v>
      </c>
      <c r="R1470" s="2" t="inlineStr"/>
    </row>
    <row r="1471" ht="15" customHeight="1">
      <c r="A1471" t="inlineStr">
        <is>
          <t>A 1397-2021</t>
        </is>
      </c>
      <c r="B1471" s="1" t="n">
        <v>44208</v>
      </c>
      <c r="C1471" s="1" t="n">
        <v>46012</v>
      </c>
      <c r="D1471" t="inlineStr">
        <is>
          <t>VÄRMLANDS LÄN</t>
        </is>
      </c>
      <c r="E1471" t="inlineStr">
        <is>
          <t>ARVIKA</t>
        </is>
      </c>
      <c r="G1471" t="n">
        <v>1.4</v>
      </c>
      <c r="H1471" t="n">
        <v>0</v>
      </c>
      <c r="I1471" t="n">
        <v>0</v>
      </c>
      <c r="J1471" t="n">
        <v>0</v>
      </c>
      <c r="K1471" t="n">
        <v>0</v>
      </c>
      <c r="L1471" t="n">
        <v>0</v>
      </c>
      <c r="M1471" t="n">
        <v>0</v>
      </c>
      <c r="N1471" t="n">
        <v>0</v>
      </c>
      <c r="O1471" t="n">
        <v>0</v>
      </c>
      <c r="P1471" t="n">
        <v>0</v>
      </c>
      <c r="Q1471" t="n">
        <v>0</v>
      </c>
      <c r="R1471" s="2" t="inlineStr"/>
    </row>
    <row r="1472" ht="15" customHeight="1">
      <c r="A1472" t="inlineStr">
        <is>
          <t>A 17985-2024</t>
        </is>
      </c>
      <c r="B1472" s="1" t="n">
        <v>45419</v>
      </c>
      <c r="C1472" s="1" t="n">
        <v>46012</v>
      </c>
      <c r="D1472" t="inlineStr">
        <is>
          <t>VÄRMLANDS LÄN</t>
        </is>
      </c>
      <c r="E1472" t="inlineStr">
        <is>
          <t>ARVIKA</t>
        </is>
      </c>
      <c r="G1472" t="n">
        <v>3.5</v>
      </c>
      <c r="H1472" t="n">
        <v>0</v>
      </c>
      <c r="I1472" t="n">
        <v>0</v>
      </c>
      <c r="J1472" t="n">
        <v>0</v>
      </c>
      <c r="K1472" t="n">
        <v>0</v>
      </c>
      <c r="L1472" t="n">
        <v>0</v>
      </c>
      <c r="M1472" t="n">
        <v>0</v>
      </c>
      <c r="N1472" t="n">
        <v>0</v>
      </c>
      <c r="O1472" t="n">
        <v>0</v>
      </c>
      <c r="P1472" t="n">
        <v>0</v>
      </c>
      <c r="Q1472" t="n">
        <v>0</v>
      </c>
      <c r="R1472" s="2" t="inlineStr"/>
    </row>
    <row r="1473" ht="15" customHeight="1">
      <c r="A1473" t="inlineStr">
        <is>
          <t>A 21329-2025</t>
        </is>
      </c>
      <c r="B1473" s="1" t="n">
        <v>45782</v>
      </c>
      <c r="C1473" s="1" t="n">
        <v>46012</v>
      </c>
      <c r="D1473" t="inlineStr">
        <is>
          <t>VÄRMLANDS LÄN</t>
        </is>
      </c>
      <c r="E1473" t="inlineStr">
        <is>
          <t>ARVIKA</t>
        </is>
      </c>
      <c r="G1473" t="n">
        <v>0.7</v>
      </c>
      <c r="H1473" t="n">
        <v>0</v>
      </c>
      <c r="I1473" t="n">
        <v>0</v>
      </c>
      <c r="J1473" t="n">
        <v>0</v>
      </c>
      <c r="K1473" t="n">
        <v>0</v>
      </c>
      <c r="L1473" t="n">
        <v>0</v>
      </c>
      <c r="M1473" t="n">
        <v>0</v>
      </c>
      <c r="N1473" t="n">
        <v>0</v>
      </c>
      <c r="O1473" t="n">
        <v>0</v>
      </c>
      <c r="P1473" t="n">
        <v>0</v>
      </c>
      <c r="Q1473" t="n">
        <v>0</v>
      </c>
      <c r="R1473" s="2" t="inlineStr"/>
    </row>
    <row r="1474" ht="15" customHeight="1">
      <c r="A1474" t="inlineStr">
        <is>
          <t>A 19722-2025</t>
        </is>
      </c>
      <c r="B1474" s="1" t="n">
        <v>45771.36209490741</v>
      </c>
      <c r="C1474" s="1" t="n">
        <v>46012</v>
      </c>
      <c r="D1474" t="inlineStr">
        <is>
          <t>VÄRMLANDS LÄN</t>
        </is>
      </c>
      <c r="E1474" t="inlineStr">
        <is>
          <t>ARVIKA</t>
        </is>
      </c>
      <c r="G1474" t="n">
        <v>1.9</v>
      </c>
      <c r="H1474" t="n">
        <v>0</v>
      </c>
      <c r="I1474" t="n">
        <v>0</v>
      </c>
      <c r="J1474" t="n">
        <v>0</v>
      </c>
      <c r="K1474" t="n">
        <v>0</v>
      </c>
      <c r="L1474" t="n">
        <v>0</v>
      </c>
      <c r="M1474" t="n">
        <v>0</v>
      </c>
      <c r="N1474" t="n">
        <v>0</v>
      </c>
      <c r="O1474" t="n">
        <v>0</v>
      </c>
      <c r="P1474" t="n">
        <v>0</v>
      </c>
      <c r="Q1474" t="n">
        <v>0</v>
      </c>
      <c r="R1474" s="2" t="inlineStr"/>
    </row>
    <row r="1475">
      <c r="A1475" t="inlineStr">
        <is>
          <t>A 58538-2023</t>
        </is>
      </c>
      <c r="B1475" s="1" t="n">
        <v>45251</v>
      </c>
      <c r="C1475" s="1" t="n">
        <v>46012</v>
      </c>
      <c r="D1475" t="inlineStr">
        <is>
          <t>VÄRMLANDS LÄN</t>
        </is>
      </c>
      <c r="E1475" t="inlineStr">
        <is>
          <t>ARVIKA</t>
        </is>
      </c>
      <c r="G1475" t="n">
        <v>1.9</v>
      </c>
      <c r="H1475" t="n">
        <v>0</v>
      </c>
      <c r="I1475" t="n">
        <v>0</v>
      </c>
      <c r="J1475" t="n">
        <v>0</v>
      </c>
      <c r="K1475" t="n">
        <v>0</v>
      </c>
      <c r="L1475" t="n">
        <v>0</v>
      </c>
      <c r="M1475" t="n">
        <v>0</v>
      </c>
      <c r="N1475" t="n">
        <v>0</v>
      </c>
      <c r="O1475" t="n">
        <v>0</v>
      </c>
      <c r="P1475" t="n">
        <v>0</v>
      </c>
      <c r="Q1475" t="n">
        <v>0</v>
      </c>
      <c r="R1475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2025-12-21T10:40:32Z</dcterms:created>
  <dcterms:modified xmlns:dcterms="http://purl.org/dc/terms/" xmlns:xsi="http://www.w3.org/2001/XMLSchema-instance" xsi:type="dcterms:W3CDTF">2025-12-21T10:40:33Z</dcterms:modified>
</cp:coreProperties>
</file>