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46222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Y4">
        <f>HYPERLINK("https://klasma.github.io/Logging_1784/klagomål/A 34188-2024 FSC-klagomål.docx", "A 34188-2024")</f>
        <v/>
      </c>
      <c r="Z4">
        <f>HYPERLINK("https://klasma.github.io/Logging_1784/klagomålsmail/A 34188-2024 FSC-klagomål mail.docx", "A 34188-2024")</f>
        <v/>
      </c>
      <c r="AA4">
        <f>HYPERLINK("https://klasma.github.io/Logging_1784/tillsyn/A 34188-2024 tillsynsbegäran.docx", "A 34188-2024")</f>
        <v/>
      </c>
      <c r="AB4">
        <f>HYPERLINK("https://klasma.github.io/Logging_1784/tillsynsmail/A 34188-2024 tillsynsbegäran mail.docx", "A 34188-2024")</f>
        <v/>
      </c>
      <c r="AC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46222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HYPERLINK("https://klasma.github.io/Logging_1784/knärot/A 23086-2024 karta knärot.png", "A 23086-2024")</f>
        <v/>
      </c>
      <c r="Y5">
        <f>HYPERLINK("https://klasma.github.io/Logging_1784/klagomål/A 23086-2024 FSC-klagomål.docx", "A 23086-2024")</f>
        <v/>
      </c>
      <c r="Z5">
        <f>HYPERLINK("https://klasma.github.io/Logging_1784/klagomålsmail/A 23086-2024 FSC-klagomål mail.docx", "A 23086-2024")</f>
        <v/>
      </c>
      <c r="AA5">
        <f>HYPERLINK("https://klasma.github.io/Logging_1784/tillsyn/A 23086-2024 tillsynsbegäran.docx", "A 23086-2024")</f>
        <v/>
      </c>
      <c r="AB5">
        <f>HYPERLINK("https://klasma.github.io/Logging_1784/tillsynsmail/A 23086-2024 tillsynsbegäran mail.docx", "A 23086-2024")</f>
        <v/>
      </c>
      <c r="AC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46222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46222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Dofttaggsvamp
Gullpudra
Ullticka
Barkticka
Thomsons trägnagare
Tibast
Vågbandad barkbock</t>
        </is>
      </c>
      <c r="V9">
        <f>HYPERLINK("https://klasma.github.io/Logging_1784/artfynd/A 31306-2026 artfynd.xlsx", "A 31306-2026")</f>
        <v/>
      </c>
      <c r="W9">
        <f>HYPERLINK("https://klasma.github.io/Logging_1784/kartor/A 31306-2026 karta.png", "A 31306-2026")</f>
        <v/>
      </c>
      <c r="Y9">
        <f>HYPERLINK("https://klasma.github.io/Logging_1784/klagomål/A 31306-2026 FSC-klagomål.docx", "A 31306-2026")</f>
        <v/>
      </c>
      <c r="Z9">
        <f>HYPERLINK("https://klasma.github.io/Logging_1784/klagomålsmail/A 31306-2026 FSC-klagomål mail.docx", "A 31306-2026")</f>
        <v/>
      </c>
      <c r="AA9">
        <f>HYPERLINK("https://klasma.github.io/Logging_1784/tillsyn/A 31306-2026 tillsynsbegäran.docx", "A 31306-2026")</f>
        <v/>
      </c>
      <c r="AB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46222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s="2" t="inlineStr">
        <is>
          <t>Knärot
Motaggsvamp
Orange taggsvamp
Rynkskinn
Älg
Spillkråka</t>
        </is>
      </c>
      <c r="V10">
        <f>HYPERLINK("https://klasma.github.io/Logging_1784/artfynd/A 62900-2023 artfynd.xlsx", "A 62900-2023")</f>
        <v/>
      </c>
      <c r="W10">
        <f>HYPERLINK("https://klasma.github.io/Logging_1784/kartor/A 62900-2023 karta.png", "A 62900-2023")</f>
        <v/>
      </c>
      <c r="X10">
        <f>HYPERLINK("https://klasma.github.io/Logging_1784/knärot/A 62900-2023 karta knärot.png", "A 62900-2023")</f>
        <v/>
      </c>
      <c r="Y10">
        <f>HYPERLINK("https://klasma.github.io/Logging_1784/klagomål/A 62900-2023 FSC-klagomål.docx", "A 62900-2023")</f>
        <v/>
      </c>
      <c r="Z10">
        <f>HYPERLINK("https://klasma.github.io/Logging_1784/klagomålsmail/A 62900-2023 FSC-klagomål mail.docx", "A 62900-2023")</f>
        <v/>
      </c>
      <c r="AA10">
        <f>HYPERLINK("https://klasma.github.io/Logging_1784/tillsyn/A 62900-2023 tillsynsbegäran.docx", "A 62900-2023")</f>
        <v/>
      </c>
      <c r="AB10">
        <f>HYPERLINK("https://klasma.github.io/Logging_1784/tillsynsmail/A 62900-2023 tillsynsbegäran mail.docx", "A 62900-2023")</f>
        <v/>
      </c>
      <c r="AC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46222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s="2" t="inlineStr">
        <is>
          <t>Apelticka
Motaggsvamp
Tretåig hackspett
Vedskivlav
Bårdlav
Slanklav</t>
        </is>
      </c>
      <c r="V11">
        <f>HYPERLINK("https://klasma.github.io/Logging_1784/artfynd/A 63034-2025 artfynd.xlsx", "A 63034-2025")</f>
        <v/>
      </c>
      <c r="W11">
        <f>HYPERLINK("https://klasma.github.io/Logging_1784/kartor/A 63034-2025 karta.png", "A 63034-2025")</f>
        <v/>
      </c>
      <c r="Y11">
        <f>HYPERLINK("https://klasma.github.io/Logging_1784/klagomål/A 63034-2025 FSC-klagomål.docx", "A 63034-2025")</f>
        <v/>
      </c>
      <c r="Z11">
        <f>HYPERLINK("https://klasma.github.io/Logging_1784/klagomålsmail/A 63034-2025 FSC-klagomål mail.docx", "A 63034-2025")</f>
        <v/>
      </c>
      <c r="AA11">
        <f>HYPERLINK("https://klasma.github.io/Logging_1784/tillsyn/A 63034-2025 tillsynsbegäran.docx", "A 63034-2025")</f>
        <v/>
      </c>
      <c r="AB11">
        <f>HYPERLINK("https://klasma.github.io/Logging_1784/tillsynsmail/A 63034-2025 tillsynsbegäran mail.docx", "A 63034-2025")</f>
        <v/>
      </c>
      <c r="AC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46222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Kandelabersvamp
Lunglav
Rönnfibbla
Stjärntagging
Vedticka
Tjäder</t>
        </is>
      </c>
      <c r="V12">
        <f>HYPERLINK("https://klasma.github.io/Logging_1784/artfynd/A 1111-2024 artfynd.xlsx", "A 1111-2024")</f>
        <v/>
      </c>
      <c r="W12">
        <f>HYPERLINK("https://klasma.github.io/Logging_1784/kartor/A 1111-2024 karta.png", "A 1111-2024")</f>
        <v/>
      </c>
      <c r="Y12">
        <f>HYPERLINK("https://klasma.github.io/Logging_1784/klagomål/A 1111-2024 FSC-klagomål.docx", "A 1111-2024")</f>
        <v/>
      </c>
      <c r="Z12">
        <f>HYPERLINK("https://klasma.github.io/Logging_1784/klagomålsmail/A 1111-2024 FSC-klagomål mail.docx", "A 1111-2024")</f>
        <v/>
      </c>
      <c r="AA12">
        <f>HYPERLINK("https://klasma.github.io/Logging_1784/tillsyn/A 1111-2024 tillsynsbegäran.docx", "A 1111-2024")</f>
        <v/>
      </c>
      <c r="AB12">
        <f>HYPERLINK("https://klasma.github.io/Logging_1784/tillsynsmail/A 1111-2024 tillsynsbegäran mail.docx", "A 1111-2024")</f>
        <v/>
      </c>
      <c r="AC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46222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s="2" t="inlineStr">
        <is>
          <t>Knärot
Grynig filtlav
Bårdlav
Stuplav
Västlig hakmossa
Vågbandad barkbock</t>
        </is>
      </c>
      <c r="V13">
        <f>HYPERLINK("https://klasma.github.io/Logging_1784/artfynd/A 59095-2024 artfynd.xlsx", "A 59095-2024")</f>
        <v/>
      </c>
      <c r="W13">
        <f>HYPERLINK("https://klasma.github.io/Logging_1784/kartor/A 59095-2024 karta.png", "A 59095-2024")</f>
        <v/>
      </c>
      <c r="X13">
        <f>HYPERLINK("https://klasma.github.io/Logging_1784/knärot/A 59095-2024 karta knärot.png", "A 59095-2024")</f>
        <v/>
      </c>
      <c r="Y13">
        <f>HYPERLINK("https://klasma.github.io/Logging_1784/klagomål/A 59095-2024 FSC-klagomål.docx", "A 59095-2024")</f>
        <v/>
      </c>
      <c r="Z13">
        <f>HYPERLINK("https://klasma.github.io/Logging_1784/klagomålsmail/A 59095-2024 FSC-klagomål mail.docx", "A 59095-2024")</f>
        <v/>
      </c>
      <c r="AA13">
        <f>HYPERLINK("https://klasma.github.io/Logging_1784/tillsyn/A 59095-2024 tillsynsbegäran.docx", "A 59095-2024")</f>
        <v/>
      </c>
      <c r="AB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s="2" t="inlineStr">
        <is>
          <t>Garnlav
Knärot
Lunglav
Vedskivlav
Vedticka</t>
        </is>
      </c>
      <c r="V14">
        <f>HYPERLINK("https://klasma.github.io/Logging_1784/artfynd/A 23084-2024 artfynd.xlsx", "A 23084-2024")</f>
        <v/>
      </c>
      <c r="W14">
        <f>HYPERLINK("https://klasma.github.io/Logging_1784/kartor/A 23084-2024 karta.png", "A 23084-2024")</f>
        <v/>
      </c>
      <c r="X14">
        <f>HYPERLINK("https://klasma.github.io/Logging_1784/knärot/A 23084-2024 karta knärot.png", "A 23084-2024")</f>
        <v/>
      </c>
      <c r="Y14">
        <f>HYPERLINK("https://klasma.github.io/Logging_1784/klagomål/A 23084-2024 FSC-klagomål.docx", "A 23084-2024")</f>
        <v/>
      </c>
      <c r="Z14">
        <f>HYPERLINK("https://klasma.github.io/Logging_1784/klagomålsmail/A 23084-2024 FSC-klagomål mail.docx", "A 23084-2024")</f>
        <v/>
      </c>
      <c r="AA14">
        <f>HYPERLINK("https://klasma.github.io/Logging_1784/tillsyn/A 23084-2024 tillsynsbegäran.docx", "A 23084-2024")</f>
        <v/>
      </c>
      <c r="AB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46222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Y15">
        <f>HYPERLINK("https://klasma.github.io/Logging_1784/klagomål/A 63880-2021 FSC-klagomål.docx", "A 63880-2021")</f>
        <v/>
      </c>
      <c r="Z15">
        <f>HYPERLINK("https://klasma.github.io/Logging_1784/klagomålsmail/A 63880-2021 FSC-klagomål mail.docx", "A 63880-2021")</f>
        <v/>
      </c>
      <c r="AA15">
        <f>HYPERLINK("https://klasma.github.io/Logging_1784/tillsyn/A 63880-2021 tillsynsbegäran.docx", "A 63880-2021")</f>
        <v/>
      </c>
      <c r="AB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46222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Bronshjon
Stuplav
Mattlummer
Lopplummer (aggregat)</t>
        </is>
      </c>
      <c r="V16">
        <f>HYPERLINK("https://klasma.github.io/Logging_1784/artfynd/A 1506-2024 artfynd.xlsx", "A 1506-2024")</f>
        <v/>
      </c>
      <c r="W16">
        <f>HYPERLINK("https://klasma.github.io/Logging_1784/kartor/A 1506-2024 karta.png", "A 1506-2024")</f>
        <v/>
      </c>
      <c r="Y16">
        <f>HYPERLINK("https://klasma.github.io/Logging_1784/klagomål/A 1506-2024 FSC-klagomål.docx", "A 1506-2024")</f>
        <v/>
      </c>
      <c r="Z16">
        <f>HYPERLINK("https://klasma.github.io/Logging_1784/klagomålsmail/A 1506-2024 FSC-klagomål mail.docx", "A 1506-2024")</f>
        <v/>
      </c>
      <c r="AA16">
        <f>HYPERLINK("https://klasma.github.io/Logging_1784/tillsyn/A 1506-2024 tillsynsbegäran.docx", "A 1506-2024")</f>
        <v/>
      </c>
      <c r="AB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46222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s="2" t="inlineStr">
        <is>
          <t>Duvhök
Göktyta
Mindre hackspett
Spillkråka</t>
        </is>
      </c>
      <c r="V17">
        <f>HYPERLINK("https://klasma.github.io/Logging_1784/artfynd/A 15988-2025 artfynd.xlsx", "A 15988-2025")</f>
        <v/>
      </c>
      <c r="W17">
        <f>HYPERLINK("https://klasma.github.io/Logging_1784/kartor/A 15988-2025 karta.png", "A 15988-2025")</f>
        <v/>
      </c>
      <c r="Y17">
        <f>HYPERLINK("https://klasma.github.io/Logging_1784/klagomål/A 15988-2025 FSC-klagomål.docx", "A 15988-2025")</f>
        <v/>
      </c>
      <c r="Z17">
        <f>HYPERLINK("https://klasma.github.io/Logging_1784/klagomålsmail/A 15988-2025 FSC-klagomål mail.docx", "A 15988-2025")</f>
        <v/>
      </c>
      <c r="AA17">
        <f>HYPERLINK("https://klasma.github.io/Logging_1784/tillsyn/A 15988-2025 tillsynsbegäran.docx", "A 15988-2025")</f>
        <v/>
      </c>
      <c r="AB17">
        <f>HYPERLINK("https://klasma.github.io/Logging_1784/tillsynsmail/A 15988-2025 tillsynsbegäran mail.docx", "A 15988-2025")</f>
        <v/>
      </c>
      <c r="AC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46222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s="2" t="inlineStr">
        <is>
          <t>Knärot
Gultoppig fingersvamp
Vedtrappmossa
Flagellkvastmossa</t>
        </is>
      </c>
      <c r="V18">
        <f>HYPERLINK("https://klasma.github.io/Logging_1784/artfynd/A 23083-2024 artfynd.xlsx", "A 23083-2024")</f>
        <v/>
      </c>
      <c r="W18">
        <f>HYPERLINK("https://klasma.github.io/Logging_1784/kartor/A 23083-2024 karta.png", "A 23083-2024")</f>
        <v/>
      </c>
      <c r="X18">
        <f>HYPERLINK("https://klasma.github.io/Logging_1784/knärot/A 23083-2024 karta knärot.png", "A 23083-2024")</f>
        <v/>
      </c>
      <c r="Y18">
        <f>HYPERLINK("https://klasma.github.io/Logging_1784/klagomål/A 23083-2024 FSC-klagomål.docx", "A 23083-2024")</f>
        <v/>
      </c>
      <c r="Z18">
        <f>HYPERLINK("https://klasma.github.io/Logging_1784/klagomålsmail/A 23083-2024 FSC-klagomål mail.docx", "A 23083-2024")</f>
        <v/>
      </c>
      <c r="AA18">
        <f>HYPERLINK("https://klasma.github.io/Logging_1784/tillsyn/A 23083-2024 tillsynsbegäran.docx", "A 23083-2024")</f>
        <v/>
      </c>
      <c r="AB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46222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Grön sköldmossa
Blåsippa
Vanlig groda</t>
        </is>
      </c>
      <c r="V19">
        <f>HYPERLINK("https://klasma.github.io/Logging_1784/artfynd/A 16223-2026 artfynd.xlsx", "A 16223-2026")</f>
        <v/>
      </c>
      <c r="W19">
        <f>HYPERLINK("https://klasma.github.io/Logging_1784/kartor/A 16223-2026 karta.png", "A 16223-2026")</f>
        <v/>
      </c>
      <c r="Y19">
        <f>HYPERLINK("https://klasma.github.io/Logging_1784/klagomål/A 16223-2026 FSC-klagomål.docx", "A 16223-2026")</f>
        <v/>
      </c>
      <c r="Z19">
        <f>HYPERLINK("https://klasma.github.io/Logging_1784/klagomålsmail/A 16223-2026 FSC-klagomål mail.docx", "A 16223-2026")</f>
        <v/>
      </c>
      <c r="AA19">
        <f>HYPERLINK("https://klasma.github.io/Logging_1784/tillsyn/A 16223-2026 tillsynsbegäran.docx", "A 16223-2026")</f>
        <v/>
      </c>
      <c r="AB19">
        <f>HYPERLINK("https://klasma.github.io/Logging_1784/tillsynsmail/A 16223-2026 tillsynsbegäran mail.docx", "A 16223-2026")</f>
        <v/>
      </c>
      <c r="AC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46222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s="2" t="inlineStr">
        <is>
          <t>Aspfjädermossa
Tretåig hackspett
Spillkråka
Revlummer</t>
        </is>
      </c>
      <c r="V20">
        <f>HYPERLINK("https://klasma.github.io/Logging_1784/artfynd/A 23793-2026 artfynd.xlsx", "A 23793-2026")</f>
        <v/>
      </c>
      <c r="W20">
        <f>HYPERLINK("https://klasma.github.io/Logging_1784/kartor/A 23793-2026 karta.png", "A 23793-2026")</f>
        <v/>
      </c>
      <c r="Y20">
        <f>HYPERLINK("https://klasma.github.io/Logging_1784/klagomål/A 23793-2026 FSC-klagomål.docx", "A 23793-2026")</f>
        <v/>
      </c>
      <c r="Z20">
        <f>HYPERLINK("https://klasma.github.io/Logging_1784/klagomålsmail/A 23793-2026 FSC-klagomål mail.docx", "A 23793-2026")</f>
        <v/>
      </c>
      <c r="AA20">
        <f>HYPERLINK("https://klasma.github.io/Logging_1784/tillsyn/A 23793-2026 tillsynsbegäran.docx", "A 23793-2026")</f>
        <v/>
      </c>
      <c r="AB20">
        <f>HYPERLINK("https://klasma.github.io/Logging_1784/tillsynsmail/A 23793-2026 tillsynsbegäran mail.docx", "A 23793-2026")</f>
        <v/>
      </c>
      <c r="AC20">
        <f>HYPERLINK("https://klasma.github.io/Logging_1784/fåglar/A 23793-2026 prioriterade fågelarter.docx", "A 23793-2026")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46222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Spillkråka
Tjäder</t>
        </is>
      </c>
      <c r="V21">
        <f>HYPERLINK("https://klasma.github.io/Logging_1784/artfynd/A 12887-2026 artfynd.xlsx", "A 12887-2026")</f>
        <v/>
      </c>
      <c r="W21">
        <f>HYPERLINK("https://klasma.github.io/Logging_1784/kartor/A 12887-2026 karta.png", "A 12887-2026")</f>
        <v/>
      </c>
      <c r="Y21">
        <f>HYPERLINK("https://klasma.github.io/Logging_1784/klagomål/A 12887-2026 FSC-klagomål.docx", "A 12887-2026")</f>
        <v/>
      </c>
      <c r="Z21">
        <f>HYPERLINK("https://klasma.github.io/Logging_1784/klagomålsmail/A 12887-2026 FSC-klagomål mail.docx", "A 12887-2026")</f>
        <v/>
      </c>
      <c r="AA21">
        <f>HYPERLINK("https://klasma.github.io/Logging_1784/tillsyn/A 12887-2026 tillsynsbegäran.docx", "A 12887-2026")</f>
        <v/>
      </c>
      <c r="AB21">
        <f>HYPERLINK("https://klasma.github.io/Logging_1784/tillsynsmail/A 12887-2026 tillsynsbegäran mail.docx", "A 12887-2026")</f>
        <v/>
      </c>
      <c r="AC21">
        <f>HYPERLINK("https://klasma.github.io/Logging_1784/fåglar/A 12887-2026 prioriterade fågelarter.docx", "A 12887-2026")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46222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Entita
Talltita
Tjäder</t>
        </is>
      </c>
      <c r="V22">
        <f>HYPERLINK("https://klasma.github.io/Logging_1784/artfynd/A 7350-2025 artfynd.xlsx", "A 7350-2025")</f>
        <v/>
      </c>
      <c r="W22">
        <f>HYPERLINK("https://klasma.github.io/Logging_1784/kartor/A 7350-2025 karta.png", "A 7350-2025")</f>
        <v/>
      </c>
      <c r="Y22">
        <f>HYPERLINK("https://klasma.github.io/Logging_1784/klagomål/A 7350-2025 FSC-klagomål.docx", "A 7350-2025")</f>
        <v/>
      </c>
      <c r="Z22">
        <f>HYPERLINK("https://klasma.github.io/Logging_1784/klagomålsmail/A 7350-2025 FSC-klagomål mail.docx", "A 7350-2025")</f>
        <v/>
      </c>
      <c r="AA22">
        <f>HYPERLINK("https://klasma.github.io/Logging_1784/tillsyn/A 7350-2025 tillsynsbegäran.docx", "A 7350-2025")</f>
        <v/>
      </c>
      <c r="AB22">
        <f>HYPERLINK("https://klasma.github.io/Logging_1784/tillsynsmail/A 7350-2025 tillsynsbegäran mail.docx", "A 7350-2025")</f>
        <v/>
      </c>
      <c r="AC22">
        <f>HYPERLINK("https://klasma.github.io/Logging_1784/fåglar/A 7350-2025 prioriterade fågelarter.docx", "A 7350-2025")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46222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Tretåig hackspett
Spillkråka
Orre</t>
        </is>
      </c>
      <c r="V23">
        <f>HYPERLINK("https://klasma.github.io/Logging_1784/artfynd/A 7583-2026 artfynd.xlsx", "A 7583-2026")</f>
        <v/>
      </c>
      <c r="W23">
        <f>HYPERLINK("https://klasma.github.io/Logging_1784/kartor/A 7583-2026 karta.png", "A 7583-2026")</f>
        <v/>
      </c>
      <c r="Y23">
        <f>HYPERLINK("https://klasma.github.io/Logging_1784/klagomål/A 7583-2026 FSC-klagomål.docx", "A 7583-2026")</f>
        <v/>
      </c>
      <c r="Z23">
        <f>HYPERLINK("https://klasma.github.io/Logging_1784/klagomålsmail/A 7583-2026 FSC-klagomål mail.docx", "A 7583-2026")</f>
        <v/>
      </c>
      <c r="AA23">
        <f>HYPERLINK("https://klasma.github.io/Logging_1784/tillsyn/A 7583-2026 tillsynsbegäran.docx", "A 7583-2026")</f>
        <v/>
      </c>
      <c r="AB23">
        <f>HYPERLINK("https://klasma.github.io/Logging_1784/tillsynsmail/A 7583-2026 tillsynsbegäran mail.docx", "A 7583-2026")</f>
        <v/>
      </c>
      <c r="AC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46222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s="2" t="inlineStr">
        <is>
          <t>Knärot
Mindre hackspett
Talltita</t>
        </is>
      </c>
      <c r="V24">
        <f>HYPERLINK("https://klasma.github.io/Logging_1784/artfynd/A 5936-2025 artfynd.xlsx", "A 5936-2025")</f>
        <v/>
      </c>
      <c r="W24">
        <f>HYPERLINK("https://klasma.github.io/Logging_1784/kartor/A 5936-2025 karta.png", "A 5936-2025")</f>
        <v/>
      </c>
      <c r="X24">
        <f>HYPERLINK("https://klasma.github.io/Logging_1784/knärot/A 5936-2025 karta knärot.png", "A 5936-2025")</f>
        <v/>
      </c>
      <c r="Y24">
        <f>HYPERLINK("https://klasma.github.io/Logging_1784/klagomål/A 5936-2025 FSC-klagomål.docx", "A 5936-2025")</f>
        <v/>
      </c>
      <c r="Z24">
        <f>HYPERLINK("https://klasma.github.io/Logging_1784/klagomålsmail/A 5936-2025 FSC-klagomål mail.docx", "A 5936-2025")</f>
        <v/>
      </c>
      <c r="AA24">
        <f>HYPERLINK("https://klasma.github.io/Logging_1784/tillsyn/A 5936-2025 tillsynsbegäran.docx", "A 5936-2025")</f>
        <v/>
      </c>
      <c r="AB24">
        <f>HYPERLINK("https://klasma.github.io/Logging_1784/tillsynsmail/A 5936-2025 tillsynsbegäran mail.docx", "A 5936-2025")</f>
        <v/>
      </c>
      <c r="AC24">
        <f>HYPERLINK("https://klasma.github.io/Logging_1784/fåglar/A 5936-2025 prioriterade fågelarter.docx", "A 5936-2025")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46222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s="2" t="inlineStr">
        <is>
          <t>Knärot
Grönhjon
Ullticka</t>
        </is>
      </c>
      <c r="V25">
        <f>HYPERLINK("https://klasma.github.io/Logging_1784/artfynd/A 21252-2024 artfynd.xlsx", "A 21252-2024")</f>
        <v/>
      </c>
      <c r="W25">
        <f>HYPERLINK("https://klasma.github.io/Logging_1784/kartor/A 21252-2024 karta.png", "A 21252-2024")</f>
        <v/>
      </c>
      <c r="X25">
        <f>HYPERLINK("https://klasma.github.io/Logging_1784/knärot/A 21252-2024 karta knärot.png", "A 21252-2024")</f>
        <v/>
      </c>
      <c r="Y25">
        <f>HYPERLINK("https://klasma.github.io/Logging_1784/klagomål/A 21252-2024 FSC-klagomål.docx", "A 21252-2024")</f>
        <v/>
      </c>
      <c r="Z25">
        <f>HYPERLINK("https://klasma.github.io/Logging_1784/klagomålsmail/A 21252-2024 FSC-klagomål mail.docx", "A 21252-2024")</f>
        <v/>
      </c>
      <c r="AA25">
        <f>HYPERLINK("https://klasma.github.io/Logging_1784/tillsyn/A 21252-2024 tillsynsbegäran.docx", "A 21252-2024")</f>
        <v/>
      </c>
      <c r="AB25">
        <f>HYPERLINK("https://klasma.github.io/Logging_1784/tillsynsmail/A 21252-2024 tillsynsbegäran mail.docx", "A 21252-2024")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46222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Dvärgbägarlav
Grönpyrola</t>
        </is>
      </c>
      <c r="V26">
        <f>HYPERLINK("https://klasma.github.io/Logging_1784/artfynd/A 23089-2024 artfynd.xlsx", "A 23089-2024")</f>
        <v/>
      </c>
      <c r="W26">
        <f>HYPERLINK("https://klasma.github.io/Logging_1784/kartor/A 23089-2024 karta.png", "A 23089-2024")</f>
        <v/>
      </c>
      <c r="X26">
        <f>HYPERLINK("https://klasma.github.io/Logging_1784/knärot/A 23089-2024 karta knärot.png", "A 23089-2024")</f>
        <v/>
      </c>
      <c r="Y26">
        <f>HYPERLINK("https://klasma.github.io/Logging_1784/klagomål/A 23089-2024 FSC-klagomål.docx", "A 23089-2024")</f>
        <v/>
      </c>
      <c r="Z26">
        <f>HYPERLINK("https://klasma.github.io/Logging_1784/klagomålsmail/A 23089-2024 FSC-klagomål mail.docx", "A 23089-2024")</f>
        <v/>
      </c>
      <c r="AA26">
        <f>HYPERLINK("https://klasma.github.io/Logging_1784/tillsyn/A 23089-2024 tillsynsbegäran.docx", "A 23089-2024")</f>
        <v/>
      </c>
      <c r="AB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46222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Dropptaggsvamp
Orange taggsvamp</t>
        </is>
      </c>
      <c r="V27">
        <f>HYPERLINK("https://klasma.github.io/Logging_1784/artfynd/A 8612-2022 artfynd.xlsx", "A 8612-2022")</f>
        <v/>
      </c>
      <c r="W27">
        <f>HYPERLINK("https://klasma.github.io/Logging_1784/kartor/A 8612-2022 karta.png", "A 8612-2022")</f>
        <v/>
      </c>
      <c r="Y27">
        <f>HYPERLINK("https://klasma.github.io/Logging_1784/klagomål/A 8612-2022 FSC-klagomål.docx", "A 8612-2022")</f>
        <v/>
      </c>
      <c r="Z27">
        <f>HYPERLINK("https://klasma.github.io/Logging_1784/klagomålsmail/A 8612-2022 FSC-klagomål mail.docx", "A 8612-2022")</f>
        <v/>
      </c>
      <c r="AA27">
        <f>HYPERLINK("https://klasma.github.io/Logging_1784/tillsyn/A 8612-2022 tillsynsbegäran.docx", "A 8612-2022")</f>
        <v/>
      </c>
      <c r="AB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46222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Y28">
        <f>HYPERLINK("https://klasma.github.io/Logging_1784/klagomål/A 69928-2021 FSC-klagomål.docx", "A 69928-2021")</f>
        <v/>
      </c>
      <c r="Z28">
        <f>HYPERLINK("https://klasma.github.io/Logging_1784/klagomålsmail/A 69928-2021 FSC-klagomål mail.docx", "A 69928-2021")</f>
        <v/>
      </c>
      <c r="AA28">
        <f>HYPERLINK("https://klasma.github.io/Logging_1784/tillsyn/A 69928-2021 tillsynsbegäran.docx", "A 69928-2021")</f>
        <v/>
      </c>
      <c r="AB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46222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HYPERLINK("https://klasma.github.io/Logging_1784/knärot/A 51769-2022 karta knärot.png", "A 51769-2022")</f>
        <v/>
      </c>
      <c r="Y29">
        <f>HYPERLINK("https://klasma.github.io/Logging_1784/klagomål/A 51769-2022 FSC-klagomål.docx", "A 51769-2022")</f>
        <v/>
      </c>
      <c r="Z29">
        <f>HYPERLINK("https://klasma.github.io/Logging_1784/klagomålsmail/A 51769-2022 FSC-klagomål mail.docx", "A 51769-2022")</f>
        <v/>
      </c>
      <c r="AA29">
        <f>HYPERLINK("https://klasma.github.io/Logging_1784/tillsyn/A 51769-2022 tillsynsbegäran.docx", "A 51769-2022")</f>
        <v/>
      </c>
      <c r="AB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46222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Bronshjon
Vågbandad barkbock</t>
        </is>
      </c>
      <c r="V30">
        <f>HYPERLINK("https://klasma.github.io/Logging_1784/artfynd/A 42324-2022 artfynd.xlsx", "A 42324-2022")</f>
        <v/>
      </c>
      <c r="W30">
        <f>HYPERLINK("https://klasma.github.io/Logging_1784/kartor/A 42324-2022 karta.png", "A 42324-2022")</f>
        <v/>
      </c>
      <c r="Y30">
        <f>HYPERLINK("https://klasma.github.io/Logging_1784/klagomål/A 42324-2022 FSC-klagomål.docx", "A 42324-2022")</f>
        <v/>
      </c>
      <c r="Z30">
        <f>HYPERLINK("https://klasma.github.io/Logging_1784/klagomålsmail/A 42324-2022 FSC-klagomål mail.docx", "A 42324-2022")</f>
        <v/>
      </c>
      <c r="AA30">
        <f>HYPERLINK("https://klasma.github.io/Logging_1784/tillsyn/A 42324-2022 tillsynsbegäran.docx", "A 42324-2022")</f>
        <v/>
      </c>
      <c r="AB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46222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s="2" t="inlineStr">
        <is>
          <t>Knärot
Dropptaggsvamp</t>
        </is>
      </c>
      <c r="V31">
        <f>HYPERLINK("https://klasma.github.io/Logging_1784/artfynd/A 56872-2021 artfynd.xlsx", "A 56872-2021")</f>
        <v/>
      </c>
      <c r="W31">
        <f>HYPERLINK("https://klasma.github.io/Logging_1784/kartor/A 56872-2021 karta.png", "A 56872-2021")</f>
        <v/>
      </c>
      <c r="X31">
        <f>HYPERLINK("https://klasma.github.io/Logging_1784/knärot/A 56872-2021 karta knärot.png", "A 56872-2021")</f>
        <v/>
      </c>
      <c r="Y31">
        <f>HYPERLINK("https://klasma.github.io/Logging_1784/klagomål/A 56872-2021 FSC-klagomål.docx", "A 56872-2021")</f>
        <v/>
      </c>
      <c r="Z31">
        <f>HYPERLINK("https://klasma.github.io/Logging_1784/klagomålsmail/A 56872-2021 FSC-klagomål mail.docx", "A 56872-2021")</f>
        <v/>
      </c>
      <c r="AA31">
        <f>HYPERLINK("https://klasma.github.io/Logging_1784/tillsyn/A 56872-2021 tillsynsbegäran.docx", "A 56872-2021")</f>
        <v/>
      </c>
      <c r="AB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Skogsklocka
Fläcknycklar</t>
        </is>
      </c>
      <c r="V32">
        <f>HYPERLINK("https://klasma.github.io/Logging_1784/artfynd/A 16104-2022 artfynd.xlsx", "A 16104-2022")</f>
        <v/>
      </c>
      <c r="W32">
        <f>HYPERLINK("https://klasma.github.io/Logging_1784/kartor/A 16104-2022 karta.png", "A 16104-2022")</f>
        <v/>
      </c>
      <c r="Y32">
        <f>HYPERLINK("https://klasma.github.io/Logging_1784/klagomål/A 16104-2022 FSC-klagomål.docx", "A 16104-2022")</f>
        <v/>
      </c>
      <c r="Z32">
        <f>HYPERLINK("https://klasma.github.io/Logging_1784/klagomålsmail/A 16104-2022 FSC-klagomål mail.docx", "A 16104-2022")</f>
        <v/>
      </c>
      <c r="AA32">
        <f>HYPERLINK("https://klasma.github.io/Logging_1784/tillsyn/A 16104-2022 tillsynsbegäran.docx", "A 16104-2022")</f>
        <v/>
      </c>
      <c r="AB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46222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Y33">
        <f>HYPERLINK("https://klasma.github.io/Logging_1784/klagomål/A 40907-2025 FSC-klagomål.docx", "A 40907-2025")</f>
        <v/>
      </c>
      <c r="Z33">
        <f>HYPERLINK("https://klasma.github.io/Logging_1784/klagomålsmail/A 40907-2025 FSC-klagomål mail.docx", "A 40907-2025")</f>
        <v/>
      </c>
      <c r="AA33">
        <f>HYPERLINK("https://klasma.github.io/Logging_1784/tillsyn/A 40907-2025 tillsynsbegäran.docx", "A 40907-2025")</f>
        <v/>
      </c>
      <c r="AB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46222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Fiskgjuse
Sångsvan</t>
        </is>
      </c>
      <c r="V34">
        <f>HYPERLINK("https://klasma.github.io/Logging_1784/artfynd/A 13490-2025 artfynd.xlsx", "A 13490-2025")</f>
        <v/>
      </c>
      <c r="W34">
        <f>HYPERLINK("https://klasma.github.io/Logging_1784/kartor/A 13490-2025 karta.png", "A 13490-2025")</f>
        <v/>
      </c>
      <c r="Y34">
        <f>HYPERLINK("https://klasma.github.io/Logging_1784/klagomål/A 13490-2025 FSC-klagomål.docx", "A 13490-2025")</f>
        <v/>
      </c>
      <c r="Z34">
        <f>HYPERLINK("https://klasma.github.io/Logging_1784/klagomålsmail/A 13490-2025 FSC-klagomål mail.docx", "A 13490-2025")</f>
        <v/>
      </c>
      <c r="AA34">
        <f>HYPERLINK("https://klasma.github.io/Logging_1784/tillsyn/A 13490-2025 tillsynsbegäran.docx", "A 13490-2025")</f>
        <v/>
      </c>
      <c r="AB34">
        <f>HYPERLINK("https://klasma.github.io/Logging_1784/tillsynsmail/A 13490-2025 tillsynsbegäran mail.docx", "A 13490-2025")</f>
        <v/>
      </c>
      <c r="AC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46222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Gröngöling</t>
        </is>
      </c>
      <c r="V35">
        <f>HYPERLINK("https://klasma.github.io/Logging_1784/artfynd/A 35306-2025 artfynd.xlsx", "A 35306-2025")</f>
        <v/>
      </c>
      <c r="W35">
        <f>HYPERLINK("https://klasma.github.io/Logging_1784/kartor/A 35306-2025 karta.png", "A 35306-2025")</f>
        <v/>
      </c>
      <c r="Y35">
        <f>HYPERLINK("https://klasma.github.io/Logging_1784/klagomål/A 35306-2025 FSC-klagomål.docx", "A 35306-2025")</f>
        <v/>
      </c>
      <c r="Z35">
        <f>HYPERLINK("https://klasma.github.io/Logging_1784/klagomålsmail/A 35306-2025 FSC-klagomål mail.docx", "A 35306-2025")</f>
        <v/>
      </c>
      <c r="AA35">
        <f>HYPERLINK("https://klasma.github.io/Logging_1784/tillsyn/A 35306-2025 tillsynsbegäran.docx", "A 35306-2025")</f>
        <v/>
      </c>
      <c r="AB35">
        <f>HYPERLINK("https://klasma.github.io/Logging_1784/tillsynsmail/A 35306-2025 tillsynsbegäran mail.docx", "A 35306-2025")</f>
        <v/>
      </c>
    </row>
    <row r="36" ht="15" customHeight="1">
      <c r="A36" t="inlineStr">
        <is>
          <t>A 6536-2026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46222</v>
      </c>
      <c r="F36" t="inlineStr">
        <is>
          <t>VÄRMLANDS LÄN</t>
        </is>
      </c>
      <c r="G36" t="inlineStr">
        <is>
          <t>ARVIKA</t>
        </is>
      </c>
      <c r="I36" t="n">
        <v>1.4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Hieracium arrosum
Trollfibbla</t>
        </is>
      </c>
      <c r="V36">
        <f>HYPERLINK("https://klasma.github.io/Logging_1784/artfynd/A 6536-2026 artfynd.xlsx", "A 6536-2026")</f>
        <v/>
      </c>
      <c r="W36">
        <f>HYPERLINK("https://klasma.github.io/Logging_1784/kartor/A 6536-2026 karta.png", "A 6536-2026")</f>
        <v/>
      </c>
      <c r="Y36">
        <f>HYPERLINK("https://klasma.github.io/Logging_1784/klagomål/A 6536-2026 FSC-klagomål.docx", "A 6536-2026")</f>
        <v/>
      </c>
      <c r="Z36">
        <f>HYPERLINK("https://klasma.github.io/Logging_1784/klagomålsmail/A 6536-2026 FSC-klagomål mail.docx", "A 6536-2026")</f>
        <v/>
      </c>
      <c r="AA36">
        <f>HYPERLINK("https://klasma.github.io/Logging_1784/tillsyn/A 6536-2026 tillsynsbegäran.docx", "A 6536-2026")</f>
        <v/>
      </c>
      <c r="AB36">
        <f>HYPERLINK("https://klasma.github.io/Logging_1784/tillsynsmail/A 6536-2026 tillsynsbegäran mail.docx", "A 6536-2026")</f>
        <v/>
      </c>
    </row>
    <row r="37" ht="15" customHeight="1">
      <c r="A37" t="inlineStr">
        <is>
          <t>A 45750-2021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44435</v>
      </c>
      <c r="E37" s="1" t="n">
        <v>46222</v>
      </c>
      <c r="F37" t="inlineStr">
        <is>
          <t>VÄRMLANDS LÄN</t>
        </is>
      </c>
      <c r="G37" t="inlineStr">
        <is>
          <t>ARVIKA</t>
        </is>
      </c>
      <c r="I37" t="n">
        <v>2.1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Lunglav
Talltita</t>
        </is>
      </c>
      <c r="V37">
        <f>HYPERLINK("https://klasma.github.io/Logging_1784/artfynd/A 45750-2021 artfynd.xlsx", "A 45750-2021")</f>
        <v/>
      </c>
      <c r="W37">
        <f>HYPERLINK("https://klasma.github.io/Logging_1784/kartor/A 45750-2021 karta.png", "A 45750-2021")</f>
        <v/>
      </c>
      <c r="Y37">
        <f>HYPERLINK("https://klasma.github.io/Logging_1784/klagomål/A 45750-2021 FSC-klagomål.docx", "A 45750-2021")</f>
        <v/>
      </c>
      <c r="Z37">
        <f>HYPERLINK("https://klasma.github.io/Logging_1784/klagomålsmail/A 45750-2021 FSC-klagomål mail.docx", "A 45750-2021")</f>
        <v/>
      </c>
      <c r="AA37">
        <f>HYPERLINK("https://klasma.github.io/Logging_1784/tillsyn/A 45750-2021 tillsynsbegäran.docx", "A 45750-2021")</f>
        <v/>
      </c>
      <c r="AB37">
        <f>HYPERLINK("https://klasma.github.io/Logging_1784/tillsynsmail/A 45750-2021 tillsynsbegäran mail.docx", "A 45750-2021")</f>
        <v/>
      </c>
      <c r="AC37">
        <f>HYPERLINK("https://klasma.github.io/Logging_1784/fåglar/A 45750-2021 prioriterade fågelarter.docx", "A 45750-2021")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46222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s="2" t="inlineStr">
        <is>
          <t>Bollvitmossa
Fläcknycklar</t>
        </is>
      </c>
      <c r="V38">
        <f>HYPERLINK("https://klasma.github.io/Logging_1784/artfynd/A 60586-2025 artfynd.xlsx", "A 60586-2025")</f>
        <v/>
      </c>
      <c r="W38">
        <f>HYPERLINK("https://klasma.github.io/Logging_1784/kartor/A 60586-2025 karta.png", "A 60586-2025")</f>
        <v/>
      </c>
      <c r="Y38">
        <f>HYPERLINK("https://klasma.github.io/Logging_1784/klagomål/A 60586-2025 FSC-klagomål.docx", "A 60586-2025")</f>
        <v/>
      </c>
      <c r="Z38">
        <f>HYPERLINK("https://klasma.github.io/Logging_1784/klagomålsmail/A 60586-2025 FSC-klagomål mail.docx", "A 60586-2025")</f>
        <v/>
      </c>
      <c r="AA38">
        <f>HYPERLINK("https://klasma.github.io/Logging_1784/tillsyn/A 60586-2025 tillsynsbegäran.docx", "A 60586-2025")</f>
        <v/>
      </c>
      <c r="AB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46222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Garnlav
Korallblylav</t>
        </is>
      </c>
      <c r="V39">
        <f>HYPERLINK("https://klasma.github.io/Logging_1784/artfynd/A 66652-2021 artfynd.xlsx", "A 66652-2021")</f>
        <v/>
      </c>
      <c r="W39">
        <f>HYPERLINK("https://klasma.github.io/Logging_1784/kartor/A 66652-2021 karta.png", "A 66652-2021")</f>
        <v/>
      </c>
      <c r="Y39">
        <f>HYPERLINK("https://klasma.github.io/Logging_1784/klagomål/A 66652-2021 FSC-klagomål.docx", "A 66652-2021")</f>
        <v/>
      </c>
      <c r="Z39">
        <f>HYPERLINK("https://klasma.github.io/Logging_1784/klagomålsmail/A 66652-2021 FSC-klagomål mail.docx", "A 66652-2021")</f>
        <v/>
      </c>
      <c r="AA39">
        <f>HYPERLINK("https://klasma.github.io/Logging_1784/tillsyn/A 66652-2021 tillsynsbegäran.docx", "A 66652-2021")</f>
        <v/>
      </c>
      <c r="AB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46222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Kattfotslav
Tjäder</t>
        </is>
      </c>
      <c r="V40">
        <f>HYPERLINK("https://klasma.github.io/Logging_1784/artfynd/A 51595-2025 artfynd.xlsx", "A 51595-2025")</f>
        <v/>
      </c>
      <c r="W40">
        <f>HYPERLINK("https://klasma.github.io/Logging_1784/kartor/A 51595-2025 karta.png", "A 51595-2025")</f>
        <v/>
      </c>
      <c r="Y40">
        <f>HYPERLINK("https://klasma.github.io/Logging_1784/klagomål/A 51595-2025 FSC-klagomål.docx", "A 51595-2025")</f>
        <v/>
      </c>
      <c r="Z40">
        <f>HYPERLINK("https://klasma.github.io/Logging_1784/klagomålsmail/A 51595-2025 FSC-klagomål mail.docx", "A 51595-2025")</f>
        <v/>
      </c>
      <c r="AA40">
        <f>HYPERLINK("https://klasma.github.io/Logging_1784/tillsyn/A 51595-2025 tillsynsbegäran.docx", "A 51595-2025")</f>
        <v/>
      </c>
      <c r="AB40">
        <f>HYPERLINK("https://klasma.github.io/Logging_1784/tillsynsmail/A 51595-2025 tillsynsbegäran mail.docx", "A 51595-2025")</f>
        <v/>
      </c>
      <c r="AC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46222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Raggtaggsvamp
Knärot</t>
        </is>
      </c>
      <c r="V41">
        <f>HYPERLINK("https://klasma.github.io/Logging_1784/artfynd/A 43389-2023 artfynd.xlsx", "A 43389-2023")</f>
        <v/>
      </c>
      <c r="W41">
        <f>HYPERLINK("https://klasma.github.io/Logging_1784/kartor/A 43389-2023 karta.png", "A 43389-2023")</f>
        <v/>
      </c>
      <c r="X41">
        <f>HYPERLINK("https://klasma.github.io/Logging_1784/knärot/A 43389-2023 karta knärot.png", "A 43389-2023")</f>
        <v/>
      </c>
      <c r="Y41">
        <f>HYPERLINK("https://klasma.github.io/Logging_1784/klagomål/A 43389-2023 FSC-klagomål.docx", "A 43389-2023")</f>
        <v/>
      </c>
      <c r="Z41">
        <f>HYPERLINK("https://klasma.github.io/Logging_1784/klagomålsmail/A 43389-2023 FSC-klagomål mail.docx", "A 43389-2023")</f>
        <v/>
      </c>
      <c r="AA41">
        <f>HYPERLINK("https://klasma.github.io/Logging_1784/tillsyn/A 43389-2023 tillsynsbegäran.docx", "A 43389-2023")</f>
        <v/>
      </c>
      <c r="AB41">
        <f>HYPERLINK("https://klasma.github.io/Logging_1784/tillsynsmail/A 43389-2023 tillsynsbegäran mail.docx", "A 43389-2023")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46222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Pärluggla
Spillkråka</t>
        </is>
      </c>
      <c r="V42">
        <f>HYPERLINK("https://klasma.github.io/Logging_1784/artfynd/A 45178-2023 artfynd.xlsx", "A 45178-2023")</f>
        <v/>
      </c>
      <c r="W42">
        <f>HYPERLINK("https://klasma.github.io/Logging_1784/kartor/A 45178-2023 karta.png", "A 45178-2023")</f>
        <v/>
      </c>
      <c r="Y42">
        <f>HYPERLINK("https://klasma.github.io/Logging_1784/klagomål/A 45178-2023 FSC-klagomål.docx", "A 45178-2023")</f>
        <v/>
      </c>
      <c r="Z42">
        <f>HYPERLINK("https://klasma.github.io/Logging_1784/klagomålsmail/A 45178-2023 FSC-klagomål mail.docx", "A 45178-2023")</f>
        <v/>
      </c>
      <c r="AA42">
        <f>HYPERLINK("https://klasma.github.io/Logging_1784/tillsyn/A 45178-2023 tillsynsbegäran.docx", "A 45178-2023")</f>
        <v/>
      </c>
      <c r="AB42">
        <f>HYPERLINK("https://klasma.github.io/Logging_1784/tillsynsmail/A 45178-2023 tillsynsbegäran mail.docx", "A 45178-2023")</f>
        <v/>
      </c>
      <c r="AC42">
        <f>HYPERLINK("https://klasma.github.io/Logging_1784/fåglar/A 45178-2023 prioriterade fågelarter.docx", "A 45178-2023")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46222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s="2" t="inlineStr">
        <is>
          <t>Knärot
Fjällig taggsvamp s.str.</t>
        </is>
      </c>
      <c r="V43">
        <f>HYPERLINK("https://klasma.github.io/Logging_1784/artfynd/A 8591-2023 artfynd.xlsx", "A 8591-2023")</f>
        <v/>
      </c>
      <c r="W43">
        <f>HYPERLINK("https://klasma.github.io/Logging_1784/kartor/A 8591-2023 karta.png", "A 8591-2023")</f>
        <v/>
      </c>
      <c r="X43">
        <f>HYPERLINK("https://klasma.github.io/Logging_1784/knärot/A 8591-2023 karta knärot.png", "A 8591-2023")</f>
        <v/>
      </c>
      <c r="Y43">
        <f>HYPERLINK("https://klasma.github.io/Logging_1784/klagomål/A 8591-2023 FSC-klagomål.docx", "A 8591-2023")</f>
        <v/>
      </c>
      <c r="Z43">
        <f>HYPERLINK("https://klasma.github.io/Logging_1784/klagomålsmail/A 8591-2023 FSC-klagomål mail.docx", "A 8591-2023")</f>
        <v/>
      </c>
      <c r="AA43">
        <f>HYPERLINK("https://klasma.github.io/Logging_1784/tillsyn/A 8591-2023 tillsynsbegäran.docx", "A 8591-2023")</f>
        <v/>
      </c>
      <c r="AB43">
        <f>HYPERLINK("https://klasma.github.io/Logging_1784/tillsynsmail/A 8591-2023 tillsynsbegäran mail.docx", "A 8591-2023")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46222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Skinnlav
Stor aspticka</t>
        </is>
      </c>
      <c r="V44">
        <f>HYPERLINK("https://klasma.github.io/Logging_1784/artfynd/A 3340-2022 artfynd.xlsx", "A 3340-2022")</f>
        <v/>
      </c>
      <c r="W44">
        <f>HYPERLINK("https://klasma.github.io/Logging_1784/kartor/A 3340-2022 karta.png", "A 3340-2022")</f>
        <v/>
      </c>
      <c r="Y44">
        <f>HYPERLINK("https://klasma.github.io/Logging_1784/klagomål/A 3340-2022 FSC-klagomål.docx", "A 3340-2022")</f>
        <v/>
      </c>
      <c r="Z44">
        <f>HYPERLINK("https://klasma.github.io/Logging_1784/klagomålsmail/A 3340-2022 FSC-klagomål mail.docx", "A 3340-2022")</f>
        <v/>
      </c>
      <c r="AA44">
        <f>HYPERLINK("https://klasma.github.io/Logging_1784/tillsyn/A 3340-2022 tillsynsbegäran.docx", "A 3340-2022")</f>
        <v/>
      </c>
      <c r="AB44">
        <f>HYPERLINK("https://klasma.github.io/Logging_1784/tillsynsmail/A 3340-2022 tillsynsbegäran mail.docx", "A 3340-2022")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46222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s="2" t="inlineStr">
        <is>
          <t>Knärot
Grönpyrola</t>
        </is>
      </c>
      <c r="V45">
        <f>HYPERLINK("https://klasma.github.io/Logging_1784/artfynd/A 6966-2025 artfynd.xlsx", "A 6966-2025")</f>
        <v/>
      </c>
      <c r="W45">
        <f>HYPERLINK("https://klasma.github.io/Logging_1784/kartor/A 6966-2025 karta.png", "A 6966-2025")</f>
        <v/>
      </c>
      <c r="X45">
        <f>HYPERLINK("https://klasma.github.io/Logging_1784/knärot/A 6966-2025 karta knärot.png", "A 6966-2025")</f>
        <v/>
      </c>
      <c r="Y45">
        <f>HYPERLINK("https://klasma.github.io/Logging_1784/klagomål/A 6966-2025 FSC-klagomål.docx", "A 6966-2025")</f>
        <v/>
      </c>
      <c r="Z45">
        <f>HYPERLINK("https://klasma.github.io/Logging_1784/klagomålsmail/A 6966-2025 FSC-klagomål mail.docx", "A 6966-2025")</f>
        <v/>
      </c>
      <c r="AA45">
        <f>HYPERLINK("https://klasma.github.io/Logging_1784/tillsyn/A 6966-2025 tillsynsbegäran.docx", "A 6966-2025")</f>
        <v/>
      </c>
      <c r="AB45">
        <f>HYPERLINK("https://klasma.github.io/Logging_1784/tillsynsmail/A 6966-2025 tillsynsbegäran mail.docx", "A 6966-2025")</f>
        <v/>
      </c>
    </row>
    <row r="46" ht="15" customHeight="1">
      <c r="A46" t="inlineStr">
        <is>
          <t>A 30457-2023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46222</v>
      </c>
      <c r="F46" t="inlineStr">
        <is>
          <t>VÄRMLANDS LÄN</t>
        </is>
      </c>
      <c r="G46" t="inlineStr">
        <is>
          <t>ARVIKA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5</v>
      </c>
      <c r="U46" s="2" t="inlineStr">
        <is>
          <t>Älg
Guldlockmossa</t>
        </is>
      </c>
      <c r="V46">
        <f>HYPERLINK("https://klasma.github.io/Logging_1784/artfynd/A 30457-2023 artfynd.xlsx", "A 30457-2023")</f>
        <v/>
      </c>
      <c r="W46">
        <f>HYPERLINK("https://klasma.github.io/Logging_1784/kartor/A 30457-2023 karta.png", "A 30457-2023")</f>
        <v/>
      </c>
      <c r="Y46">
        <f>HYPERLINK("https://klasma.github.io/Logging_1784/klagomål/A 30457-2023 FSC-klagomål.docx", "A 30457-2023")</f>
        <v/>
      </c>
      <c r="Z46">
        <f>HYPERLINK("https://klasma.github.io/Logging_1784/klagomålsmail/A 30457-2023 FSC-klagomål mail.docx", "A 30457-2023")</f>
        <v/>
      </c>
      <c r="AA46">
        <f>HYPERLINK("https://klasma.github.io/Logging_1784/tillsyn/A 30457-2023 tillsynsbegäran.docx", "A 30457-2023")</f>
        <v/>
      </c>
      <c r="AB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46222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Skogsklocka</t>
        </is>
      </c>
      <c r="V47">
        <f>HYPERLINK("https://klasma.github.io/Logging_1784/artfynd/A 45401-2023 artfynd.xlsx", "A 45401-2023")</f>
        <v/>
      </c>
      <c r="W47">
        <f>HYPERLINK("https://klasma.github.io/Logging_1784/kartor/A 45401-2023 karta.png", "A 45401-2023")</f>
        <v/>
      </c>
      <c r="X47">
        <f>HYPERLINK("https://klasma.github.io/Logging_1784/knärot/A 45401-2023 karta knärot.png", "A 45401-2023")</f>
        <v/>
      </c>
      <c r="Y47">
        <f>HYPERLINK("https://klasma.github.io/Logging_1784/klagomål/A 45401-2023 FSC-klagomål.docx", "A 45401-2023")</f>
        <v/>
      </c>
      <c r="Z47">
        <f>HYPERLINK("https://klasma.github.io/Logging_1784/klagomålsmail/A 45401-2023 FSC-klagomål mail.docx", "A 45401-2023")</f>
        <v/>
      </c>
      <c r="AA47">
        <f>HYPERLINK("https://klasma.github.io/Logging_1784/tillsyn/A 45401-2023 tillsynsbegäran.docx", "A 45401-2023")</f>
        <v/>
      </c>
      <c r="AB47">
        <f>HYPERLINK("https://klasma.github.io/Logging_1784/tillsynsmail/A 45401-2023 tillsynsbegäran mail.docx", "A 45401-2023")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46222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s="2" t="inlineStr">
        <is>
          <t>Dolkstekelsglasvinge
Tjäder</t>
        </is>
      </c>
      <c r="V48">
        <f>HYPERLINK("https://klasma.github.io/Logging_1784/artfynd/A 28743-2026 artfynd.xlsx", "A 28743-2026")</f>
        <v/>
      </c>
      <c r="W48">
        <f>HYPERLINK("https://klasma.github.io/Logging_1784/kartor/A 28743-2026 karta.png", "A 28743-2026")</f>
        <v/>
      </c>
      <c r="Y48">
        <f>HYPERLINK("https://klasma.github.io/Logging_1784/klagomål/A 28743-2026 FSC-klagomål.docx", "A 28743-2026")</f>
        <v/>
      </c>
      <c r="Z48">
        <f>HYPERLINK("https://klasma.github.io/Logging_1784/klagomålsmail/A 28743-2026 FSC-klagomål mail.docx", "A 28743-2026")</f>
        <v/>
      </c>
      <c r="AA48">
        <f>HYPERLINK("https://klasma.github.io/Logging_1784/tillsyn/A 28743-2026 tillsynsbegäran.docx", "A 28743-2026")</f>
        <v/>
      </c>
      <c r="AB48">
        <f>HYPERLINK("https://klasma.github.io/Logging_1784/tillsynsmail/A 28743-2026 tillsynsbegäran mail.docx", "A 28743-2026")</f>
        <v/>
      </c>
      <c r="AC48">
        <f>HYPERLINK("https://klasma.github.io/Logging_1784/fåglar/A 28743-2026 prioriterade fågelarter.docx", "A 28743-2026")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46222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s="2" t="inlineStr">
        <is>
          <t>Tallticka
Vedskivlav</t>
        </is>
      </c>
      <c r="V49">
        <f>HYPERLINK("https://klasma.github.io/Logging_1784/artfynd/A 54323-2021 artfynd.xlsx", "A 54323-2021")</f>
        <v/>
      </c>
      <c r="W49">
        <f>HYPERLINK("https://klasma.github.io/Logging_1784/kartor/A 54323-2021 karta.png", "A 54323-2021")</f>
        <v/>
      </c>
      <c r="Y49">
        <f>HYPERLINK("https://klasma.github.io/Logging_1784/klagomål/A 54323-2021 FSC-klagomål.docx", "A 54323-2021")</f>
        <v/>
      </c>
      <c r="Z49">
        <f>HYPERLINK("https://klasma.github.io/Logging_1784/klagomålsmail/A 54323-2021 FSC-klagomål mail.docx", "A 54323-2021")</f>
        <v/>
      </c>
      <c r="AA49">
        <f>HYPERLINK("https://klasma.github.io/Logging_1784/tillsyn/A 54323-2021 tillsynsbegäran.docx", "A 54323-2021")</f>
        <v/>
      </c>
      <c r="AB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46222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HYPERLINK("https://klasma.github.io/Logging_1784/artfynd/S 24-2026 artfynd.xlsx", "S 24-2026")</f>
        <v/>
      </c>
      <c r="W50">
        <f>HYPERLINK("https://klasma.github.io/Logging_1784/kartor/S 24-2026 karta.png", "S 24-2026")</f>
        <v/>
      </c>
      <c r="Y50">
        <f>HYPERLINK("https://klasma.github.io/Logging_1784/klagomål/S 24-2026 FSC-klagomål.docx", "S 24-2026")</f>
        <v/>
      </c>
      <c r="Z50">
        <f>HYPERLINK("https://klasma.github.io/Logging_1784/klagomålsmail/S 24-2026 FSC-klagomål mail.docx", "S 24-2026")</f>
        <v/>
      </c>
      <c r="AA50">
        <f>HYPERLINK("https://klasma.github.io/Logging_1784/tillsyn/S 24-2026 tillsynsbegäran.docx", "S 24-2026")</f>
        <v/>
      </c>
      <c r="AB50">
        <f>HYPERLINK("https://klasma.github.io/Logging_1784/tillsynsmail/S 24-2026 tillsynsbegäran mail.docx", "S 24-2026")</f>
        <v/>
      </c>
      <c r="AC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46222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HYPERLINK("https://klasma.github.io/Logging_1784/artfynd/A 8614-2022 artfynd.xlsx", "A 8614-2022")</f>
        <v/>
      </c>
      <c r="W51">
        <f>HYPERLINK("https://klasma.github.io/Logging_1784/kartor/A 8614-2022 karta.png", "A 8614-2022")</f>
        <v/>
      </c>
      <c r="Y51">
        <f>HYPERLINK("https://klasma.github.io/Logging_1784/klagomål/A 8614-2022 FSC-klagomål.docx", "A 8614-2022")</f>
        <v/>
      </c>
      <c r="Z51">
        <f>HYPERLINK("https://klasma.github.io/Logging_1784/klagomålsmail/A 8614-2022 FSC-klagomål mail.docx", "A 8614-2022")</f>
        <v/>
      </c>
      <c r="AA51">
        <f>HYPERLINK("https://klasma.github.io/Logging_1784/tillsyn/A 8614-2022 tillsynsbegäran.docx", "A 8614-2022")</f>
        <v/>
      </c>
      <c r="AB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46222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Tretåig hackspett</t>
        </is>
      </c>
      <c r="V52">
        <f>HYPERLINK("https://klasma.github.io/Logging_1784/artfynd/A 64590-2021 artfynd.xlsx", "A 64590-2021")</f>
        <v/>
      </c>
      <c r="W52">
        <f>HYPERLINK("https://klasma.github.io/Logging_1784/kartor/A 64590-2021 karta.png", "A 64590-2021")</f>
        <v/>
      </c>
      <c r="Y52">
        <f>HYPERLINK("https://klasma.github.io/Logging_1784/klagomål/A 64590-2021 FSC-klagomål.docx", "A 64590-2021")</f>
        <v/>
      </c>
      <c r="Z52">
        <f>HYPERLINK("https://klasma.github.io/Logging_1784/klagomålsmail/A 64590-2021 FSC-klagomål mail.docx", "A 64590-2021")</f>
        <v/>
      </c>
      <c r="AA52">
        <f>HYPERLINK("https://klasma.github.io/Logging_1784/tillsyn/A 64590-2021 tillsynsbegäran.docx", "A 64590-2021")</f>
        <v/>
      </c>
      <c r="AB52">
        <f>HYPERLINK("https://klasma.github.io/Logging_1784/tillsynsmail/A 64590-2021 tillsynsbegäran mail.docx", "A 64590-2021")</f>
        <v/>
      </c>
      <c r="AC52">
        <f>HYPERLINK("https://klasma.github.io/Logging_1784/fåglar/A 64590-2021 prioriterade fågelarter.docx", "A 64590-2021")</f>
        <v/>
      </c>
    </row>
    <row r="53" ht="15" customHeight="1">
      <c r="A53" t="inlineStr">
        <is>
          <t>A 37342-2021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44397</v>
      </c>
      <c r="E53" s="1" t="n">
        <v>46222</v>
      </c>
      <c r="F53" t="inlineStr">
        <is>
          <t>VÄRMLANDS LÄN</t>
        </is>
      </c>
      <c r="G53" t="inlineStr">
        <is>
          <t>ARVIKA</t>
        </is>
      </c>
      <c r="I53" t="n">
        <v>3.5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HYPERLINK("https://klasma.github.io/Logging_1784/artfynd/A 37342-2021 artfynd.xlsx", "A 37342-2021")</f>
        <v/>
      </c>
      <c r="W53">
        <f>HYPERLINK("https://klasma.github.io/Logging_1784/kartor/A 37342-2021 karta.png", "A 37342-2021")</f>
        <v/>
      </c>
      <c r="X53">
        <f>HYPERLINK("https://klasma.github.io/Logging_1784/knärot/A 37342-2021 karta knärot.png", "A 37342-2021")</f>
        <v/>
      </c>
      <c r="Y53">
        <f>HYPERLINK("https://klasma.github.io/Logging_1784/klagomål/A 37342-2021 FSC-klagomål.docx", "A 37342-2021")</f>
        <v/>
      </c>
      <c r="Z53">
        <f>HYPERLINK("https://klasma.github.io/Logging_1784/klagomålsmail/A 37342-2021 FSC-klagomål mail.docx", "A 37342-2021")</f>
        <v/>
      </c>
      <c r="AA53">
        <f>HYPERLINK("https://klasma.github.io/Logging_1784/tillsyn/A 37342-2021 tillsynsbegäran.docx", "A 37342-2021")</f>
        <v/>
      </c>
      <c r="AB53">
        <f>HYPERLINK("https://klasma.github.io/Logging_1784/tillsynsmail/A 37342-2021 tillsynsbegäran mail.docx", "A 37342-2021")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46222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HYPERLINK("https://klasma.github.io/Logging_1784/artfynd/A 31797-2022 artfynd.xlsx", "A 31797-2022")</f>
        <v/>
      </c>
      <c r="W54">
        <f>HYPERLINK("https://klasma.github.io/Logging_1784/kartor/A 31797-2022 karta.png", "A 31797-2022")</f>
        <v/>
      </c>
      <c r="Y54">
        <f>HYPERLINK("https://klasma.github.io/Logging_1784/klagomål/A 31797-2022 FSC-klagomål.docx", "A 31797-2022")</f>
        <v/>
      </c>
      <c r="Z54">
        <f>HYPERLINK("https://klasma.github.io/Logging_1784/klagomålsmail/A 31797-2022 FSC-klagomål mail.docx", "A 31797-2022")</f>
        <v/>
      </c>
      <c r="AA54">
        <f>HYPERLINK("https://klasma.github.io/Logging_1784/tillsyn/A 31797-2022 tillsynsbegäran.docx", "A 31797-2022")</f>
        <v/>
      </c>
      <c r="AB54">
        <f>HYPERLINK("https://klasma.github.io/Logging_1784/tillsynsmail/A 31797-2022 tillsynsbegäran mail.docx", "A 31797-2022")</f>
        <v/>
      </c>
    </row>
    <row r="55" ht="15" customHeight="1">
      <c r="A55" t="inlineStr">
        <is>
          <t>A 41686-2021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44425</v>
      </c>
      <c r="E55" s="1" t="n">
        <v>46222</v>
      </c>
      <c r="F55" t="inlineStr">
        <is>
          <t>VÄRMLANDS LÄN</t>
        </is>
      </c>
      <c r="G55" t="inlineStr">
        <is>
          <t>ARVIKA</t>
        </is>
      </c>
      <c r="I55" t="n">
        <v>4.4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Knärot</t>
        </is>
      </c>
      <c r="V55">
        <f>HYPERLINK("https://klasma.github.io/Logging_1784/artfynd/A 41686-2021 artfynd.xlsx", "A 41686-2021")</f>
        <v/>
      </c>
      <c r="W55">
        <f>HYPERLINK("https://klasma.github.io/Logging_1784/kartor/A 41686-2021 karta.png", "A 41686-2021")</f>
        <v/>
      </c>
      <c r="X55">
        <f>HYPERLINK("https://klasma.github.io/Logging_1784/knärot/A 41686-2021 karta knärot.png", "A 41686-2021")</f>
        <v/>
      </c>
      <c r="Y55">
        <f>HYPERLINK("https://klasma.github.io/Logging_1784/klagomål/A 41686-2021 FSC-klagomål.docx", "A 41686-2021")</f>
        <v/>
      </c>
      <c r="Z55">
        <f>HYPERLINK("https://klasma.github.io/Logging_1784/klagomålsmail/A 41686-2021 FSC-klagomål mail.docx", "A 41686-2021")</f>
        <v/>
      </c>
      <c r="AA55">
        <f>HYPERLINK("https://klasma.github.io/Logging_1784/tillsyn/A 41686-2021 tillsynsbegäran.docx", "A 41686-2021")</f>
        <v/>
      </c>
      <c r="AB55">
        <f>HYPERLINK("https://klasma.github.io/Logging_1784/tillsynsmail/A 41686-2021 tillsynsbegäran mail.docx", "A 41686-2021")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46222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Kulfibbla</t>
        </is>
      </c>
      <c r="V56">
        <f>HYPERLINK("https://klasma.github.io/Logging_1784/artfynd/A 16391-2023 artfynd.xlsx", "A 16391-2023")</f>
        <v/>
      </c>
      <c r="W56">
        <f>HYPERLINK("https://klasma.github.io/Logging_1784/kartor/A 16391-2023 karta.png", "A 16391-2023")</f>
        <v/>
      </c>
      <c r="Y56">
        <f>HYPERLINK("https://klasma.github.io/Logging_1784/klagomål/A 16391-2023 FSC-klagomål.docx", "A 16391-2023")</f>
        <v/>
      </c>
      <c r="Z56">
        <f>HYPERLINK("https://klasma.github.io/Logging_1784/klagomålsmail/A 16391-2023 FSC-klagomål mail.docx", "A 16391-2023")</f>
        <v/>
      </c>
      <c r="AA56">
        <f>HYPERLINK("https://klasma.github.io/Logging_1784/tillsyn/A 16391-2023 tillsynsbegäran.docx", "A 16391-2023")</f>
        <v/>
      </c>
      <c r="AB56">
        <f>HYPERLINK("https://klasma.github.io/Logging_1784/tillsynsmail/A 16391-2023 tillsynsbegäran mail.docx", "A 16391-2023")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46222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Svart trolldruva</t>
        </is>
      </c>
      <c r="V57">
        <f>HYPERLINK("https://klasma.github.io/Logging_1784/artfynd/A 26079-2025 artfynd.xlsx", "A 26079-2025")</f>
        <v/>
      </c>
      <c r="W57">
        <f>HYPERLINK("https://klasma.github.io/Logging_1784/kartor/A 26079-2025 karta.png", "A 26079-2025")</f>
        <v/>
      </c>
      <c r="Y57">
        <f>HYPERLINK("https://klasma.github.io/Logging_1784/klagomål/A 26079-2025 FSC-klagomål.docx", "A 26079-2025")</f>
        <v/>
      </c>
      <c r="Z57">
        <f>HYPERLINK("https://klasma.github.io/Logging_1784/klagomålsmail/A 26079-2025 FSC-klagomål mail.docx", "A 26079-2025")</f>
        <v/>
      </c>
      <c r="AA57">
        <f>HYPERLINK("https://klasma.github.io/Logging_1784/tillsyn/A 26079-2025 tillsynsbegäran.docx", "A 26079-2025")</f>
        <v/>
      </c>
      <c r="AB57">
        <f>HYPERLINK("https://klasma.github.io/Logging_1784/tillsynsmail/A 26079-2025 tillsynsbegäran mail.docx", "A 26079-2025")</f>
        <v/>
      </c>
    </row>
    <row r="58" ht="15" customHeight="1">
      <c r="A58" t="inlineStr">
        <is>
          <t>A 36475-2024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45537</v>
      </c>
      <c r="E58" s="1" t="n">
        <v>46222</v>
      </c>
      <c r="F58" t="inlineStr">
        <is>
          <t>VÄRMLANDS LÄN</t>
        </is>
      </c>
      <c r="G58" t="inlineStr">
        <is>
          <t>ARVIKA</t>
        </is>
      </c>
      <c r="H58" t="inlineStr">
        <is>
          <t>Kommuner</t>
        </is>
      </c>
      <c r="I58" t="n">
        <v>2.2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Slåttergubbemal</t>
        </is>
      </c>
      <c r="V58">
        <f>HYPERLINK("https://klasma.github.io/Logging_1784/artfynd/A 36475-2024 artfynd.xlsx", "A 36475-2024")</f>
        <v/>
      </c>
      <c r="W58">
        <f>HYPERLINK("https://klasma.github.io/Logging_1784/kartor/A 36475-2024 karta.png", "A 36475-2024")</f>
        <v/>
      </c>
      <c r="Y58">
        <f>HYPERLINK("https://klasma.github.io/Logging_1784/klagomål/A 36475-2024 FSC-klagomål.docx", "A 36475-2024")</f>
        <v/>
      </c>
      <c r="Z58">
        <f>HYPERLINK("https://klasma.github.io/Logging_1784/klagomålsmail/A 36475-2024 FSC-klagomål mail.docx", "A 36475-2024")</f>
        <v/>
      </c>
      <c r="AA58">
        <f>HYPERLINK("https://klasma.github.io/Logging_1784/tillsyn/A 36475-2024 tillsynsbegäran.docx", "A 36475-2024")</f>
        <v/>
      </c>
      <c r="AB58">
        <f>HYPERLINK("https://klasma.github.io/Logging_1784/tillsynsmail/A 36475-2024 tillsynsbegäran mail.docx", "A 36475-2024")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46222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Brun gräsfjäril</t>
        </is>
      </c>
      <c r="V59">
        <f>HYPERLINK("https://klasma.github.io/Logging_1784/artfynd/A 59105-2022 artfynd.xlsx", "A 59105-2022")</f>
        <v/>
      </c>
      <c r="W59">
        <f>HYPERLINK("https://klasma.github.io/Logging_1784/kartor/A 59105-2022 karta.png", "A 59105-2022")</f>
        <v/>
      </c>
      <c r="Y59">
        <f>HYPERLINK("https://klasma.github.io/Logging_1784/klagomål/A 59105-2022 FSC-klagomål.docx", "A 59105-2022")</f>
        <v/>
      </c>
      <c r="Z59">
        <f>HYPERLINK("https://klasma.github.io/Logging_1784/klagomålsmail/A 59105-2022 FSC-klagomål mail.docx", "A 59105-2022")</f>
        <v/>
      </c>
      <c r="AA59">
        <f>HYPERLINK("https://klasma.github.io/Logging_1784/tillsyn/A 59105-2022 tillsynsbegäran.docx", "A 59105-2022")</f>
        <v/>
      </c>
      <c r="AB59">
        <f>HYPERLINK("https://klasma.github.io/Logging_1784/tillsynsmail/A 59105-2022 tillsynsbegäran mail.docx", "A 59105-2022")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46222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Hjeltfibbla</t>
        </is>
      </c>
      <c r="V60">
        <f>HYPERLINK("https://klasma.github.io/Logging_1784/artfynd/A 13761-2025 artfynd.xlsx", "A 13761-2025")</f>
        <v/>
      </c>
      <c r="W60">
        <f>HYPERLINK("https://klasma.github.io/Logging_1784/kartor/A 13761-2025 karta.png", "A 13761-2025")</f>
        <v/>
      </c>
      <c r="Y60">
        <f>HYPERLINK("https://klasma.github.io/Logging_1784/klagomål/A 13761-2025 FSC-klagomål.docx", "A 13761-2025")</f>
        <v/>
      </c>
      <c r="Z60">
        <f>HYPERLINK("https://klasma.github.io/Logging_1784/klagomålsmail/A 13761-2025 FSC-klagomål mail.docx", "A 13761-2025")</f>
        <v/>
      </c>
      <c r="AA60">
        <f>HYPERLINK("https://klasma.github.io/Logging_1784/tillsyn/A 13761-2025 tillsynsbegäran.docx", "A 13761-2025")</f>
        <v/>
      </c>
      <c r="AB60">
        <f>HYPERLINK("https://klasma.github.io/Logging_1784/tillsynsmail/A 13761-2025 tillsynsbegäran mail.docx", "A 13761-2025")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46222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Lunglav</t>
        </is>
      </c>
      <c r="V61">
        <f>HYPERLINK("https://klasma.github.io/Logging_1784/artfynd/A 52185-2024 artfynd.xlsx", "A 52185-2024")</f>
        <v/>
      </c>
      <c r="W61">
        <f>HYPERLINK("https://klasma.github.io/Logging_1784/kartor/A 52185-2024 karta.png", "A 52185-2024")</f>
        <v/>
      </c>
      <c r="Y61">
        <f>HYPERLINK("https://klasma.github.io/Logging_1784/klagomål/A 52185-2024 FSC-klagomål.docx", "A 52185-2024")</f>
        <v/>
      </c>
      <c r="Z61">
        <f>HYPERLINK("https://klasma.github.io/Logging_1784/klagomålsmail/A 52185-2024 FSC-klagomål mail.docx", "A 52185-2024")</f>
        <v/>
      </c>
      <c r="AA61">
        <f>HYPERLINK("https://klasma.github.io/Logging_1784/tillsyn/A 52185-2024 tillsynsbegäran.docx", "A 52185-2024")</f>
        <v/>
      </c>
      <c r="AB61">
        <f>HYPERLINK("https://klasma.github.io/Logging_1784/tillsynsmail/A 52185-2024 tillsynsbegäran mail.docx", "A 52185-2024")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46222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s="2" t="inlineStr">
        <is>
          <t>Knärot</t>
        </is>
      </c>
      <c r="V62">
        <f>HYPERLINK("https://klasma.github.io/Logging_1784/artfynd/A 56676-2022 artfynd.xlsx", "A 56676-2022")</f>
        <v/>
      </c>
      <c r="W62">
        <f>HYPERLINK("https://klasma.github.io/Logging_1784/kartor/A 56676-2022 karta.png", "A 56676-2022")</f>
        <v/>
      </c>
      <c r="X62">
        <f>HYPERLINK("https://klasma.github.io/Logging_1784/knärot/A 56676-2022 karta knärot.png", "A 56676-2022")</f>
        <v/>
      </c>
      <c r="Y62">
        <f>HYPERLINK("https://klasma.github.io/Logging_1784/klagomål/A 56676-2022 FSC-klagomål.docx", "A 56676-2022")</f>
        <v/>
      </c>
      <c r="Z62">
        <f>HYPERLINK("https://klasma.github.io/Logging_1784/klagomålsmail/A 56676-2022 FSC-klagomål mail.docx", "A 56676-2022")</f>
        <v/>
      </c>
      <c r="AA62">
        <f>HYPERLINK("https://klasma.github.io/Logging_1784/tillsyn/A 56676-2022 tillsynsbegäran.docx", "A 56676-2022")</f>
        <v/>
      </c>
      <c r="AB62">
        <f>HYPERLINK("https://klasma.github.io/Logging_1784/tillsynsmail/A 56676-2022 tillsynsbegäran mail.docx", "A 56676-2022")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46222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Svart trolldruva</t>
        </is>
      </c>
      <c r="V63">
        <f>HYPERLINK("https://klasma.github.io/Logging_1784/artfynd/A 30071-2025 artfynd.xlsx", "A 30071-2025")</f>
        <v/>
      </c>
      <c r="W63">
        <f>HYPERLINK("https://klasma.github.io/Logging_1784/kartor/A 30071-2025 karta.png", "A 30071-2025")</f>
        <v/>
      </c>
      <c r="Y63">
        <f>HYPERLINK("https://klasma.github.io/Logging_1784/klagomål/A 30071-2025 FSC-klagomål.docx", "A 30071-2025")</f>
        <v/>
      </c>
      <c r="Z63">
        <f>HYPERLINK("https://klasma.github.io/Logging_1784/klagomålsmail/A 30071-2025 FSC-klagomål mail.docx", "A 30071-2025")</f>
        <v/>
      </c>
      <c r="AA63">
        <f>HYPERLINK("https://klasma.github.io/Logging_1784/tillsyn/A 30071-2025 tillsynsbegäran.docx", "A 30071-2025")</f>
        <v/>
      </c>
      <c r="AB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46222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Duvhök</t>
        </is>
      </c>
      <c r="V64">
        <f>HYPERLINK("https://klasma.github.io/Logging_1784/artfynd/A 29937-2025 artfynd.xlsx", "A 29937-2025")</f>
        <v/>
      </c>
      <c r="W64">
        <f>HYPERLINK("https://klasma.github.io/Logging_1784/kartor/A 29937-2025 karta.png", "A 29937-2025")</f>
        <v/>
      </c>
      <c r="Y64">
        <f>HYPERLINK("https://klasma.github.io/Logging_1784/klagomål/A 29937-2025 FSC-klagomål.docx", "A 29937-2025")</f>
        <v/>
      </c>
      <c r="Z64">
        <f>HYPERLINK("https://klasma.github.io/Logging_1784/klagomålsmail/A 29937-2025 FSC-klagomål mail.docx", "A 29937-2025")</f>
        <v/>
      </c>
      <c r="AA64">
        <f>HYPERLINK("https://klasma.github.io/Logging_1784/tillsyn/A 29937-2025 tillsynsbegäran.docx", "A 29937-2025")</f>
        <v/>
      </c>
      <c r="AB64">
        <f>HYPERLINK("https://klasma.github.io/Logging_1784/tillsynsmail/A 29937-2025 tillsynsbegäran mail.docx", "A 29937-2025")</f>
        <v/>
      </c>
      <c r="AC64">
        <f>HYPERLINK("https://klasma.github.io/Logging_1784/fåglar/A 29937-2025 prioriterade fågelarter.docx", "A 29937-2025")</f>
        <v/>
      </c>
    </row>
    <row r="65" ht="15" customHeight="1">
      <c r="A65" t="inlineStr">
        <is>
          <t>A 2046-2023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44938</v>
      </c>
      <c r="E65" s="1" t="n">
        <v>46222</v>
      </c>
      <c r="F65" t="inlineStr">
        <is>
          <t>VÄRMLANDS LÄN</t>
        </is>
      </c>
      <c r="G65" t="inlineStr">
        <is>
          <t>ARVIKA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Skogsklocka</t>
        </is>
      </c>
      <c r="V65">
        <f>HYPERLINK("https://klasma.github.io/Logging_1784/artfynd/A 2046-2023 artfynd.xlsx", "A 2046-2023")</f>
        <v/>
      </c>
      <c r="W65">
        <f>HYPERLINK("https://klasma.github.io/Logging_1784/kartor/A 2046-2023 karta.png", "A 2046-2023")</f>
        <v/>
      </c>
      <c r="Y65">
        <f>HYPERLINK("https://klasma.github.io/Logging_1784/klagomål/A 2046-2023 FSC-klagomål.docx", "A 2046-2023")</f>
        <v/>
      </c>
      <c r="Z65">
        <f>HYPERLINK("https://klasma.github.io/Logging_1784/klagomålsmail/A 2046-2023 FSC-klagomål mail.docx", "A 2046-2023")</f>
        <v/>
      </c>
      <c r="AA65">
        <f>HYPERLINK("https://klasma.github.io/Logging_1784/tillsyn/A 2046-2023 tillsynsbegäran.docx", "A 2046-2023")</f>
        <v/>
      </c>
      <c r="AB65">
        <f>HYPERLINK("https://klasma.github.io/Logging_1784/tillsynsmail/A 2046-2023 tillsynsbegäran mail.docx", "A 2046-2023")</f>
        <v/>
      </c>
    </row>
    <row r="66" ht="15" customHeight="1">
      <c r="A66" t="inlineStr">
        <is>
          <t>A 30777-2025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46222</v>
      </c>
      <c r="F66" t="inlineStr">
        <is>
          <t>VÄRMLANDS LÄN</t>
        </is>
      </c>
      <c r="G66" t="inlineStr">
        <is>
          <t>ARVIKA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Sångsvan</t>
        </is>
      </c>
      <c r="V66">
        <f>HYPERLINK("https://klasma.github.io/Logging_1784/artfynd/A 30777-2025 artfynd.xlsx", "A 30777-2025")</f>
        <v/>
      </c>
      <c r="W66">
        <f>HYPERLINK("https://klasma.github.io/Logging_1784/kartor/A 30777-2025 karta.png", "A 30777-2025")</f>
        <v/>
      </c>
      <c r="Y66">
        <f>HYPERLINK("https://klasma.github.io/Logging_1784/klagomål/A 30777-2025 FSC-klagomål.docx", "A 30777-2025")</f>
        <v/>
      </c>
      <c r="Z66">
        <f>HYPERLINK("https://klasma.github.io/Logging_1784/klagomålsmail/A 30777-2025 FSC-klagomål mail.docx", "A 30777-2025")</f>
        <v/>
      </c>
      <c r="AA66">
        <f>HYPERLINK("https://klasma.github.io/Logging_1784/tillsyn/A 30777-2025 tillsynsbegäran.docx", "A 30777-2025")</f>
        <v/>
      </c>
      <c r="AB66">
        <f>HYPERLINK("https://klasma.github.io/Logging_1784/tillsynsmail/A 30777-2025 tillsynsbegäran mail.docx", "A 30777-2025")</f>
        <v/>
      </c>
      <c r="AC66">
        <f>HYPERLINK("https://klasma.github.io/Logging_1784/fåglar/A 30777-2025 prioriterade fågelarter.docx", "A 30777-2025")</f>
        <v/>
      </c>
    </row>
    <row r="67" ht="15" customHeight="1">
      <c r="A67" t="inlineStr">
        <is>
          <t>A 31469-2025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46222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Tjäder</t>
        </is>
      </c>
      <c r="V67">
        <f>HYPERLINK("https://klasma.github.io/Logging_1784/artfynd/A 31469-2025 artfynd.xlsx", "A 31469-2025")</f>
        <v/>
      </c>
      <c r="W67">
        <f>HYPERLINK("https://klasma.github.io/Logging_1784/kartor/A 31469-2025 karta.png", "A 31469-2025")</f>
        <v/>
      </c>
      <c r="Y67">
        <f>HYPERLINK("https://klasma.github.io/Logging_1784/klagomål/A 31469-2025 FSC-klagomål.docx", "A 31469-2025")</f>
        <v/>
      </c>
      <c r="Z67">
        <f>HYPERLINK("https://klasma.github.io/Logging_1784/klagomålsmail/A 31469-2025 FSC-klagomål mail.docx", "A 31469-2025")</f>
        <v/>
      </c>
      <c r="AA67">
        <f>HYPERLINK("https://klasma.github.io/Logging_1784/tillsyn/A 31469-2025 tillsynsbegäran.docx", "A 31469-2025")</f>
        <v/>
      </c>
      <c r="AB67">
        <f>HYPERLINK("https://klasma.github.io/Logging_1784/tillsynsmail/A 31469-2025 tillsynsbegäran mail.docx", "A 31469-2025")</f>
        <v/>
      </c>
      <c r="AC67">
        <f>HYPERLINK("https://klasma.github.io/Logging_1784/fåglar/A 31469-2025 prioriterade fågelarter.docx", "A 31469-2025")</f>
        <v/>
      </c>
    </row>
    <row r="68" ht="15" customHeight="1">
      <c r="A68" t="inlineStr">
        <is>
          <t>A 31588-2025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46222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Fläcknycklar</t>
        </is>
      </c>
      <c r="V68">
        <f>HYPERLINK("https://klasma.github.io/Logging_1784/artfynd/A 31588-2025 artfynd.xlsx", "A 31588-2025")</f>
        <v/>
      </c>
      <c r="W68">
        <f>HYPERLINK("https://klasma.github.io/Logging_1784/kartor/A 31588-2025 karta.png", "A 31588-2025")</f>
        <v/>
      </c>
      <c r="Y68">
        <f>HYPERLINK("https://klasma.github.io/Logging_1784/klagomål/A 31588-2025 FSC-klagomål.docx", "A 31588-2025")</f>
        <v/>
      </c>
      <c r="Z68">
        <f>HYPERLINK("https://klasma.github.io/Logging_1784/klagomålsmail/A 31588-2025 FSC-klagomål mail.docx", "A 31588-2025")</f>
        <v/>
      </c>
      <c r="AA68">
        <f>HYPERLINK("https://klasma.github.io/Logging_1784/tillsyn/A 31588-2025 tillsynsbegäran.docx", "A 31588-2025")</f>
        <v/>
      </c>
      <c r="AB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46222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HYPERLINK("https://klasma.github.io/Logging_1784/artfynd/A 31443-2025 artfynd.xlsx", "A 31443-2025")</f>
        <v/>
      </c>
      <c r="W69">
        <f>HYPERLINK("https://klasma.github.io/Logging_1784/kartor/A 31443-2025 karta.png", "A 31443-2025")</f>
        <v/>
      </c>
      <c r="Y69">
        <f>HYPERLINK("https://klasma.github.io/Logging_1784/klagomål/A 31443-2025 FSC-klagomål.docx", "A 31443-2025")</f>
        <v/>
      </c>
      <c r="Z69">
        <f>HYPERLINK("https://klasma.github.io/Logging_1784/klagomålsmail/A 31443-2025 FSC-klagomål mail.docx", "A 31443-2025")</f>
        <v/>
      </c>
      <c r="AA69">
        <f>HYPERLINK("https://klasma.github.io/Logging_1784/tillsyn/A 31443-2025 tillsynsbegäran.docx", "A 31443-2025")</f>
        <v/>
      </c>
      <c r="AB69">
        <f>HYPERLINK("https://klasma.github.io/Logging_1784/tillsynsmail/A 31443-2025 tillsynsbegäran mail.docx", "A 31443-2025")</f>
        <v/>
      </c>
      <c r="AC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46222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Tjäder</t>
        </is>
      </c>
      <c r="V70">
        <f>HYPERLINK("https://klasma.github.io/Logging_1784/artfynd/A 31478-2025 artfynd.xlsx", "A 31478-2025")</f>
        <v/>
      </c>
      <c r="W70">
        <f>HYPERLINK("https://klasma.github.io/Logging_1784/kartor/A 31478-2025 karta.png", "A 31478-2025")</f>
        <v/>
      </c>
      <c r="Y70">
        <f>HYPERLINK("https://klasma.github.io/Logging_1784/klagomål/A 31478-2025 FSC-klagomål.docx", "A 31478-2025")</f>
        <v/>
      </c>
      <c r="Z70">
        <f>HYPERLINK("https://klasma.github.io/Logging_1784/klagomålsmail/A 31478-2025 FSC-klagomål mail.docx", "A 31478-2025")</f>
        <v/>
      </c>
      <c r="AA70">
        <f>HYPERLINK("https://klasma.github.io/Logging_1784/tillsyn/A 31478-2025 tillsynsbegäran.docx", "A 31478-2025")</f>
        <v/>
      </c>
      <c r="AB70">
        <f>HYPERLINK("https://klasma.github.io/Logging_1784/tillsynsmail/A 31478-2025 tillsynsbegäran mail.docx", "A 31478-2025")</f>
        <v/>
      </c>
      <c r="AC70">
        <f>HYPERLINK("https://klasma.github.io/Logging_1784/fåglar/A 31478-2025 prioriterade fågelarter.docx", "A 31478-2025")</f>
        <v/>
      </c>
    </row>
    <row r="71" ht="15" customHeight="1">
      <c r="A71" t="inlineStr">
        <is>
          <t>A 50789-2024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Lunglav</t>
        </is>
      </c>
      <c r="V71">
        <f>HYPERLINK("https://klasma.github.io/Logging_1784/artfynd/A 50789-2024 artfynd.xlsx", "A 50789-2024")</f>
        <v/>
      </c>
      <c r="W71">
        <f>HYPERLINK("https://klasma.github.io/Logging_1784/kartor/A 50789-2024 karta.png", "A 50789-2024")</f>
        <v/>
      </c>
      <c r="Y71">
        <f>HYPERLINK("https://klasma.github.io/Logging_1784/klagomål/A 50789-2024 FSC-klagomål.docx", "A 50789-2024")</f>
        <v/>
      </c>
      <c r="Z71">
        <f>HYPERLINK("https://klasma.github.io/Logging_1784/klagomålsmail/A 50789-2024 FSC-klagomål mail.docx", "A 50789-2024")</f>
        <v/>
      </c>
      <c r="AA71">
        <f>HYPERLINK("https://klasma.github.io/Logging_1784/tillsyn/A 50789-2024 tillsynsbegäran.docx", "A 50789-2024")</f>
        <v/>
      </c>
      <c r="AB71">
        <f>HYPERLINK("https://klasma.github.io/Logging_1784/tillsynsmail/A 50789-2024 tillsynsbegäran mail.docx", "A 50789-2024")</f>
        <v/>
      </c>
    </row>
    <row r="72" ht="15" customHeight="1">
      <c r="A72" t="inlineStr">
        <is>
          <t>A 29600-2025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45825</v>
      </c>
      <c r="E72" s="1" t="n">
        <v>46222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Fläcknycklar</t>
        </is>
      </c>
      <c r="V72">
        <f>HYPERLINK("https://klasma.github.io/Logging_1784/artfynd/A 29600-2025 artfynd.xlsx", "A 29600-2025")</f>
        <v/>
      </c>
      <c r="W72">
        <f>HYPERLINK("https://klasma.github.io/Logging_1784/kartor/A 29600-2025 karta.png", "A 29600-2025")</f>
        <v/>
      </c>
      <c r="Y72">
        <f>HYPERLINK("https://klasma.github.io/Logging_1784/klagomål/A 29600-2025 FSC-klagomål.docx", "A 29600-2025")</f>
        <v/>
      </c>
      <c r="Z72">
        <f>HYPERLINK("https://klasma.github.io/Logging_1784/klagomålsmail/A 29600-2025 FSC-klagomål mail.docx", "A 29600-2025")</f>
        <v/>
      </c>
      <c r="AA72">
        <f>HYPERLINK("https://klasma.github.io/Logging_1784/tillsyn/A 29600-2025 tillsynsbegäran.docx", "A 29600-2025")</f>
        <v/>
      </c>
      <c r="AB72">
        <f>HYPERLINK("https://klasma.github.io/Logging_1784/tillsynsmail/A 29600-2025 tillsynsbegäran mail.docx", "A 29600-2025")</f>
        <v/>
      </c>
    </row>
    <row r="73" ht="15" customHeight="1">
      <c r="A73" t="inlineStr">
        <is>
          <t>A 51537-2025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46222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Knärot</t>
        </is>
      </c>
      <c r="V73">
        <f>HYPERLINK("https://klasma.github.io/Logging_1784/artfynd/A 51537-2025 artfynd.xlsx", "A 51537-2025")</f>
        <v/>
      </c>
      <c r="W73">
        <f>HYPERLINK("https://klasma.github.io/Logging_1784/kartor/A 51537-2025 karta.png", "A 51537-2025")</f>
        <v/>
      </c>
      <c r="X73">
        <f>HYPERLINK("https://klasma.github.io/Logging_1784/knärot/A 51537-2025 karta knärot.png", "A 51537-2025")</f>
        <v/>
      </c>
      <c r="Y73">
        <f>HYPERLINK("https://klasma.github.io/Logging_1784/klagomål/A 51537-2025 FSC-klagomål.docx", "A 51537-2025")</f>
        <v/>
      </c>
      <c r="Z73">
        <f>HYPERLINK("https://klasma.github.io/Logging_1784/klagomålsmail/A 51537-2025 FSC-klagomål mail.docx", "A 51537-2025")</f>
        <v/>
      </c>
      <c r="AA73">
        <f>HYPERLINK("https://klasma.github.io/Logging_1784/tillsyn/A 51537-2025 tillsynsbegäran.docx", "A 51537-2025")</f>
        <v/>
      </c>
      <c r="AB73">
        <f>HYPERLINK("https://klasma.github.io/Logging_1784/tillsynsmail/A 51537-2025 tillsynsbegäran mail.docx", "A 51537-2025")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46222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Skogsklocka</t>
        </is>
      </c>
      <c r="V74">
        <f>HYPERLINK("https://klasma.github.io/Logging_1784/artfynd/A 9761-2026 artfynd.xlsx", "A 9761-2026")</f>
        <v/>
      </c>
      <c r="W74">
        <f>HYPERLINK("https://klasma.github.io/Logging_1784/kartor/A 9761-2026 karta.png", "A 9761-2026")</f>
        <v/>
      </c>
      <c r="Y74">
        <f>HYPERLINK("https://klasma.github.io/Logging_1784/klagomål/A 9761-2026 FSC-klagomål.docx", "A 9761-2026")</f>
        <v/>
      </c>
      <c r="Z74">
        <f>HYPERLINK("https://klasma.github.io/Logging_1784/klagomålsmail/A 9761-2026 FSC-klagomål mail.docx", "A 9761-2026")</f>
        <v/>
      </c>
      <c r="AA74">
        <f>HYPERLINK("https://klasma.github.io/Logging_1784/tillsyn/A 9761-2026 tillsynsbegäran.docx", "A 9761-2026")</f>
        <v/>
      </c>
      <c r="AB74">
        <f>HYPERLINK("https://klasma.github.io/Logging_1784/tillsynsmail/A 9761-2026 tillsynsbegäran mail.docx", "A 9761-2026")</f>
        <v/>
      </c>
    </row>
    <row r="75" ht="15" customHeight="1">
      <c r="A75" t="inlineStr">
        <is>
          <t>A 10061-2026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46222</v>
      </c>
      <c r="F75" t="inlineStr">
        <is>
          <t>VÄRMLANDS LÄN</t>
        </is>
      </c>
      <c r="G75" t="inlineStr">
        <is>
          <t>ARVIKA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Trana</t>
        </is>
      </c>
      <c r="V75">
        <f>HYPERLINK("https://klasma.github.io/Logging_1784/artfynd/A 10061-2026 artfynd.xlsx", "A 10061-2026")</f>
        <v/>
      </c>
      <c r="W75">
        <f>HYPERLINK("https://klasma.github.io/Logging_1784/kartor/A 10061-2026 karta.png", "A 10061-2026")</f>
        <v/>
      </c>
      <c r="Y75">
        <f>HYPERLINK("https://klasma.github.io/Logging_1784/klagomål/A 10061-2026 FSC-klagomål.docx", "A 10061-2026")</f>
        <v/>
      </c>
      <c r="Z75">
        <f>HYPERLINK("https://klasma.github.io/Logging_1784/klagomålsmail/A 10061-2026 FSC-klagomål mail.docx", "A 10061-2026")</f>
        <v/>
      </c>
      <c r="AA75">
        <f>HYPERLINK("https://klasma.github.io/Logging_1784/tillsyn/A 10061-2026 tillsynsbegäran.docx", "A 10061-2026")</f>
        <v/>
      </c>
      <c r="AB75">
        <f>HYPERLINK("https://klasma.github.io/Logging_1784/tillsynsmail/A 10061-2026 tillsynsbegäran mail.docx", "A 10061-2026")</f>
        <v/>
      </c>
      <c r="AC75">
        <f>HYPERLINK("https://klasma.github.io/Logging_1784/fåglar/A 10061-2026 prioriterade fågelarter.docx", "A 10061-2026")</f>
        <v/>
      </c>
    </row>
    <row r="76" ht="15" customHeight="1">
      <c r="A76" t="inlineStr">
        <is>
          <t>A 11416-2026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46083</v>
      </c>
      <c r="E76" s="1" t="n">
        <v>46222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HYPERLINK("https://klasma.github.io/Logging_1784/artfynd/A 11416-2026 artfynd.xlsx", "A 11416-2026")</f>
        <v/>
      </c>
      <c r="W76">
        <f>HYPERLINK("https://klasma.github.io/Logging_1784/kartor/A 11416-2026 karta.png", "A 11416-2026")</f>
        <v/>
      </c>
      <c r="X76">
        <f>HYPERLINK("https://klasma.github.io/Logging_1784/knärot/A 11416-2026 karta knärot.png", "A 11416-2026")</f>
        <v/>
      </c>
      <c r="Y76">
        <f>HYPERLINK("https://klasma.github.io/Logging_1784/klagomål/A 11416-2026 FSC-klagomål.docx", "A 11416-2026")</f>
        <v/>
      </c>
      <c r="Z76">
        <f>HYPERLINK("https://klasma.github.io/Logging_1784/klagomålsmail/A 11416-2026 FSC-klagomål mail.docx", "A 11416-2026")</f>
        <v/>
      </c>
      <c r="AA76">
        <f>HYPERLINK("https://klasma.github.io/Logging_1784/tillsyn/A 11416-2026 tillsynsbegäran.docx", "A 11416-2026")</f>
        <v/>
      </c>
      <c r="AB76">
        <f>HYPERLINK("https://klasma.github.io/Logging_1784/tillsynsmail/A 11416-2026 tillsynsbegäran mail.docx", "A 11416-2026")</f>
        <v/>
      </c>
    </row>
    <row r="77" ht="15" customHeight="1">
      <c r="A77" t="inlineStr">
        <is>
          <t>A 59300-2025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46222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s="2" t="inlineStr">
        <is>
          <t>Brun gräsfjäril</t>
        </is>
      </c>
      <c r="V77">
        <f>HYPERLINK("https://klasma.github.io/Logging_1784/artfynd/A 59300-2025 artfynd.xlsx", "A 59300-2025")</f>
        <v/>
      </c>
      <c r="W77">
        <f>HYPERLINK("https://klasma.github.io/Logging_1784/kartor/A 59300-2025 karta.png", "A 59300-2025")</f>
        <v/>
      </c>
      <c r="Y77">
        <f>HYPERLINK("https://klasma.github.io/Logging_1784/klagomål/A 59300-2025 FSC-klagomål.docx", "A 59300-2025")</f>
        <v/>
      </c>
      <c r="Z77">
        <f>HYPERLINK("https://klasma.github.io/Logging_1784/klagomålsmail/A 59300-2025 FSC-klagomål mail.docx", "A 59300-2025")</f>
        <v/>
      </c>
      <c r="AA77">
        <f>HYPERLINK("https://klasma.github.io/Logging_1784/tillsyn/A 59300-2025 tillsynsbegäran.docx", "A 59300-2025")</f>
        <v/>
      </c>
      <c r="AB77">
        <f>HYPERLINK("https://klasma.github.io/Logging_1784/tillsynsmail/A 59300-2025 tillsynsbegäran mail.docx", "A 59300-2025")</f>
        <v/>
      </c>
    </row>
    <row r="78" ht="15" customHeight="1">
      <c r="A78" t="inlineStr">
        <is>
          <t>A 12545-2026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46222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s="2" t="inlineStr">
        <is>
          <t>Ask</t>
        </is>
      </c>
      <c r="V78">
        <f>HYPERLINK("https://klasma.github.io/Logging_1784/artfynd/A 12545-2026 artfynd.xlsx", "A 12545-2026")</f>
        <v/>
      </c>
      <c r="W78">
        <f>HYPERLINK("https://klasma.github.io/Logging_1784/kartor/A 12545-2026 karta.png", "A 12545-2026")</f>
        <v/>
      </c>
      <c r="Y78">
        <f>HYPERLINK("https://klasma.github.io/Logging_1784/klagomål/A 12545-2026 FSC-klagomål.docx", "A 12545-2026")</f>
        <v/>
      </c>
      <c r="Z78">
        <f>HYPERLINK("https://klasma.github.io/Logging_1784/klagomålsmail/A 12545-2026 FSC-klagomål mail.docx", "A 12545-2026")</f>
        <v/>
      </c>
      <c r="AA78">
        <f>HYPERLINK("https://klasma.github.io/Logging_1784/tillsyn/A 12545-2026 tillsynsbegäran.docx", "A 12545-2026")</f>
        <v/>
      </c>
      <c r="AB78">
        <f>HYPERLINK("https://klasma.github.io/Logging_1784/tillsynsmail/A 12545-2026 tillsynsbegäran mail.docx", "A 12545-2026")</f>
        <v/>
      </c>
    </row>
    <row r="79" ht="15" customHeight="1">
      <c r="A79" t="inlineStr">
        <is>
          <t>A 38987-2022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46222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Guldlockmossa</t>
        </is>
      </c>
      <c r="V79">
        <f>HYPERLINK("https://klasma.github.io/Logging_1784/artfynd/A 38987-2022 artfynd.xlsx", "A 38987-2022")</f>
        <v/>
      </c>
      <c r="W79">
        <f>HYPERLINK("https://klasma.github.io/Logging_1784/kartor/A 38987-2022 karta.png", "A 38987-2022")</f>
        <v/>
      </c>
      <c r="Y79">
        <f>HYPERLINK("https://klasma.github.io/Logging_1784/klagomål/A 38987-2022 FSC-klagomål.docx", "A 38987-2022")</f>
        <v/>
      </c>
      <c r="Z79">
        <f>HYPERLINK("https://klasma.github.io/Logging_1784/klagomålsmail/A 38987-2022 FSC-klagomål mail.docx", "A 38987-2022")</f>
        <v/>
      </c>
      <c r="AA79">
        <f>HYPERLINK("https://klasma.github.io/Logging_1784/tillsyn/A 38987-2022 tillsynsbegäran.docx", "A 38987-2022")</f>
        <v/>
      </c>
      <c r="AB79">
        <f>HYPERLINK("https://klasma.github.io/Logging_1784/tillsynsmail/A 38987-2022 tillsynsbegäran mail.docx", "A 38987-2022")</f>
        <v/>
      </c>
    </row>
    <row r="80" ht="15" customHeight="1">
      <c r="A80" t="inlineStr">
        <is>
          <t>A 47699-2022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46222</v>
      </c>
      <c r="F80" t="inlineStr">
        <is>
          <t>VÄRMLANDS LÄN</t>
        </is>
      </c>
      <c r="G80" t="inlineStr">
        <is>
          <t>ARVIKA</t>
        </is>
      </c>
      <c r="I80" t="n">
        <v>20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HYPERLINK("https://klasma.github.io/Logging_1784/artfynd/A 47699-2022 artfynd.xlsx", "A 47699-2022")</f>
        <v/>
      </c>
      <c r="W80">
        <f>HYPERLINK("https://klasma.github.io/Logging_1784/kartor/A 47699-2022 karta.png", "A 47699-2022")</f>
        <v/>
      </c>
      <c r="Y80">
        <f>HYPERLINK("https://klasma.github.io/Logging_1784/klagomål/A 47699-2022 FSC-klagomål.docx", "A 47699-2022")</f>
        <v/>
      </c>
      <c r="Z80">
        <f>HYPERLINK("https://klasma.github.io/Logging_1784/klagomålsmail/A 47699-2022 FSC-klagomål mail.docx", "A 47699-2022")</f>
        <v/>
      </c>
      <c r="AA80">
        <f>HYPERLINK("https://klasma.github.io/Logging_1784/tillsyn/A 47699-2022 tillsynsbegäran.docx", "A 47699-2022")</f>
        <v/>
      </c>
      <c r="AB80">
        <f>HYPERLINK("https://klasma.github.io/Logging_1784/tillsynsmail/A 47699-2022 tillsynsbegäran mail.docx", "A 47699-2022")</f>
        <v/>
      </c>
    </row>
    <row r="81" ht="15" customHeight="1">
      <c r="A81" t="inlineStr">
        <is>
          <t>A 59787-2023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46222</v>
      </c>
      <c r="F81" t="inlineStr">
        <is>
          <t>VÄRMLANDS LÄN</t>
        </is>
      </c>
      <c r="G81" t="inlineStr">
        <is>
          <t>ARVIKA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Havsörn</t>
        </is>
      </c>
      <c r="V81">
        <f>HYPERLINK("https://klasma.github.io/Logging_1784/artfynd/A 59787-2023 artfynd.xlsx", "A 59787-2023")</f>
        <v/>
      </c>
      <c r="W81">
        <f>HYPERLINK("https://klasma.github.io/Logging_1784/kartor/A 59787-2023 karta.png", "A 59787-2023")</f>
        <v/>
      </c>
      <c r="Y81">
        <f>HYPERLINK("https://klasma.github.io/Logging_1784/klagomål/A 59787-2023 FSC-klagomål.docx", "A 59787-2023")</f>
        <v/>
      </c>
      <c r="Z81">
        <f>HYPERLINK("https://klasma.github.io/Logging_1784/klagomålsmail/A 59787-2023 FSC-klagomål mail.docx", "A 59787-2023")</f>
        <v/>
      </c>
      <c r="AA81">
        <f>HYPERLINK("https://klasma.github.io/Logging_1784/tillsyn/A 59787-2023 tillsynsbegäran.docx", "A 59787-2023")</f>
        <v/>
      </c>
      <c r="AB81">
        <f>HYPERLINK("https://klasma.github.io/Logging_1784/tillsynsmail/A 59787-2023 tillsynsbegäran mail.docx", "A 59787-2023")</f>
        <v/>
      </c>
      <c r="AC81">
        <f>HYPERLINK("https://klasma.github.io/Logging_1784/fåglar/A 59787-2023 prioriterade fågelarter.docx", "A 59787-2023")</f>
        <v/>
      </c>
    </row>
    <row r="82" ht="15" customHeight="1">
      <c r="A82" t="inlineStr">
        <is>
          <t>A 42329-2024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45562</v>
      </c>
      <c r="E82" s="1" t="n">
        <v>46222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Utter</t>
        </is>
      </c>
      <c r="V82">
        <f>HYPERLINK("https://klasma.github.io/Logging_1784/artfynd/A 42329-2024 artfynd.xlsx", "A 42329-2024")</f>
        <v/>
      </c>
      <c r="W82">
        <f>HYPERLINK("https://klasma.github.io/Logging_1784/kartor/A 42329-2024 karta.png", "A 42329-2024")</f>
        <v/>
      </c>
      <c r="Y82">
        <f>HYPERLINK("https://klasma.github.io/Logging_1784/klagomål/A 42329-2024 FSC-klagomål.docx", "A 42329-2024")</f>
        <v/>
      </c>
      <c r="Z82">
        <f>HYPERLINK("https://klasma.github.io/Logging_1784/klagomålsmail/A 42329-2024 FSC-klagomål mail.docx", "A 42329-2024")</f>
        <v/>
      </c>
      <c r="AA82">
        <f>HYPERLINK("https://klasma.github.io/Logging_1784/tillsyn/A 42329-2024 tillsynsbegäran.docx", "A 42329-2024")</f>
        <v/>
      </c>
      <c r="AB82">
        <f>HYPERLINK("https://klasma.github.io/Logging_1784/tillsynsmail/A 42329-2024 tillsynsbegäran mail.docx", "A 42329-2024")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46222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Dunmossa</t>
        </is>
      </c>
      <c r="V83">
        <f>HYPERLINK("https://klasma.github.io/Logging_1784/artfynd/A 17088-2026 artfynd.xlsx", "A 17088-2026")</f>
        <v/>
      </c>
      <c r="W83">
        <f>HYPERLINK("https://klasma.github.io/Logging_1784/kartor/A 17088-2026 karta.png", "A 17088-2026")</f>
        <v/>
      </c>
      <c r="Y83">
        <f>HYPERLINK("https://klasma.github.io/Logging_1784/klagomål/A 17088-2026 FSC-klagomål.docx", "A 17088-2026")</f>
        <v/>
      </c>
      <c r="Z83">
        <f>HYPERLINK("https://klasma.github.io/Logging_1784/klagomålsmail/A 17088-2026 FSC-klagomål mail.docx", "A 17088-2026")</f>
        <v/>
      </c>
      <c r="AA83">
        <f>HYPERLINK("https://klasma.github.io/Logging_1784/tillsyn/A 17088-2026 tillsynsbegäran.docx", "A 17088-2026")</f>
        <v/>
      </c>
      <c r="AB83">
        <f>HYPERLINK("https://klasma.github.io/Logging_1784/tillsynsmail/A 17088-2026 tillsynsbegäran mail.docx", "A 17088-2026")</f>
        <v/>
      </c>
    </row>
    <row r="84" ht="15" customHeight="1">
      <c r="A84" t="inlineStr">
        <is>
          <t>A 36479-2024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46222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Svart trolldruva</t>
        </is>
      </c>
      <c r="V84">
        <f>HYPERLINK("https://klasma.github.io/Logging_1784/artfynd/A 36479-2024 artfynd.xlsx", "A 36479-2024")</f>
        <v/>
      </c>
      <c r="W84">
        <f>HYPERLINK("https://klasma.github.io/Logging_1784/kartor/A 36479-2024 karta.png", "A 36479-2024")</f>
        <v/>
      </c>
      <c r="Y84">
        <f>HYPERLINK("https://klasma.github.io/Logging_1784/klagomål/A 36479-2024 FSC-klagomål.docx", "A 36479-2024")</f>
        <v/>
      </c>
      <c r="Z84">
        <f>HYPERLINK("https://klasma.github.io/Logging_1784/klagomålsmail/A 36479-2024 FSC-klagomål mail.docx", "A 36479-2024")</f>
        <v/>
      </c>
      <c r="AA84">
        <f>HYPERLINK("https://klasma.github.io/Logging_1784/tillsyn/A 36479-2024 tillsynsbegäran.docx", "A 36479-2024")</f>
        <v/>
      </c>
      <c r="AB84">
        <f>HYPERLINK("https://klasma.github.io/Logging_1784/tillsynsmail/A 36479-2024 tillsynsbegäran mail.docx", "A 36479-2024")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46222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Tjäder</t>
        </is>
      </c>
      <c r="V85">
        <f>HYPERLINK("https://klasma.github.io/Logging_1784/artfynd/A 18062-2026 artfynd.xlsx", "A 18062-2026")</f>
        <v/>
      </c>
      <c r="W85">
        <f>HYPERLINK("https://klasma.github.io/Logging_1784/kartor/A 18062-2026 karta.png", "A 18062-2026")</f>
        <v/>
      </c>
      <c r="Y85">
        <f>HYPERLINK("https://klasma.github.io/Logging_1784/klagomål/A 18062-2026 FSC-klagomål.docx", "A 18062-2026")</f>
        <v/>
      </c>
      <c r="Z85">
        <f>HYPERLINK("https://klasma.github.io/Logging_1784/klagomålsmail/A 18062-2026 FSC-klagomål mail.docx", "A 18062-2026")</f>
        <v/>
      </c>
      <c r="AA85">
        <f>HYPERLINK("https://klasma.github.io/Logging_1784/tillsyn/A 18062-2026 tillsynsbegäran.docx", "A 18062-2026")</f>
        <v/>
      </c>
      <c r="AB85">
        <f>HYPERLINK("https://klasma.github.io/Logging_1784/tillsynsmail/A 18062-2026 tillsynsbegäran mail.docx", "A 18062-2026")</f>
        <v/>
      </c>
      <c r="AC85">
        <f>HYPERLINK("https://klasma.github.io/Logging_1784/fåglar/A 18062-2026 prioriterade fågelarter.docx", "A 18062-2026")</f>
        <v/>
      </c>
    </row>
    <row r="86" ht="15" customHeight="1">
      <c r="A86" t="inlineStr">
        <is>
          <t>A 1511-2025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46222</v>
      </c>
      <c r="F86" t="inlineStr">
        <is>
          <t>VÄRMLANDS LÄN</t>
        </is>
      </c>
      <c r="G86" t="inlineStr">
        <is>
          <t>ARVIKA</t>
        </is>
      </c>
      <c r="I86" t="n">
        <v>3.1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Mindre vattensalamander</t>
        </is>
      </c>
      <c r="V86">
        <f>HYPERLINK("https://klasma.github.io/Logging_1784/artfynd/A 1511-2025 artfynd.xlsx", "A 1511-2025")</f>
        <v/>
      </c>
      <c r="W86">
        <f>HYPERLINK("https://klasma.github.io/Logging_1784/kartor/A 1511-2025 karta.png", "A 1511-2025")</f>
        <v/>
      </c>
      <c r="Y86">
        <f>HYPERLINK("https://klasma.github.io/Logging_1784/klagomål/A 1511-2025 FSC-klagomål.docx", "A 1511-2025")</f>
        <v/>
      </c>
      <c r="Z86">
        <f>HYPERLINK("https://klasma.github.io/Logging_1784/klagomålsmail/A 1511-2025 FSC-klagomål mail.docx", "A 1511-2025")</f>
        <v/>
      </c>
      <c r="AA86">
        <f>HYPERLINK("https://klasma.github.io/Logging_1784/tillsyn/A 1511-2025 tillsynsbegäran.docx", "A 1511-2025")</f>
        <v/>
      </c>
      <c r="AB86">
        <f>HYPERLINK("https://klasma.github.io/Logging_1784/tillsynsmail/A 1511-2025 tillsynsbegäran mail.docx", "A 1511-2025")</f>
        <v/>
      </c>
    </row>
    <row r="87" ht="15" customHeight="1">
      <c r="A87" t="inlineStr">
        <is>
          <t>A 37561-2024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46222</v>
      </c>
      <c r="F87" t="inlineStr">
        <is>
          <t>VÄRMLANDS LÄN</t>
        </is>
      </c>
      <c r="G87" t="inlineStr">
        <is>
          <t>ARVIKA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Sparvuggla</t>
        </is>
      </c>
      <c r="V87">
        <f>HYPERLINK("https://klasma.github.io/Logging_1784/artfynd/A 37561-2024 artfynd.xlsx", "A 37561-2024")</f>
        <v/>
      </c>
      <c r="W87">
        <f>HYPERLINK("https://klasma.github.io/Logging_1784/kartor/A 37561-2024 karta.png", "A 37561-2024")</f>
        <v/>
      </c>
      <c r="Y87">
        <f>HYPERLINK("https://klasma.github.io/Logging_1784/klagomål/A 37561-2024 FSC-klagomål.docx", "A 37561-2024")</f>
        <v/>
      </c>
      <c r="Z87">
        <f>HYPERLINK("https://klasma.github.io/Logging_1784/klagomålsmail/A 37561-2024 FSC-klagomål mail.docx", "A 37561-2024")</f>
        <v/>
      </c>
      <c r="AA87">
        <f>HYPERLINK("https://klasma.github.io/Logging_1784/tillsyn/A 37561-2024 tillsynsbegäran.docx", "A 37561-2024")</f>
        <v/>
      </c>
      <c r="AB87">
        <f>HYPERLINK("https://klasma.github.io/Logging_1784/tillsynsmail/A 37561-2024 tillsynsbegäran mail.docx", "A 37561-2024")</f>
        <v/>
      </c>
      <c r="AC87">
        <f>HYPERLINK("https://klasma.github.io/Logging_1784/fåglar/A 37561-2024 prioriterade fågelarter.docx", "A 37561-2024")</f>
        <v/>
      </c>
    </row>
    <row r="88" ht="15" customHeight="1">
      <c r="A88" t="inlineStr">
        <is>
          <t>A 17079-2022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46222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Skogsklocka</t>
        </is>
      </c>
      <c r="V88">
        <f>HYPERLINK("https://klasma.github.io/Logging_1784/artfynd/A 17079-2022 artfynd.xlsx", "A 17079-2022")</f>
        <v/>
      </c>
      <c r="W88">
        <f>HYPERLINK("https://klasma.github.io/Logging_1784/kartor/A 17079-2022 karta.png", "A 17079-2022")</f>
        <v/>
      </c>
      <c r="Y88">
        <f>HYPERLINK("https://klasma.github.io/Logging_1784/klagomål/A 17079-2022 FSC-klagomål.docx", "A 17079-2022")</f>
        <v/>
      </c>
      <c r="Z88">
        <f>HYPERLINK("https://klasma.github.io/Logging_1784/klagomålsmail/A 17079-2022 FSC-klagomål mail.docx", "A 17079-2022")</f>
        <v/>
      </c>
      <c r="AA88">
        <f>HYPERLINK("https://klasma.github.io/Logging_1784/tillsyn/A 17079-2022 tillsynsbegäran.docx", "A 17079-2022")</f>
        <v/>
      </c>
      <c r="AB88">
        <f>HYPERLINK("https://klasma.github.io/Logging_1784/tillsynsmail/A 17079-2022 tillsynsbegäran mail.docx", "A 17079-2022")</f>
        <v/>
      </c>
    </row>
    <row r="89" ht="15" customHeight="1">
      <c r="A89" t="inlineStr">
        <is>
          <t>A 25957-2026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46222</v>
      </c>
      <c r="F89" t="inlineStr">
        <is>
          <t>VÄRMLANDS LÄN</t>
        </is>
      </c>
      <c r="G89" t="inlineStr">
        <is>
          <t>ARVIKA</t>
        </is>
      </c>
      <c r="I89" t="n">
        <v>0.5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Springkorn</t>
        </is>
      </c>
      <c r="V89">
        <f>HYPERLINK("https://klasma.github.io/Logging_1784/artfynd/A 25957-2026 artfynd.xlsx", "A 25957-2026")</f>
        <v/>
      </c>
      <c r="W89">
        <f>HYPERLINK("https://klasma.github.io/Logging_1784/kartor/A 25957-2026 karta.png", "A 25957-2026")</f>
        <v/>
      </c>
      <c r="Y89">
        <f>HYPERLINK("https://klasma.github.io/Logging_1784/klagomål/A 25957-2026 FSC-klagomål.docx", "A 25957-2026")</f>
        <v/>
      </c>
      <c r="Z89">
        <f>HYPERLINK("https://klasma.github.io/Logging_1784/klagomålsmail/A 25957-2026 FSC-klagomål mail.docx", "A 25957-2026")</f>
        <v/>
      </c>
      <c r="AA89">
        <f>HYPERLINK("https://klasma.github.io/Logging_1784/tillsyn/A 25957-2026 tillsynsbegäran.docx", "A 25957-2026")</f>
        <v/>
      </c>
      <c r="AB89">
        <f>HYPERLINK("https://klasma.github.io/Logging_1784/tillsynsmail/A 25957-2026 tillsynsbegäran mail.docx", "A 25957-2026")</f>
        <v/>
      </c>
    </row>
    <row r="90" ht="15" customHeight="1">
      <c r="A90" t="inlineStr">
        <is>
          <t>A 43388-2023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46222</v>
      </c>
      <c r="F90" t="inlineStr">
        <is>
          <t>VÄRMLANDS LÄN</t>
        </is>
      </c>
      <c r="G90" t="inlineStr">
        <is>
          <t>ARVIKA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Knärot</t>
        </is>
      </c>
      <c r="V90">
        <f>HYPERLINK("https://klasma.github.io/Logging_1784/artfynd/A 43388-2023 artfynd.xlsx", "A 43388-2023")</f>
        <v/>
      </c>
      <c r="W90">
        <f>HYPERLINK("https://klasma.github.io/Logging_1784/kartor/A 43388-2023 karta.png", "A 43388-2023")</f>
        <v/>
      </c>
      <c r="X90">
        <f>HYPERLINK("https://klasma.github.io/Logging_1784/knärot/A 43388-2023 karta knärot.png", "A 43388-2023")</f>
        <v/>
      </c>
      <c r="Y90">
        <f>HYPERLINK("https://klasma.github.io/Logging_1784/klagomål/A 43388-2023 FSC-klagomål.docx", "A 43388-2023")</f>
        <v/>
      </c>
      <c r="Z90">
        <f>HYPERLINK("https://klasma.github.io/Logging_1784/klagomålsmail/A 43388-2023 FSC-klagomål mail.docx", "A 43388-2023")</f>
        <v/>
      </c>
      <c r="AA90">
        <f>HYPERLINK("https://klasma.github.io/Logging_1784/tillsyn/A 43388-2023 tillsynsbegäran.docx", "A 43388-2023")</f>
        <v/>
      </c>
      <c r="AB90">
        <f>HYPERLINK("https://klasma.github.io/Logging_1784/tillsynsmail/A 43388-2023 tillsynsbegäran mail.docx", "A 43388-2023")</f>
        <v/>
      </c>
    </row>
    <row r="91" ht="15" customHeight="1">
      <c r="A91" t="inlineStr">
        <is>
          <t>A 49883-2024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46222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4.6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Mönjevaxing</t>
        </is>
      </c>
      <c r="V91">
        <f>HYPERLINK("https://klasma.github.io/Logging_1784/artfynd/A 49883-2024 artfynd.xlsx", "A 49883-2024")</f>
        <v/>
      </c>
      <c r="W91">
        <f>HYPERLINK("https://klasma.github.io/Logging_1784/kartor/A 49883-2024 karta.png", "A 49883-2024")</f>
        <v/>
      </c>
      <c r="Y91">
        <f>HYPERLINK("https://klasma.github.io/Logging_1784/klagomål/A 49883-2024 FSC-klagomål.docx", "A 49883-2024")</f>
        <v/>
      </c>
      <c r="Z91">
        <f>HYPERLINK("https://klasma.github.io/Logging_1784/klagomålsmail/A 49883-2024 FSC-klagomål mail.docx", "A 49883-2024")</f>
        <v/>
      </c>
      <c r="AA91">
        <f>HYPERLINK("https://klasma.github.io/Logging_1784/tillsyn/A 49883-2024 tillsynsbegäran.docx", "A 49883-2024")</f>
        <v/>
      </c>
      <c r="AB91">
        <f>HYPERLINK("https://klasma.github.io/Logging_1784/tillsynsmail/A 49883-2024 tillsynsbegäran mail.docx", "A 49883-2024")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46222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Knärot</t>
        </is>
      </c>
      <c r="V92">
        <f>HYPERLINK("https://klasma.github.io/Logging_1784/artfynd/A 48010-2024 artfynd.xlsx", "A 48010-2024")</f>
        <v/>
      </c>
      <c r="W92">
        <f>HYPERLINK("https://klasma.github.io/Logging_1784/kartor/A 48010-2024 karta.png", "A 48010-2024")</f>
        <v/>
      </c>
      <c r="X92">
        <f>HYPERLINK("https://klasma.github.io/Logging_1784/knärot/A 48010-2024 karta knärot.png", "A 48010-2024")</f>
        <v/>
      </c>
      <c r="Y92">
        <f>HYPERLINK("https://klasma.github.io/Logging_1784/klagomål/A 48010-2024 FSC-klagomål.docx", "A 48010-2024")</f>
        <v/>
      </c>
      <c r="Z92">
        <f>HYPERLINK("https://klasma.github.io/Logging_1784/klagomålsmail/A 48010-2024 FSC-klagomål mail.docx", "A 48010-2024")</f>
        <v/>
      </c>
      <c r="AA92">
        <f>HYPERLINK("https://klasma.github.io/Logging_1784/tillsyn/A 48010-2024 tillsynsbegäran.docx", "A 48010-2024")</f>
        <v/>
      </c>
      <c r="AB92">
        <f>HYPERLINK("https://klasma.github.io/Logging_1784/tillsynsmail/A 48010-2024 tillsynsbegäran mail.docx", "A 48010-2024")</f>
        <v/>
      </c>
    </row>
    <row r="93" ht="15" customHeight="1">
      <c r="A93" t="inlineStr">
        <is>
          <t>A 61004-2023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46222</v>
      </c>
      <c r="F93" t="inlineStr">
        <is>
          <t>VÄRMLANDS LÄN</t>
        </is>
      </c>
      <c r="G93" t="inlineStr">
        <is>
          <t>ARVIKA</t>
        </is>
      </c>
      <c r="I93" t="n">
        <v>3.6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HYPERLINK("https://klasma.github.io/Logging_1784/artfynd/A 61004-2023 artfynd.xlsx", "A 61004-2023")</f>
        <v/>
      </c>
      <c r="W93">
        <f>HYPERLINK("https://klasma.github.io/Logging_1784/kartor/A 61004-2023 karta.png", "A 61004-2023")</f>
        <v/>
      </c>
      <c r="X93">
        <f>HYPERLINK("https://klasma.github.io/Logging_1784/knärot/A 61004-2023 karta knärot.png", "A 61004-2023")</f>
        <v/>
      </c>
      <c r="Y93">
        <f>HYPERLINK("https://klasma.github.io/Logging_1784/klagomål/A 61004-2023 FSC-klagomål.docx", "A 61004-2023")</f>
        <v/>
      </c>
      <c r="Z93">
        <f>HYPERLINK("https://klasma.github.io/Logging_1784/klagomålsmail/A 61004-2023 FSC-klagomål mail.docx", "A 61004-2023")</f>
        <v/>
      </c>
      <c r="AA93">
        <f>HYPERLINK("https://klasma.github.io/Logging_1784/tillsyn/A 61004-2023 tillsynsbegäran.docx", "A 61004-2023")</f>
        <v/>
      </c>
      <c r="AB93">
        <f>HYPERLINK("https://klasma.github.io/Logging_1784/tillsynsmail/A 61004-2023 tillsynsbegäran mail.docx", "A 61004-2023")</f>
        <v/>
      </c>
    </row>
    <row r="94" ht="15" customHeight="1">
      <c r="A94" t="inlineStr">
        <is>
          <t>A 20722-2026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46222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15.1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Tjäder</t>
        </is>
      </c>
      <c r="V94">
        <f>HYPERLINK("https://klasma.github.io/Logging_1784/artfynd/A 20722-2026 artfynd.xlsx", "A 20722-2026")</f>
        <v/>
      </c>
      <c r="W94">
        <f>HYPERLINK("https://klasma.github.io/Logging_1784/kartor/A 20722-2026 karta.png", "A 20722-2026")</f>
        <v/>
      </c>
      <c r="Y94">
        <f>HYPERLINK("https://klasma.github.io/Logging_1784/klagomål/A 20722-2026 FSC-klagomål.docx", "A 20722-2026")</f>
        <v/>
      </c>
      <c r="Z94">
        <f>HYPERLINK("https://klasma.github.io/Logging_1784/klagomålsmail/A 20722-2026 FSC-klagomål mail.docx", "A 20722-2026")</f>
        <v/>
      </c>
      <c r="AA94">
        <f>HYPERLINK("https://klasma.github.io/Logging_1784/tillsyn/A 20722-2026 tillsynsbegäran.docx", "A 20722-2026")</f>
        <v/>
      </c>
      <c r="AB94">
        <f>HYPERLINK("https://klasma.github.io/Logging_1784/tillsynsmail/A 20722-2026 tillsynsbegäran mail.docx", "A 20722-2026")</f>
        <v/>
      </c>
      <c r="AC94">
        <f>HYPERLINK("https://klasma.github.io/Logging_1784/fåglar/A 20722-2026 prioriterade fågelarter.docx", "A 20722-2026")</f>
        <v/>
      </c>
    </row>
    <row r="95" ht="15" customHeight="1">
      <c r="A95" t="inlineStr">
        <is>
          <t>A 48464-2023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45206</v>
      </c>
      <c r="E95" s="1" t="n">
        <v>46222</v>
      </c>
      <c r="F95" t="inlineStr">
        <is>
          <t>VÄRMLANDS LÄN</t>
        </is>
      </c>
      <c r="G95" t="inlineStr">
        <is>
          <t>ARVIKA</t>
        </is>
      </c>
      <c r="I95" t="n">
        <v>7.9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s="2" t="inlineStr">
        <is>
          <t>Knärot</t>
        </is>
      </c>
      <c r="V95">
        <f>HYPERLINK("https://klasma.github.io/Logging_1784/artfynd/A 48464-2023 artfynd.xlsx", "A 48464-2023")</f>
        <v/>
      </c>
      <c r="W95">
        <f>HYPERLINK("https://klasma.github.io/Logging_1784/kartor/A 48464-2023 karta.png", "A 48464-2023")</f>
        <v/>
      </c>
      <c r="X95">
        <f>HYPERLINK("https://klasma.github.io/Logging_1784/knärot/A 48464-2023 karta knärot.png", "A 48464-2023")</f>
        <v/>
      </c>
      <c r="Y95">
        <f>HYPERLINK("https://klasma.github.io/Logging_1784/klagomål/A 48464-2023 FSC-klagomål.docx", "A 48464-2023")</f>
        <v/>
      </c>
      <c r="Z95">
        <f>HYPERLINK("https://klasma.github.io/Logging_1784/klagomålsmail/A 48464-2023 FSC-klagomål mail.docx", "A 48464-2023")</f>
        <v/>
      </c>
      <c r="AA95">
        <f>HYPERLINK("https://klasma.github.io/Logging_1784/tillsyn/A 48464-2023 tillsynsbegäran.docx", "A 48464-2023")</f>
        <v/>
      </c>
      <c r="AB95">
        <f>HYPERLINK("https://klasma.github.io/Logging_1784/tillsynsmail/A 48464-2023 tillsynsbegäran mail.docx", "A 48464-2023")</f>
        <v/>
      </c>
    </row>
    <row r="96" ht="15" customHeight="1">
      <c r="A96" t="inlineStr">
        <is>
          <t>A 5965-2024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46222</v>
      </c>
      <c r="F96" t="inlineStr">
        <is>
          <t>VÄRMLANDS LÄN</t>
        </is>
      </c>
      <c r="G96" t="inlineStr">
        <is>
          <t>ARVIKA</t>
        </is>
      </c>
      <c r="I96" t="n">
        <v>4.2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s="2" t="inlineStr">
        <is>
          <t>Revlummer</t>
        </is>
      </c>
      <c r="V96">
        <f>HYPERLINK("https://klasma.github.io/Logging_1784/artfynd/A 5965-2024 artfynd.xlsx", "A 5965-2024")</f>
        <v/>
      </c>
      <c r="W96">
        <f>HYPERLINK("https://klasma.github.io/Logging_1784/kartor/A 5965-2024 karta.png", "A 5965-2024")</f>
        <v/>
      </c>
      <c r="Y96">
        <f>HYPERLINK("https://klasma.github.io/Logging_1784/klagomål/A 5965-2024 FSC-klagomål.docx", "A 5965-2024")</f>
        <v/>
      </c>
      <c r="Z96">
        <f>HYPERLINK("https://klasma.github.io/Logging_1784/klagomålsmail/A 5965-2024 FSC-klagomål mail.docx", "A 5965-2024")</f>
        <v/>
      </c>
      <c r="AA96">
        <f>HYPERLINK("https://klasma.github.io/Logging_1784/tillsyn/A 5965-2024 tillsynsbegäran.docx", "A 5965-2024")</f>
        <v/>
      </c>
      <c r="AB96">
        <f>HYPERLINK("https://klasma.github.io/Logging_1784/tillsynsmail/A 5965-2024 tillsynsbegäran mail.docx", "A 5965-2024")</f>
        <v/>
      </c>
    </row>
    <row r="97" ht="15" customHeight="1">
      <c r="A97" t="inlineStr">
        <is>
          <t>A 74218-2021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46222</v>
      </c>
      <c r="F97" t="inlineStr">
        <is>
          <t>VÄRMLANDS LÄN</t>
        </is>
      </c>
      <c r="G97" t="inlineStr">
        <is>
          <t>ARVIKA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Talltita</t>
        </is>
      </c>
      <c r="V97">
        <f>HYPERLINK("https://klasma.github.io/Logging_1784/artfynd/A 74218-2021 artfynd.xlsx", "A 74218-2021")</f>
        <v/>
      </c>
      <c r="W97">
        <f>HYPERLINK("https://klasma.github.io/Logging_1784/kartor/A 74218-2021 karta.png", "A 74218-2021")</f>
        <v/>
      </c>
      <c r="Y97">
        <f>HYPERLINK("https://klasma.github.io/Logging_1784/klagomål/A 74218-2021 FSC-klagomål.docx", "A 74218-2021")</f>
        <v/>
      </c>
      <c r="Z97">
        <f>HYPERLINK("https://klasma.github.io/Logging_1784/klagomålsmail/A 74218-2021 FSC-klagomål mail.docx", "A 74218-2021")</f>
        <v/>
      </c>
      <c r="AA97">
        <f>HYPERLINK("https://klasma.github.io/Logging_1784/tillsyn/A 74218-2021 tillsynsbegäran.docx", "A 74218-2021")</f>
        <v/>
      </c>
      <c r="AB97">
        <f>HYPERLINK("https://klasma.github.io/Logging_1784/tillsynsmail/A 74218-2021 tillsynsbegäran mail.docx", "A 74218-2021")</f>
        <v/>
      </c>
      <c r="AC97">
        <f>HYPERLINK("https://klasma.github.io/Logging_1784/fåglar/A 74218-2021 prioriterade fågelarter.docx", "A 74218-2021")</f>
        <v/>
      </c>
    </row>
    <row r="98" ht="15" customHeight="1">
      <c r="A98" t="inlineStr">
        <is>
          <t>A 28610-2026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46222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Svart trolldruva</t>
        </is>
      </c>
      <c r="V98">
        <f>HYPERLINK("https://klasma.github.io/Logging_1784/artfynd/A 28610-2026 artfynd.xlsx", "A 28610-2026")</f>
        <v/>
      </c>
      <c r="W98">
        <f>HYPERLINK("https://klasma.github.io/Logging_1784/kartor/A 28610-2026 karta.png", "A 28610-2026")</f>
        <v/>
      </c>
      <c r="Y98">
        <f>HYPERLINK("https://klasma.github.io/Logging_1784/klagomål/A 28610-2026 FSC-klagomål.docx", "A 28610-2026")</f>
        <v/>
      </c>
      <c r="Z98">
        <f>HYPERLINK("https://klasma.github.io/Logging_1784/klagomålsmail/A 28610-2026 FSC-klagomål mail.docx", "A 28610-2026")</f>
        <v/>
      </c>
      <c r="AA98">
        <f>HYPERLINK("https://klasma.github.io/Logging_1784/tillsyn/A 28610-2026 tillsynsbegäran.docx", "A 28610-2026")</f>
        <v/>
      </c>
      <c r="AB98">
        <f>HYPERLINK("https://klasma.github.io/Logging_1784/tillsynsmail/A 28610-2026 tillsynsbegäran mail.docx", "A 28610-2026")</f>
        <v/>
      </c>
    </row>
    <row r="99" ht="15" customHeight="1">
      <c r="A99" t="inlineStr">
        <is>
          <t>A 29662-2026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46204</v>
      </c>
      <c r="E99" s="1" t="n">
        <v>46222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HYPERLINK("https://klasma.github.io/Logging_1784/artfynd/A 29662-2026 artfynd.xlsx", "A 29662-2026")</f>
        <v/>
      </c>
      <c r="W99">
        <f>HYPERLINK("https://klasma.github.io/Logging_1784/kartor/A 29662-2026 karta.png", "A 29662-2026")</f>
        <v/>
      </c>
      <c r="Y99">
        <f>HYPERLINK("https://klasma.github.io/Logging_1784/klagomål/A 29662-2026 FSC-klagomål.docx", "A 29662-2026")</f>
        <v/>
      </c>
      <c r="Z99">
        <f>HYPERLINK("https://klasma.github.io/Logging_1784/klagomålsmail/A 29662-2026 FSC-klagomål mail.docx", "A 29662-2026")</f>
        <v/>
      </c>
      <c r="AA99">
        <f>HYPERLINK("https://klasma.github.io/Logging_1784/tillsyn/A 29662-2026 tillsynsbegäran.docx", "A 29662-2026")</f>
        <v/>
      </c>
      <c r="AB99">
        <f>HYPERLINK("https://klasma.github.io/Logging_1784/tillsynsmail/A 29662-2026 tillsynsbegäran mail.docx", "A 29662-2026")</f>
        <v/>
      </c>
      <c r="AC99">
        <f>HYPERLINK("https://klasma.github.io/Logging_1784/fåglar/A 29662-2026 prioriterade fågelarter.docx", "A 29662-2026")</f>
        <v/>
      </c>
    </row>
    <row r="100" ht="15" customHeight="1">
      <c r="A100" t="inlineStr">
        <is>
          <t>A 19137-2022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44691</v>
      </c>
      <c r="E100" s="1" t="n">
        <v>46222</v>
      </c>
      <c r="F100" t="inlineStr">
        <is>
          <t>VÄRMLANDS LÄN</t>
        </is>
      </c>
      <c r="G100" t="inlineStr">
        <is>
          <t>ARVIKA</t>
        </is>
      </c>
      <c r="I100" t="n">
        <v>9.5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Fläcknycklar</t>
        </is>
      </c>
      <c r="V100">
        <f>HYPERLINK("https://klasma.github.io/Logging_1784/artfynd/A 19137-2022 artfynd.xlsx", "A 19137-2022")</f>
        <v/>
      </c>
      <c r="W100">
        <f>HYPERLINK("https://klasma.github.io/Logging_1784/kartor/A 19137-2022 karta.png", "A 19137-2022")</f>
        <v/>
      </c>
      <c r="Y100">
        <f>HYPERLINK("https://klasma.github.io/Logging_1784/klagomål/A 19137-2022 FSC-klagomål.docx", "A 19137-2022")</f>
        <v/>
      </c>
      <c r="Z100">
        <f>HYPERLINK("https://klasma.github.io/Logging_1784/klagomålsmail/A 19137-2022 FSC-klagomål mail.docx", "A 19137-2022")</f>
        <v/>
      </c>
      <c r="AA100">
        <f>HYPERLINK("https://klasma.github.io/Logging_1784/tillsyn/A 19137-2022 tillsynsbegäran.docx", "A 19137-2022")</f>
        <v/>
      </c>
      <c r="AB100">
        <f>HYPERLINK("https://klasma.github.io/Logging_1784/tillsynsmail/A 19137-2022 tillsynsbegäran mail.docx", "A 19137-2022")</f>
        <v/>
      </c>
    </row>
    <row r="101" ht="15" customHeight="1">
      <c r="A101" t="inlineStr">
        <is>
          <t>A 8846-2022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46222</v>
      </c>
      <c r="F101" t="inlineStr">
        <is>
          <t>VÄRMLANDS LÄN</t>
        </is>
      </c>
      <c r="G101" t="inlineStr">
        <is>
          <t>ARVIKA</t>
        </is>
      </c>
      <c r="I101" t="n">
        <v>8.6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s="2" t="inlineStr">
        <is>
          <t>Tibast</t>
        </is>
      </c>
      <c r="V101">
        <f>HYPERLINK("https://klasma.github.io/Logging_1784/artfynd/A 8846-2022 artfynd.xlsx", "A 8846-2022")</f>
        <v/>
      </c>
      <c r="W101">
        <f>HYPERLINK("https://klasma.github.io/Logging_1784/kartor/A 8846-2022 karta.png", "A 8846-2022")</f>
        <v/>
      </c>
      <c r="Y101">
        <f>HYPERLINK("https://klasma.github.io/Logging_1784/klagomål/A 8846-2022 FSC-klagomål.docx", "A 8846-2022")</f>
        <v/>
      </c>
      <c r="Z101">
        <f>HYPERLINK("https://klasma.github.io/Logging_1784/klagomålsmail/A 8846-2022 FSC-klagomål mail.docx", "A 8846-2022")</f>
        <v/>
      </c>
      <c r="AA101">
        <f>HYPERLINK("https://klasma.github.io/Logging_1784/tillsyn/A 8846-2022 tillsynsbegäran.docx", "A 8846-2022")</f>
        <v/>
      </c>
      <c r="AB101">
        <f>HYPERLINK("https://klasma.github.io/Logging_1784/tillsynsmail/A 8846-2022 tillsynsbegäran mail.docx", "A 8846-2022")</f>
        <v/>
      </c>
    </row>
    <row r="102" ht="15" customHeight="1">
      <c r="A102" t="inlineStr">
        <is>
          <t>A 42023-2023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46222</v>
      </c>
      <c r="F102" t="inlineStr">
        <is>
          <t>VÄRMLANDS LÄN</t>
        </is>
      </c>
      <c r="G102" t="inlineStr">
        <is>
          <t>ARVIKA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Knärot</t>
        </is>
      </c>
      <c r="V102">
        <f>HYPERLINK("https://klasma.github.io/Logging_1784/artfynd/A 42023-2023 artfynd.xlsx", "A 42023-2023")</f>
        <v/>
      </c>
      <c r="W102">
        <f>HYPERLINK("https://klasma.github.io/Logging_1784/kartor/A 42023-2023 karta.png", "A 42023-2023")</f>
        <v/>
      </c>
      <c r="X102">
        <f>HYPERLINK("https://klasma.github.io/Logging_1784/knärot/A 42023-2023 karta knärot.png", "A 42023-2023")</f>
        <v/>
      </c>
      <c r="Y102">
        <f>HYPERLINK("https://klasma.github.io/Logging_1784/klagomål/A 42023-2023 FSC-klagomål.docx", "A 42023-2023")</f>
        <v/>
      </c>
      <c r="Z102">
        <f>HYPERLINK("https://klasma.github.io/Logging_1784/klagomålsmail/A 42023-2023 FSC-klagomål mail.docx", "A 42023-2023")</f>
        <v/>
      </c>
      <c r="AA102">
        <f>HYPERLINK("https://klasma.github.io/Logging_1784/tillsyn/A 42023-2023 tillsynsbegäran.docx", "A 42023-2023")</f>
        <v/>
      </c>
      <c r="AB102">
        <f>HYPERLINK("https://klasma.github.io/Logging_1784/tillsynsmail/A 42023-2023 tillsynsbegäran mail.docx", "A 42023-2023")</f>
        <v/>
      </c>
    </row>
    <row r="103" ht="15" customHeight="1">
      <c r="A103" t="inlineStr">
        <is>
          <t>A 22519-2022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46222</v>
      </c>
      <c r="F103" t="inlineStr">
        <is>
          <t>VÄRMLANDS LÄN</t>
        </is>
      </c>
      <c r="G103" t="inlineStr">
        <is>
          <t>ARVIKA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Skogsklocka</t>
        </is>
      </c>
      <c r="V103">
        <f>HYPERLINK("https://klasma.github.io/Logging_1784/artfynd/A 22519-2022 artfynd.xlsx", "A 22519-2022")</f>
        <v/>
      </c>
      <c r="W103">
        <f>HYPERLINK("https://klasma.github.io/Logging_1784/kartor/A 22519-2022 karta.png", "A 22519-2022")</f>
        <v/>
      </c>
      <c r="Y103">
        <f>HYPERLINK("https://klasma.github.io/Logging_1784/klagomål/A 22519-2022 FSC-klagomål.docx", "A 22519-2022")</f>
        <v/>
      </c>
      <c r="Z103">
        <f>HYPERLINK("https://klasma.github.io/Logging_1784/klagomålsmail/A 22519-2022 FSC-klagomål mail.docx", "A 22519-2022")</f>
        <v/>
      </c>
      <c r="AA103">
        <f>HYPERLINK("https://klasma.github.io/Logging_1784/tillsyn/A 22519-2022 tillsynsbegäran.docx", "A 22519-2022")</f>
        <v/>
      </c>
      <c r="AB103">
        <f>HYPERLINK("https://klasma.github.io/Logging_1784/tillsynsmail/A 22519-2022 tillsynsbegäran mail.docx", "A 22519-2022")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46222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Mindre hackspett</t>
        </is>
      </c>
      <c r="V104">
        <f>HYPERLINK("https://klasma.github.io/Logging_1784/artfynd/A 35528-2023 artfynd.xlsx", "A 35528-2023")</f>
        <v/>
      </c>
      <c r="W104">
        <f>HYPERLINK("https://klasma.github.io/Logging_1784/kartor/A 35528-2023 karta.png", "A 35528-2023")</f>
        <v/>
      </c>
      <c r="Y104">
        <f>HYPERLINK("https://klasma.github.io/Logging_1784/klagomål/A 35528-2023 FSC-klagomål.docx", "A 35528-2023")</f>
        <v/>
      </c>
      <c r="Z104">
        <f>HYPERLINK("https://klasma.github.io/Logging_1784/klagomålsmail/A 35528-2023 FSC-klagomål mail.docx", "A 35528-2023")</f>
        <v/>
      </c>
      <c r="AA104">
        <f>HYPERLINK("https://klasma.github.io/Logging_1784/tillsyn/A 35528-2023 tillsynsbegäran.docx", "A 35528-2023")</f>
        <v/>
      </c>
      <c r="AB104">
        <f>HYPERLINK("https://klasma.github.io/Logging_1784/tillsynsmail/A 35528-2023 tillsynsbegäran mail.docx", "A 35528-2023")</f>
        <v/>
      </c>
      <c r="AC104">
        <f>HYPERLINK("https://klasma.github.io/Logging_1784/fåglar/A 35528-2023 prioriterade fågelarter.docx", "A 35528-2023")</f>
        <v/>
      </c>
    </row>
    <row r="105" ht="15" customHeight="1">
      <c r="A105" t="inlineStr">
        <is>
          <t>A 8525-2023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46222</v>
      </c>
      <c r="F105" t="inlineStr">
        <is>
          <t>VÄRMLANDS LÄN</t>
        </is>
      </c>
      <c r="G105" t="inlineStr">
        <is>
          <t>ARVIKA</t>
        </is>
      </c>
      <c r="I105" t="n">
        <v>2.2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Knärot</t>
        </is>
      </c>
      <c r="V105">
        <f>HYPERLINK("https://klasma.github.io/Logging_1784/artfynd/A 8525-2023 artfynd.xlsx", "A 8525-2023")</f>
        <v/>
      </c>
      <c r="W105">
        <f>HYPERLINK("https://klasma.github.io/Logging_1784/kartor/A 8525-2023 karta.png", "A 8525-2023")</f>
        <v/>
      </c>
      <c r="X105">
        <f>HYPERLINK("https://klasma.github.io/Logging_1784/knärot/A 8525-2023 karta knärot.png", "A 8525-2023")</f>
        <v/>
      </c>
      <c r="Y105">
        <f>HYPERLINK("https://klasma.github.io/Logging_1784/klagomål/A 8525-2023 FSC-klagomål.docx", "A 8525-2023")</f>
        <v/>
      </c>
      <c r="Z105">
        <f>HYPERLINK("https://klasma.github.io/Logging_1784/klagomålsmail/A 8525-2023 FSC-klagomål mail.docx", "A 8525-2023")</f>
        <v/>
      </c>
      <c r="AA105">
        <f>HYPERLINK("https://klasma.github.io/Logging_1784/tillsyn/A 8525-2023 tillsynsbegäran.docx", "A 8525-2023")</f>
        <v/>
      </c>
      <c r="AB105">
        <f>HYPERLINK("https://klasma.github.io/Logging_1784/tillsynsmail/A 8525-2023 tillsynsbegäran mail.docx", "A 8525-2023")</f>
        <v/>
      </c>
    </row>
    <row r="106" ht="15" customHeight="1">
      <c r="A106" t="inlineStr">
        <is>
          <t>A 13475-2025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46222</v>
      </c>
      <c r="F106" t="inlineStr">
        <is>
          <t>VÄRMLANDS LÄN</t>
        </is>
      </c>
      <c r="G106" t="inlineStr">
        <is>
          <t>ARVIKA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Skogsklocka</t>
        </is>
      </c>
      <c r="V106">
        <f>HYPERLINK("https://klasma.github.io/Logging_1784/artfynd/A 13475-2025 artfynd.xlsx", "A 13475-2025")</f>
        <v/>
      </c>
      <c r="W106">
        <f>HYPERLINK("https://klasma.github.io/Logging_1784/kartor/A 13475-2025 karta.png", "A 13475-2025")</f>
        <v/>
      </c>
      <c r="Y106">
        <f>HYPERLINK("https://klasma.github.io/Logging_1784/klagomål/A 13475-2025 FSC-klagomål.docx", "A 13475-2025")</f>
        <v/>
      </c>
      <c r="Z106">
        <f>HYPERLINK("https://klasma.github.io/Logging_1784/klagomålsmail/A 13475-2025 FSC-klagomål mail.docx", "A 13475-2025")</f>
        <v/>
      </c>
      <c r="AA106">
        <f>HYPERLINK("https://klasma.github.io/Logging_1784/tillsyn/A 13475-2025 tillsynsbegäran.docx", "A 13475-2025")</f>
        <v/>
      </c>
      <c r="AB106">
        <f>HYPERLINK("https://klasma.github.io/Logging_1784/tillsynsmail/A 13475-2025 tillsynsbegäran mail.docx", "A 13475-2025")</f>
        <v/>
      </c>
    </row>
    <row r="107" ht="15" customHeight="1">
      <c r="A107" t="inlineStr">
        <is>
          <t>A 30296-2026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46222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Korallvaxing</t>
        </is>
      </c>
      <c r="V107">
        <f>HYPERLINK("https://klasma.github.io/Logging_1784/artfynd/A 30296-2026 artfynd.xlsx", "A 30296-2026")</f>
        <v/>
      </c>
      <c r="W107">
        <f>HYPERLINK("https://klasma.github.io/Logging_1784/kartor/A 30296-2026 karta.png", "A 30296-2026")</f>
        <v/>
      </c>
      <c r="Y107">
        <f>HYPERLINK("https://klasma.github.io/Logging_1784/klagomål/A 30296-2026 FSC-klagomål.docx", "A 30296-2026")</f>
        <v/>
      </c>
      <c r="Z107">
        <f>HYPERLINK("https://klasma.github.io/Logging_1784/klagomålsmail/A 30296-2026 FSC-klagomål mail.docx", "A 30296-2026")</f>
        <v/>
      </c>
      <c r="AA107">
        <f>HYPERLINK("https://klasma.github.io/Logging_1784/tillsyn/A 30296-2026 tillsynsbegäran.docx", "A 30296-2026")</f>
        <v/>
      </c>
      <c r="AB107">
        <f>HYPERLINK("https://klasma.github.io/Logging_1784/tillsynsmail/A 30296-2026 tillsynsbegäran mail.docx", "A 30296-2026")</f>
        <v/>
      </c>
    </row>
    <row r="108" ht="15" customHeight="1">
      <c r="A108" t="inlineStr">
        <is>
          <t>A 24547-2026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46222</v>
      </c>
      <c r="F108" t="inlineStr">
        <is>
          <t>VÄRMLANDS LÄN</t>
        </is>
      </c>
      <c r="G108" t="inlineStr">
        <is>
          <t>ARVIKA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Rotfingersvamp</t>
        </is>
      </c>
      <c r="V108">
        <f>HYPERLINK("https://klasma.github.io/Logging_1784/artfynd/A 24547-2026 artfynd.xlsx", "A 24547-2026")</f>
        <v/>
      </c>
      <c r="W108">
        <f>HYPERLINK("https://klasma.github.io/Logging_1784/kartor/A 24547-2026 karta.png", "A 24547-2026")</f>
        <v/>
      </c>
      <c r="Y108">
        <f>HYPERLINK("https://klasma.github.io/Logging_1784/klagomål/A 24547-2026 FSC-klagomål.docx", "A 24547-2026")</f>
        <v/>
      </c>
      <c r="Z108">
        <f>HYPERLINK("https://klasma.github.io/Logging_1784/klagomålsmail/A 24547-2026 FSC-klagomål mail.docx", "A 24547-2026")</f>
        <v/>
      </c>
      <c r="AA108">
        <f>HYPERLINK("https://klasma.github.io/Logging_1784/tillsyn/A 24547-2026 tillsynsbegäran.docx", "A 24547-2026")</f>
        <v/>
      </c>
      <c r="AB108">
        <f>HYPERLINK("https://klasma.github.io/Logging_1784/tillsynsmail/A 24547-2026 tillsynsbegäran mail.docx", "A 24547-2026")</f>
        <v/>
      </c>
    </row>
    <row r="109" ht="15" customHeight="1">
      <c r="A109" t="inlineStr">
        <is>
          <t>A 22934-2023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46222</v>
      </c>
      <c r="F109" t="inlineStr">
        <is>
          <t>VÄRMLANDS LÄN</t>
        </is>
      </c>
      <c r="G109" t="inlineStr">
        <is>
          <t>ARVIKA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7</v>
      </c>
      <c r="U109" s="2" t="inlineStr">
        <is>
          <t>Skogsklocka</t>
        </is>
      </c>
      <c r="V109">
        <f>HYPERLINK("https://klasma.github.io/Logging_1784/artfynd/A 22934-2023 artfynd.xlsx", "A 22934-2023")</f>
        <v/>
      </c>
      <c r="W109">
        <f>HYPERLINK("https://klasma.github.io/Logging_1784/kartor/A 22934-2023 karta.png", "A 22934-2023")</f>
        <v/>
      </c>
      <c r="Y109">
        <f>HYPERLINK("https://klasma.github.io/Logging_1784/klagomål/A 22934-2023 FSC-klagomål.docx", "A 22934-2023")</f>
        <v/>
      </c>
      <c r="Z109">
        <f>HYPERLINK("https://klasma.github.io/Logging_1784/klagomålsmail/A 22934-2023 FSC-klagomål mail.docx", "A 22934-2023")</f>
        <v/>
      </c>
      <c r="AA109">
        <f>HYPERLINK("https://klasma.github.io/Logging_1784/tillsyn/A 22934-2023 tillsynsbegäran.docx", "A 22934-2023")</f>
        <v/>
      </c>
      <c r="AB109">
        <f>HYPERLINK("https://klasma.github.io/Logging_1784/tillsynsmail/A 22934-2023 tillsynsbegäran mail.docx", "A 22934-2023")</f>
        <v/>
      </c>
    </row>
    <row r="110" ht="15" customHeight="1">
      <c r="A110" t="inlineStr">
        <is>
          <t>A 45892-2024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45580</v>
      </c>
      <c r="E110" s="1" t="n">
        <v>46222</v>
      </c>
      <c r="F110" t="inlineStr">
        <is>
          <t>VÄRMLANDS LÄN</t>
        </is>
      </c>
      <c r="G110" t="inlineStr">
        <is>
          <t>ARVIKA</t>
        </is>
      </c>
      <c r="I110" t="n">
        <v>9.199999999999999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Dunmossa</t>
        </is>
      </c>
      <c r="V110">
        <f>HYPERLINK("https://klasma.github.io/Logging_1784/artfynd/A 45892-2024 artfynd.xlsx", "A 45892-2024")</f>
        <v/>
      </c>
      <c r="W110">
        <f>HYPERLINK("https://klasma.github.io/Logging_1784/kartor/A 45892-2024 karta.png", "A 45892-2024")</f>
        <v/>
      </c>
      <c r="Y110">
        <f>HYPERLINK("https://klasma.github.io/Logging_1784/klagomål/A 45892-2024 FSC-klagomål.docx", "A 45892-2024")</f>
        <v/>
      </c>
      <c r="Z110">
        <f>HYPERLINK("https://klasma.github.io/Logging_1784/klagomålsmail/A 45892-2024 FSC-klagomål mail.docx", "A 45892-2024")</f>
        <v/>
      </c>
      <c r="AA110">
        <f>HYPERLINK("https://klasma.github.io/Logging_1784/tillsyn/A 45892-2024 tillsynsbegäran.docx", "A 45892-2024")</f>
        <v/>
      </c>
      <c r="AB110">
        <f>HYPERLINK("https://klasma.github.io/Logging_1784/tillsynsmail/A 45892-2024 tillsynsbegäran mail.docx", "A 45892-2024")</f>
        <v/>
      </c>
    </row>
    <row r="111" ht="15" customHeight="1">
      <c r="A111" t="inlineStr">
        <is>
          <t>A 6868-2024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46222</v>
      </c>
      <c r="F111" t="inlineStr">
        <is>
          <t>VÄRMLANDS LÄN</t>
        </is>
      </c>
      <c r="G111" t="inlineStr">
        <is>
          <t>ARVIKA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Hasselsnok</t>
        </is>
      </c>
      <c r="V111">
        <f>HYPERLINK("https://klasma.github.io/Logging_1784/artfynd/A 6868-2024 artfynd.xlsx", "A 6868-2024")</f>
        <v/>
      </c>
      <c r="W111">
        <f>HYPERLINK("https://klasma.github.io/Logging_1784/kartor/A 6868-2024 karta.png", "A 6868-2024")</f>
        <v/>
      </c>
      <c r="Y111">
        <f>HYPERLINK("https://klasma.github.io/Logging_1784/klagomål/A 6868-2024 FSC-klagomål.docx", "A 6868-2024")</f>
        <v/>
      </c>
      <c r="Z111">
        <f>HYPERLINK("https://klasma.github.io/Logging_1784/klagomålsmail/A 6868-2024 FSC-klagomål mail.docx", "A 6868-2024")</f>
        <v/>
      </c>
      <c r="AA111">
        <f>HYPERLINK("https://klasma.github.io/Logging_1784/tillsyn/A 6868-2024 tillsynsbegäran.docx", "A 6868-2024")</f>
        <v/>
      </c>
      <c r="AB111">
        <f>HYPERLINK("https://klasma.github.io/Logging_1784/tillsynsmail/A 6868-2024 tillsynsbegäran mail.docx", "A 6868-2024")</f>
        <v/>
      </c>
    </row>
    <row r="112" ht="15" customHeight="1">
      <c r="A112" t="inlineStr">
        <is>
          <t>A 47141-2023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46222</v>
      </c>
      <c r="F112" t="inlineStr">
        <is>
          <t>VÄRMLANDS LÄN</t>
        </is>
      </c>
      <c r="G112" t="inlineStr">
        <is>
          <t>ARVIKA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HYPERLINK("https://klasma.github.io/Logging_1784/artfynd/A 47141-2023 artfynd.xlsx", "A 47141-2023")</f>
        <v/>
      </c>
      <c r="W112">
        <f>HYPERLINK("https://klasma.github.io/Logging_1784/kartor/A 47141-2023 karta.png", "A 47141-2023")</f>
        <v/>
      </c>
      <c r="X112">
        <f>HYPERLINK("https://klasma.github.io/Logging_1784/knärot/A 47141-2023 karta knärot.png", "A 47141-2023")</f>
        <v/>
      </c>
      <c r="Y112">
        <f>HYPERLINK("https://klasma.github.io/Logging_1784/klagomål/A 47141-2023 FSC-klagomål.docx", "A 47141-2023")</f>
        <v/>
      </c>
      <c r="Z112">
        <f>HYPERLINK("https://klasma.github.io/Logging_1784/klagomålsmail/A 47141-2023 FSC-klagomål mail.docx", "A 47141-2023")</f>
        <v/>
      </c>
      <c r="AA112">
        <f>HYPERLINK("https://klasma.github.io/Logging_1784/tillsyn/A 47141-2023 tillsynsbegäran.docx", "A 47141-2023")</f>
        <v/>
      </c>
      <c r="AB112">
        <f>HYPERLINK("https://klasma.github.io/Logging_1784/tillsynsmail/A 47141-2023 tillsynsbegäran mail.docx", "A 47141-2023")</f>
        <v/>
      </c>
    </row>
    <row r="113" ht="15" customHeight="1">
      <c r="A113" t="inlineStr">
        <is>
          <t>A 60844-2024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46222</v>
      </c>
      <c r="F113" t="inlineStr">
        <is>
          <t>VÄRMLANDS LÄN</t>
        </is>
      </c>
      <c r="G113" t="inlineStr">
        <is>
          <t>ARVIKA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Fiskgjuse</t>
        </is>
      </c>
      <c r="V113">
        <f>HYPERLINK("https://klasma.github.io/Logging_1784/artfynd/A 60844-2024 artfynd.xlsx", "A 60844-2024")</f>
        <v/>
      </c>
      <c r="W113">
        <f>HYPERLINK("https://klasma.github.io/Logging_1784/kartor/A 60844-2024 karta.png", "A 60844-2024")</f>
        <v/>
      </c>
      <c r="Y113">
        <f>HYPERLINK("https://klasma.github.io/Logging_1784/klagomål/A 60844-2024 FSC-klagomål.docx", "A 60844-2024")</f>
        <v/>
      </c>
      <c r="Z113">
        <f>HYPERLINK("https://klasma.github.io/Logging_1784/klagomålsmail/A 60844-2024 FSC-klagomål mail.docx", "A 60844-2024")</f>
        <v/>
      </c>
      <c r="AA113">
        <f>HYPERLINK("https://klasma.github.io/Logging_1784/tillsyn/A 60844-2024 tillsynsbegäran.docx", "A 60844-2024")</f>
        <v/>
      </c>
      <c r="AB113">
        <f>HYPERLINK("https://klasma.github.io/Logging_1784/tillsynsmail/A 60844-2024 tillsynsbegäran mail.docx", "A 60844-2024")</f>
        <v/>
      </c>
      <c r="AC113">
        <f>HYPERLINK("https://klasma.github.io/Logging_1784/fåglar/A 60844-2024 prioriterade fågelarter.docx", "A 60844-2024")</f>
        <v/>
      </c>
    </row>
    <row r="114" ht="15" customHeight="1">
      <c r="A114" t="inlineStr">
        <is>
          <t>A 24601-2025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46222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Garnlav</t>
        </is>
      </c>
      <c r="V114">
        <f>HYPERLINK("https://klasma.github.io/Logging_1784/artfynd/A 24601-2025 artfynd.xlsx", "A 24601-2025")</f>
        <v/>
      </c>
      <c r="W114">
        <f>HYPERLINK("https://klasma.github.io/Logging_1784/kartor/A 24601-2025 karta.png", "A 24601-2025")</f>
        <v/>
      </c>
      <c r="Y114">
        <f>HYPERLINK("https://klasma.github.io/Logging_1784/klagomål/A 24601-2025 FSC-klagomål.docx", "A 24601-2025")</f>
        <v/>
      </c>
      <c r="Z114">
        <f>HYPERLINK("https://klasma.github.io/Logging_1784/klagomålsmail/A 24601-2025 FSC-klagomål mail.docx", "A 24601-2025")</f>
        <v/>
      </c>
      <c r="AA114">
        <f>HYPERLINK("https://klasma.github.io/Logging_1784/tillsyn/A 24601-2025 tillsynsbegäran.docx", "A 24601-2025")</f>
        <v/>
      </c>
      <c r="AB114">
        <f>HYPERLINK("https://klasma.github.io/Logging_1784/tillsynsmail/A 24601-2025 tillsynsbegäran mail.docx", "A 24601-2025")</f>
        <v/>
      </c>
    </row>
    <row r="115" ht="15" customHeight="1">
      <c r="A115" t="inlineStr">
        <is>
          <t>S 289-2022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44579</v>
      </c>
      <c r="E115" s="1" t="n">
        <v>46222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40.1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Duvhök</t>
        </is>
      </c>
      <c r="V115">
        <f>HYPERLINK("https://klasma.github.io/Logging_1784/artfynd/S 289-2022 artfynd.xlsx", "S 289-2022")</f>
        <v/>
      </c>
      <c r="W115">
        <f>HYPERLINK("https://klasma.github.io/Logging_1784/kartor/S 289-2022 karta.png", "S 289-2022")</f>
        <v/>
      </c>
      <c r="Y115">
        <f>HYPERLINK("https://klasma.github.io/Logging_1784/klagomål/S 289-2022 FSC-klagomål.docx", "S 289-2022")</f>
        <v/>
      </c>
      <c r="Z115">
        <f>HYPERLINK("https://klasma.github.io/Logging_1784/klagomålsmail/S 289-2022 FSC-klagomål mail.docx", "S 289-2022")</f>
        <v/>
      </c>
      <c r="AA115">
        <f>HYPERLINK("https://klasma.github.io/Logging_1784/tillsyn/S 289-2022 tillsynsbegäran.docx", "S 289-2022")</f>
        <v/>
      </c>
      <c r="AB115">
        <f>HYPERLINK("https://klasma.github.io/Logging_1784/tillsynsmail/S 289-2022 tillsynsbegäran mail.docx", "S 289-2022")</f>
        <v/>
      </c>
      <c r="AC115">
        <f>HYPERLINK("https://klasma.github.io/Logging_1784/fåglar/S 289-2022 prioriterade fågelarter.docx", "S 289-2022")</f>
        <v/>
      </c>
    </row>
    <row r="116" ht="15" customHeight="1">
      <c r="A116" t="inlineStr">
        <is>
          <t>S 10211-2021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46222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Aspgelélav</t>
        </is>
      </c>
      <c r="V116">
        <f>HYPERLINK("https://klasma.github.io/Logging_1784/artfynd/S 10211-2021 artfynd.xlsx", "S 10211-2021")</f>
        <v/>
      </c>
      <c r="W116">
        <f>HYPERLINK("https://klasma.github.io/Logging_1784/kartor/S 10211-2021 karta.png", "S 10211-2021")</f>
        <v/>
      </c>
      <c r="Y116">
        <f>HYPERLINK("https://klasma.github.io/Logging_1784/klagomål/S 10211-2021 FSC-klagomål.docx", "S 10211-2021")</f>
        <v/>
      </c>
      <c r="Z116">
        <f>HYPERLINK("https://klasma.github.io/Logging_1784/klagomålsmail/S 10211-2021 FSC-klagomål mail.docx", "S 10211-2021")</f>
        <v/>
      </c>
      <c r="AA116">
        <f>HYPERLINK("https://klasma.github.io/Logging_1784/tillsyn/S 10211-2021 tillsynsbegäran.docx", "S 10211-2021")</f>
        <v/>
      </c>
      <c r="AB116">
        <f>HYPERLINK("https://klasma.github.io/Logging_1784/tillsynsmail/S 10211-2021 tillsynsbegäran mail.docx", "S 10211-2021")</f>
        <v/>
      </c>
    </row>
    <row r="117" ht="15" customHeight="1">
      <c r="A117" t="inlineStr">
        <is>
          <t>S 10206-2021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44542</v>
      </c>
      <c r="E117" s="1" t="n">
        <v>46222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43.3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HYPERLINK("https://klasma.github.io/Logging_1784/artfynd/S 10206-2021 artfynd.xlsx", "S 10206-2021")</f>
        <v/>
      </c>
      <c r="W117">
        <f>HYPERLINK("https://klasma.github.io/Logging_1784/kartor/S 10206-2021 karta.png", "S 10206-2021")</f>
        <v/>
      </c>
      <c r="Y117">
        <f>HYPERLINK("https://klasma.github.io/Logging_1784/klagomål/S 10206-2021 FSC-klagomål.docx", "S 10206-2021")</f>
        <v/>
      </c>
      <c r="Z117">
        <f>HYPERLINK("https://klasma.github.io/Logging_1784/klagomålsmail/S 10206-2021 FSC-klagomål mail.docx", "S 10206-2021")</f>
        <v/>
      </c>
      <c r="AA117">
        <f>HYPERLINK("https://klasma.github.io/Logging_1784/tillsyn/S 10206-2021 tillsynsbegäran.docx", "S 10206-2021")</f>
        <v/>
      </c>
      <c r="AB117">
        <f>HYPERLINK("https://klasma.github.io/Logging_1784/tillsynsmail/S 10206-2021 tillsynsbegäran mail.docx", "S 10206-2021")</f>
        <v/>
      </c>
      <c r="AC117">
        <f>HYPERLINK("https://klasma.github.io/Logging_1784/fåglar/S 10206-2021 prioriterade fågelarter.docx", "S 10206-2021")</f>
        <v/>
      </c>
    </row>
    <row r="118" ht="15" customHeight="1">
      <c r="A118" t="inlineStr">
        <is>
          <t>A 48827-2022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46222</v>
      </c>
      <c r="F118" t="inlineStr">
        <is>
          <t>VÄRMLANDS LÄN</t>
        </is>
      </c>
      <c r="G118" t="inlineStr">
        <is>
          <t>ARVIKA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48833-2022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46222</v>
      </c>
      <c r="F119" t="inlineStr">
        <is>
          <t>VÄRMLANDS LÄN</t>
        </is>
      </c>
      <c r="G119" t="inlineStr">
        <is>
          <t>ARVIKA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64576-2021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46222</v>
      </c>
      <c r="F120" t="inlineStr">
        <is>
          <t>VÄRMLANDS LÄN</t>
        </is>
      </c>
      <c r="G120" t="inlineStr">
        <is>
          <t>ARVIKA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46222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60502-2021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46222</v>
      </c>
      <c r="F122" t="inlineStr">
        <is>
          <t>VÄRMLANDS LÄN</t>
        </is>
      </c>
      <c r="G122" t="inlineStr">
        <is>
          <t>ARVIKA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46222</v>
      </c>
      <c r="F123" t="inlineStr">
        <is>
          <t>VÄRMLANDS LÄN</t>
        </is>
      </c>
      <c r="G123" t="inlineStr">
        <is>
          <t>ARVIKA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46222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46222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46222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46222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46222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46222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46222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46222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46222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46222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46222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46222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46222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46222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46222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46222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46222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46222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46222</v>
      </c>
      <c r="F142" t="inlineStr">
        <is>
          <t>VÄRMLANDS LÄN</t>
        </is>
      </c>
      <c r="G142" t="inlineStr">
        <is>
          <t>ARVIKA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50954-2021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46222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46222</v>
      </c>
      <c r="F144" t="inlineStr">
        <is>
          <t>VÄRMLANDS LÄN</t>
        </is>
      </c>
      <c r="G144" t="inlineStr">
        <is>
          <t>ARVIKA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46222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46222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46222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46222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46222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46222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46222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46222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46222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46222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46222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46222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46222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46222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46222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46222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46222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46222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46222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44438</v>
      </c>
      <c r="E164" s="1" t="n">
        <v>46222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47332-2021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44447</v>
      </c>
      <c r="E165" s="1" t="n">
        <v>46222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46222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46222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46222</v>
      </c>
      <c r="F168" t="inlineStr">
        <is>
          <t>VÄRMLANDS LÄN</t>
        </is>
      </c>
      <c r="G168" t="inlineStr">
        <is>
          <t>ARVIKA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46222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46222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46222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46222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46222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46222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61835-2021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46222</v>
      </c>
      <c r="F175" t="inlineStr">
        <is>
          <t>VÄRMLANDS LÄN</t>
        </is>
      </c>
      <c r="G175" t="inlineStr">
        <is>
          <t>ARVIKA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46222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46222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46222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46222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46222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46222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46222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46222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46222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9080-2022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44615</v>
      </c>
      <c r="E185" s="1" t="n">
        <v>46222</v>
      </c>
      <c r="F185" t="inlineStr">
        <is>
          <t>VÄRMLANDS LÄN</t>
        </is>
      </c>
      <c r="G185" t="inlineStr">
        <is>
          <t>ARVIKA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67654-2021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46222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46222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46222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66553-2021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44519</v>
      </c>
      <c r="E189" s="1" t="n">
        <v>46222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20176-2022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44698</v>
      </c>
      <c r="E190" s="1" t="n">
        <v>46222</v>
      </c>
      <c r="F190" t="inlineStr">
        <is>
          <t>VÄRMLANDS LÄN</t>
        </is>
      </c>
      <c r="G190" t="inlineStr">
        <is>
          <t>ARVIKA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46222</v>
      </c>
      <c r="F191" t="inlineStr">
        <is>
          <t>VÄRMLANDS LÄN</t>
        </is>
      </c>
      <c r="G191" t="inlineStr">
        <is>
          <t>ARVIKA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42734-2021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46222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46222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46222</v>
      </c>
      <c r="F194" t="inlineStr">
        <is>
          <t>VÄRMLANDS LÄN</t>
        </is>
      </c>
      <c r="G194" t="inlineStr">
        <is>
          <t>ARVIKA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46222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44615</v>
      </c>
      <c r="E196" s="1" t="n">
        <v>46222</v>
      </c>
      <c r="F196" t="inlineStr">
        <is>
          <t>VÄRMLANDS LÄN</t>
        </is>
      </c>
      <c r="G196" t="inlineStr">
        <is>
          <t>ARVIKA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23078-2022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44718</v>
      </c>
      <c r="E197" s="1" t="n">
        <v>46222</v>
      </c>
      <c r="F197" t="inlineStr">
        <is>
          <t>VÄRMLANDS LÄN</t>
        </is>
      </c>
      <c r="G197" t="inlineStr">
        <is>
          <t>ARVIKA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46222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46222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46222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46222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44714</v>
      </c>
      <c r="E202" s="1" t="n">
        <v>46222</v>
      </c>
      <c r="F202" t="inlineStr">
        <is>
          <t>VÄRMLANDS LÄN</t>
        </is>
      </c>
      <c r="G202" t="inlineStr">
        <is>
          <t>ARVIKA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44067-2021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44434</v>
      </c>
      <c r="E203" s="1" t="n">
        <v>46222</v>
      </c>
      <c r="F203" t="inlineStr">
        <is>
          <t>VÄRMLANDS LÄN</t>
        </is>
      </c>
      <c r="G203" t="inlineStr">
        <is>
          <t>ARVIKA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46222</v>
      </c>
      <c r="F204" t="inlineStr">
        <is>
          <t>VÄRMLANDS LÄN</t>
        </is>
      </c>
      <c r="G204" t="inlineStr">
        <is>
          <t>ARVIKA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73208-2021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46222</v>
      </c>
      <c r="F205" t="inlineStr">
        <is>
          <t>VÄRMLANDS LÄN</t>
        </is>
      </c>
      <c r="G205" t="inlineStr">
        <is>
          <t>ARVIKA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46222</v>
      </c>
      <c r="F206" t="inlineStr">
        <is>
          <t>VÄRMLANDS LÄN</t>
        </is>
      </c>
      <c r="G206" t="inlineStr">
        <is>
          <t>ARVIKA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46222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45716-2021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44435</v>
      </c>
      <c r="E208" s="1" t="n">
        <v>46222</v>
      </c>
      <c r="F208" t="inlineStr">
        <is>
          <t>VÄRMLANDS LÄN</t>
        </is>
      </c>
      <c r="G208" t="inlineStr">
        <is>
          <t>ARVIKA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46222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44655</v>
      </c>
      <c r="E210" s="1" t="n">
        <v>46222</v>
      </c>
      <c r="F210" t="inlineStr">
        <is>
          <t>VÄRMLANDS LÄN</t>
        </is>
      </c>
      <c r="G210" t="inlineStr">
        <is>
          <t>ARVIKA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51553-2021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46222</v>
      </c>
      <c r="F211" t="inlineStr">
        <is>
          <t>VÄRMLANDS LÄN</t>
        </is>
      </c>
      <c r="G211" t="inlineStr">
        <is>
          <t>ARVIKA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46222</v>
      </c>
      <c r="F212" t="inlineStr">
        <is>
          <t>VÄRMLANDS LÄN</t>
        </is>
      </c>
      <c r="G212" t="inlineStr">
        <is>
          <t>ARVIKA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46222</v>
      </c>
      <c r="F213" t="inlineStr">
        <is>
          <t>VÄRMLANDS LÄN</t>
        </is>
      </c>
      <c r="G213" t="inlineStr">
        <is>
          <t>ARVIKA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46222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46222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46222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46222</v>
      </c>
      <c r="F217" t="inlineStr">
        <is>
          <t>VÄRMLANDS LÄN</t>
        </is>
      </c>
      <c r="G217" t="inlineStr">
        <is>
          <t>ARVIKA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46222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46222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64331-2021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46222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46222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44704</v>
      </c>
      <c r="E222" s="1" t="n">
        <v>46222</v>
      </c>
      <c r="F222" t="inlineStr">
        <is>
          <t>VÄRMLANDS LÄN</t>
        </is>
      </c>
      <c r="G222" t="inlineStr">
        <is>
          <t>ARVIKA</t>
        </is>
      </c>
      <c r="H222" t="inlineStr">
        <is>
          <t>Kyrkan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46222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46222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46222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8825-2025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46222</v>
      </c>
      <c r="F226" t="inlineStr">
        <is>
          <t>VÄRMLANDS LÄN</t>
        </is>
      </c>
      <c r="G226" t="inlineStr">
        <is>
          <t>ARVIKA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46222</v>
      </c>
      <c r="F227" t="inlineStr">
        <is>
          <t>VÄRMLANDS LÄN</t>
        </is>
      </c>
      <c r="G227" t="inlineStr">
        <is>
          <t>ARVIKA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46222</v>
      </c>
      <c r="F228" t="inlineStr">
        <is>
          <t>VÄRMLANDS LÄN</t>
        </is>
      </c>
      <c r="G228" t="inlineStr">
        <is>
          <t>ARVIKA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46222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46222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47343-2023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46222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27131-2022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44741</v>
      </c>
      <c r="E232" s="1" t="n">
        <v>46222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47191-2023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46222</v>
      </c>
      <c r="F233" t="inlineStr">
        <is>
          <t>VÄRMLANDS LÄN</t>
        </is>
      </c>
      <c r="G233" t="inlineStr">
        <is>
          <t>ARVIKA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46222</v>
      </c>
      <c r="F234" t="inlineStr">
        <is>
          <t>VÄRMLANDS LÄN</t>
        </is>
      </c>
      <c r="G234" t="inlineStr">
        <is>
          <t>ARVIKA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46222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45572</v>
      </c>
      <c r="E236" s="1" t="n">
        <v>46222</v>
      </c>
      <c r="F236" t="inlineStr">
        <is>
          <t>VÄRMLANDS LÄN</t>
        </is>
      </c>
      <c r="G236" t="inlineStr">
        <is>
          <t>ARVIKA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46222</v>
      </c>
      <c r="F237" t="inlineStr">
        <is>
          <t>VÄRMLANDS LÄN</t>
        </is>
      </c>
      <c r="G237" t="inlineStr">
        <is>
          <t>ARVIKA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35503-2024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46222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46222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15697-2024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46222</v>
      </c>
      <c r="F240" t="inlineStr">
        <is>
          <t>VÄRMLANDS LÄN</t>
        </is>
      </c>
      <c r="G240" t="inlineStr">
        <is>
          <t>ARVIKA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20171-2025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46222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37668-2024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46222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56710-2022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46222</v>
      </c>
      <c r="F243" t="inlineStr">
        <is>
          <t>VÄRMLANDS LÄN</t>
        </is>
      </c>
      <c r="G243" t="inlineStr">
        <is>
          <t>ARVIKA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46222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46222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15518-2025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46222</v>
      </c>
      <c r="F246" t="inlineStr">
        <is>
          <t>VÄRMLANDS LÄN</t>
        </is>
      </c>
      <c r="G246" t="inlineStr">
        <is>
          <t>ARVIKA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36125-2022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46222</v>
      </c>
      <c r="F247" t="inlineStr">
        <is>
          <t>VÄRMLANDS LÄN</t>
        </is>
      </c>
      <c r="G247" t="inlineStr">
        <is>
          <t>ARVIKA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18349-2024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45422</v>
      </c>
      <c r="E248" s="1" t="n">
        <v>46222</v>
      </c>
      <c r="F248" t="inlineStr">
        <is>
          <t>VÄRMLANDS LÄN</t>
        </is>
      </c>
      <c r="G248" t="inlineStr">
        <is>
          <t>ARVIKA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46222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26698-2023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46222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12689-2024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45384</v>
      </c>
      <c r="E251" s="1" t="n">
        <v>46222</v>
      </c>
      <c r="F251" t="inlineStr">
        <is>
          <t>VÄRMLANDS LÄN</t>
        </is>
      </c>
      <c r="G251" t="inlineStr">
        <is>
          <t>ARVIKA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46222</v>
      </c>
      <c r="F252" t="inlineStr">
        <is>
          <t>VÄRMLANDS LÄN</t>
        </is>
      </c>
      <c r="G252" t="inlineStr">
        <is>
          <t>ARVIKA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51608-2021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46222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46222</v>
      </c>
      <c r="F254" t="inlineStr">
        <is>
          <t>VÄRMLANDS LÄN</t>
        </is>
      </c>
      <c r="G254" t="inlineStr">
        <is>
          <t>ARVIKA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46222</v>
      </c>
      <c r="F255" t="inlineStr">
        <is>
          <t>VÄRMLANDS LÄN</t>
        </is>
      </c>
      <c r="G255" t="inlineStr">
        <is>
          <t>ARVIKA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16764-2024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46222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45420</v>
      </c>
      <c r="E257" s="1" t="n">
        <v>46222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56430-2023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46222</v>
      </c>
      <c r="F258" t="inlineStr">
        <is>
          <t>VÄRMLANDS LÄN</t>
        </is>
      </c>
      <c r="G258" t="inlineStr">
        <is>
          <t>ARVIKA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46222</v>
      </c>
      <c r="F259" t="inlineStr">
        <is>
          <t>VÄRMLANDS LÄN</t>
        </is>
      </c>
      <c r="G259" t="inlineStr">
        <is>
          <t>ARVIKA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46222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46222</v>
      </c>
      <c r="F261" t="inlineStr">
        <is>
          <t>VÄRMLANDS LÄN</t>
        </is>
      </c>
      <c r="G261" t="inlineStr">
        <is>
          <t>ARVIKA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46222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46222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8795-2023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46222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64583-2023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46222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46222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45474</v>
      </c>
      <c r="E267" s="1" t="n">
        <v>46222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45293</v>
      </c>
      <c r="E268" s="1" t="n">
        <v>46222</v>
      </c>
      <c r="F268" t="inlineStr">
        <is>
          <t>VÄRMLANDS LÄN</t>
        </is>
      </c>
      <c r="G268" t="inlineStr">
        <is>
          <t>ARVIKA</t>
        </is>
      </c>
      <c r="H268" t="inlineStr">
        <is>
          <t>Kyrkan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46222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40949-2022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44825</v>
      </c>
      <c r="E270" s="1" t="n">
        <v>46222</v>
      </c>
      <c r="F270" t="inlineStr">
        <is>
          <t>VÄRMLANDS LÄN</t>
        </is>
      </c>
      <c r="G270" t="inlineStr">
        <is>
          <t>ARVIKA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24999-2024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46222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46222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50764-2022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44867</v>
      </c>
      <c r="E273" s="1" t="n">
        <v>46222</v>
      </c>
      <c r="F273" t="inlineStr">
        <is>
          <t>VÄRMLANDS LÄN</t>
        </is>
      </c>
      <c r="G273" t="inlineStr">
        <is>
          <t>ARVIKA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65284-2021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46222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65357-2021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44515</v>
      </c>
      <c r="E275" s="1" t="n">
        <v>46222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8780-2023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46222</v>
      </c>
      <c r="F276" t="inlineStr">
        <is>
          <t>VÄRMLANDS LÄN</t>
        </is>
      </c>
      <c r="G276" t="inlineStr">
        <is>
          <t>ARVIKA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35799-2024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46222</v>
      </c>
      <c r="F277" t="inlineStr">
        <is>
          <t>VÄRMLANDS LÄN</t>
        </is>
      </c>
      <c r="G277" t="inlineStr">
        <is>
          <t>ARVIKA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44922</v>
      </c>
      <c r="E278" s="1" t="n">
        <v>46222</v>
      </c>
      <c r="F278" t="inlineStr">
        <is>
          <t>VÄRMLANDS LÄN</t>
        </is>
      </c>
      <c r="G278" t="inlineStr">
        <is>
          <t>ARVIKA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46222</v>
      </c>
      <c r="F279" t="inlineStr">
        <is>
          <t>VÄRMLANDS LÄN</t>
        </is>
      </c>
      <c r="G279" t="inlineStr">
        <is>
          <t>ARVIKA</t>
        </is>
      </c>
      <c r="H279" t="inlineStr">
        <is>
          <t>Kyrkan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44493</v>
      </c>
      <c r="E280" s="1" t="n">
        <v>46222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46222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46222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46222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8741-2023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46222</v>
      </c>
      <c r="F284" t="inlineStr">
        <is>
          <t>VÄRMLANDS LÄN</t>
        </is>
      </c>
      <c r="G284" t="inlineStr">
        <is>
          <t>ARVIKA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46222</v>
      </c>
      <c r="F285" t="inlineStr">
        <is>
          <t>VÄRMLANDS LÄN</t>
        </is>
      </c>
      <c r="G285" t="inlineStr">
        <is>
          <t>ARVIKA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25405-2023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46222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63627-2021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46222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41311-2021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44424</v>
      </c>
      <c r="E288" s="1" t="n">
        <v>46222</v>
      </c>
      <c r="F288" t="inlineStr">
        <is>
          <t>VÄRMLANDS LÄN</t>
        </is>
      </c>
      <c r="G288" t="inlineStr">
        <is>
          <t>ARVIKA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46222</v>
      </c>
      <c r="F289" t="inlineStr">
        <is>
          <t>VÄRMLANDS LÄN</t>
        </is>
      </c>
      <c r="G289" t="inlineStr">
        <is>
          <t>ARVIKA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21959-2023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46222</v>
      </c>
      <c r="F290" t="inlineStr">
        <is>
          <t>VÄRMLANDS LÄN</t>
        </is>
      </c>
      <c r="G290" t="inlineStr">
        <is>
          <t>ARVIKA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46222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46222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44881</v>
      </c>
      <c r="E293" s="1" t="n">
        <v>46222</v>
      </c>
      <c r="F293" t="inlineStr">
        <is>
          <t>VÄRMLANDS LÄN</t>
        </is>
      </c>
      <c r="G293" t="inlineStr">
        <is>
          <t>ARVIKA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25862-2025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46222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46222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44420-2021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44435</v>
      </c>
      <c r="E296" s="1" t="n">
        <v>46222</v>
      </c>
      <c r="F296" t="inlineStr">
        <is>
          <t>VÄRMLANDS LÄN</t>
        </is>
      </c>
      <c r="G296" t="inlineStr">
        <is>
          <t>ARVIKA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46222</v>
      </c>
      <c r="F297" t="inlineStr">
        <is>
          <t>VÄRMLANDS LÄN</t>
        </is>
      </c>
      <c r="G297" t="inlineStr">
        <is>
          <t>ARVIKA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44586</v>
      </c>
      <c r="E298" s="1" t="n">
        <v>46222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46222</v>
      </c>
      <c r="F299" t="inlineStr">
        <is>
          <t>VÄRMLANDS LÄN</t>
        </is>
      </c>
      <c r="G299" t="inlineStr">
        <is>
          <t>ARVIKA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14774-2024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46222</v>
      </c>
      <c r="F300" t="inlineStr">
        <is>
          <t>VÄRMLANDS LÄN</t>
        </is>
      </c>
      <c r="G300" t="inlineStr">
        <is>
          <t>ARVIKA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46222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48462-2023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46222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48510-2023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45207</v>
      </c>
      <c r="E303" s="1" t="n">
        <v>46222</v>
      </c>
      <c r="F303" t="inlineStr">
        <is>
          <t>VÄRMLANDS LÄN</t>
        </is>
      </c>
      <c r="G303" t="inlineStr">
        <is>
          <t>ARVIKA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32601-2023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46222</v>
      </c>
      <c r="F304" t="inlineStr">
        <is>
          <t>VÄRMLANDS LÄN</t>
        </is>
      </c>
      <c r="G304" t="inlineStr">
        <is>
          <t>ARVIKA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50530-2023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46222</v>
      </c>
      <c r="F305" t="inlineStr">
        <is>
          <t>VÄRMLANDS LÄN</t>
        </is>
      </c>
      <c r="G305" t="inlineStr">
        <is>
          <t>ARVIKA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54211-2021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46222</v>
      </c>
      <c r="F306" t="inlineStr">
        <is>
          <t>VÄRMLANDS LÄN</t>
        </is>
      </c>
      <c r="G306" t="inlineStr">
        <is>
          <t>ARVIKA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10578-2023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46222</v>
      </c>
      <c r="F307" t="inlineStr">
        <is>
          <t>VÄRMLANDS LÄN</t>
        </is>
      </c>
      <c r="G307" t="inlineStr">
        <is>
          <t>ARVIKA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44589</v>
      </c>
      <c r="E308" s="1" t="n">
        <v>46222</v>
      </c>
      <c r="F308" t="inlineStr">
        <is>
          <t>VÄRMLANDS LÄN</t>
        </is>
      </c>
      <c r="G308" t="inlineStr">
        <is>
          <t>ARVIKA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71399-2021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46222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58143-2022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46222</v>
      </c>
      <c r="F310" t="inlineStr">
        <is>
          <t>VÄRMLANDS LÄN</t>
        </is>
      </c>
      <c r="G310" t="inlineStr">
        <is>
          <t>ARVIKA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50371-2023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46222</v>
      </c>
      <c r="F311" t="inlineStr">
        <is>
          <t>VÄRMLANDS LÄN</t>
        </is>
      </c>
      <c r="G311" t="inlineStr">
        <is>
          <t>ARVIKA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46222</v>
      </c>
      <c r="F312" t="inlineStr">
        <is>
          <t>VÄRMLANDS LÄN</t>
        </is>
      </c>
      <c r="G312" t="inlineStr">
        <is>
          <t>ARVIKA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46222</v>
      </c>
      <c r="F313" t="inlineStr">
        <is>
          <t>VÄRMLANDS LÄN</t>
        </is>
      </c>
      <c r="G313" t="inlineStr">
        <is>
          <t>ARVIKA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15973-2024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46222</v>
      </c>
      <c r="F314" t="inlineStr">
        <is>
          <t>VÄRMLANDS LÄN</t>
        </is>
      </c>
      <c r="G314" t="inlineStr">
        <is>
          <t>ARVIKA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50393-2023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46222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46222</v>
      </c>
      <c r="F316" t="inlineStr">
        <is>
          <t>VÄRMLANDS LÄN</t>
        </is>
      </c>
      <c r="G316" t="inlineStr">
        <is>
          <t>ARVIKA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59014-2022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46222</v>
      </c>
      <c r="F317" t="inlineStr">
        <is>
          <t>VÄRMLANDS LÄN</t>
        </is>
      </c>
      <c r="G317" t="inlineStr">
        <is>
          <t>ARVIKA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62485-2022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46222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44443-2021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44435</v>
      </c>
      <c r="E319" s="1" t="n">
        <v>46222</v>
      </c>
      <c r="F319" t="inlineStr">
        <is>
          <t>VÄRMLANDS LÄN</t>
        </is>
      </c>
      <c r="G319" t="inlineStr">
        <is>
          <t>ARVIKA</t>
        </is>
      </c>
      <c r="I319" t="n">
        <v>16.7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46222</v>
      </c>
      <c r="F320" t="inlineStr">
        <is>
          <t>VÄRMLANDS LÄN</t>
        </is>
      </c>
      <c r="G320" t="inlineStr">
        <is>
          <t>ARVIKA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45517</v>
      </c>
      <c r="E321" s="1" t="n">
        <v>46222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  <c r="X321">
        <f>HYPERLINK("https://klasma.github.io/Logging_1784/knärot/A 33047-2024 karta knärot.png", "A 33047-2024")</f>
        <v/>
      </c>
      <c r="Y321">
        <f>HYPERLINK("https://klasma.github.io/Logging_1784/klagomål/A 33047-2024 FSC-klagomål.docx", "A 33047-2024")</f>
        <v/>
      </c>
      <c r="Z321">
        <f>HYPERLINK("https://klasma.github.io/Logging_1784/klagomålsmail/A 33047-2024 FSC-klagomål mail.docx", "A 33047-2024")</f>
        <v/>
      </c>
      <c r="AA321">
        <f>HYPERLINK("https://klasma.github.io/Logging_1784/tillsyn/A 33047-2024 tillsynsbegäran.docx", "A 33047-2024")</f>
        <v/>
      </c>
      <c r="AB321">
        <f>HYPERLINK("https://klasma.github.io/Logging_1784/tillsynsmail/A 33047-2024 tillsynsbegäran mail.docx", "A 33047-2024")</f>
        <v/>
      </c>
    </row>
    <row r="322" ht="15" customHeight="1">
      <c r="A322" t="inlineStr">
        <is>
          <t>A 33360-2024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46222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50234-2023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46222</v>
      </c>
      <c r="F323" t="inlineStr">
        <is>
          <t>VÄRMLANDS LÄN</t>
        </is>
      </c>
      <c r="G323" t="inlineStr">
        <is>
          <t>ARVIKA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43364-2023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46222</v>
      </c>
      <c r="F324" t="inlineStr">
        <is>
          <t>VÄRMLANDS LÄN</t>
        </is>
      </c>
      <c r="G324" t="inlineStr">
        <is>
          <t>ARVIKA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46222</v>
      </c>
      <c r="F325" t="inlineStr">
        <is>
          <t>VÄRMLANDS LÄN</t>
        </is>
      </c>
      <c r="G325" t="inlineStr">
        <is>
          <t>ARVIKA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37942-2024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46222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39124-2024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45548</v>
      </c>
      <c r="E327" s="1" t="n">
        <v>46222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46222</v>
      </c>
      <c r="F328" t="inlineStr">
        <is>
          <t>VÄRMLANDS LÄN</t>
        </is>
      </c>
      <c r="G328" t="inlineStr">
        <is>
          <t>ARVIKA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46222</v>
      </c>
      <c r="F329" t="inlineStr">
        <is>
          <t>VÄRMLANDS LÄN</t>
        </is>
      </c>
      <c r="G329" t="inlineStr">
        <is>
          <t>ARVIKA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46222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27328-2025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45812</v>
      </c>
      <c r="E331" s="1" t="n">
        <v>46222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46222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46222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38513-2025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46222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46222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8598-2025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46222</v>
      </c>
      <c r="F336" t="inlineStr">
        <is>
          <t>VÄRMLANDS LÄN</t>
        </is>
      </c>
      <c r="G336" t="inlineStr">
        <is>
          <t>ARVIKA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46222</v>
      </c>
      <c r="F337" t="inlineStr">
        <is>
          <t>VÄRMLANDS LÄN</t>
        </is>
      </c>
      <c r="G337" t="inlineStr">
        <is>
          <t>ARVIKA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27472-2025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46222</v>
      </c>
      <c r="F338" t="inlineStr">
        <is>
          <t>VÄRMLANDS LÄN</t>
        </is>
      </c>
      <c r="G338" t="inlineStr">
        <is>
          <t>ARVIKA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46222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62428-2022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46222</v>
      </c>
      <c r="F340" t="inlineStr">
        <is>
          <t>VÄRMLANDS LÄN</t>
        </is>
      </c>
      <c r="G340" t="inlineStr">
        <is>
          <t>ARVIKA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57348-2024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46222</v>
      </c>
      <c r="F341" t="inlineStr">
        <is>
          <t>VÄRMLANDS LÄN</t>
        </is>
      </c>
      <c r="G341" t="inlineStr">
        <is>
          <t>ARVIKA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20735-2025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45776</v>
      </c>
      <c r="E342" s="1" t="n">
        <v>46222</v>
      </c>
      <c r="F342" t="inlineStr">
        <is>
          <t>VÄRMLANDS LÄN</t>
        </is>
      </c>
      <c r="G342" t="inlineStr">
        <is>
          <t>ARVIKA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31998-2024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45510</v>
      </c>
      <c r="E343" s="1" t="n">
        <v>46222</v>
      </c>
      <c r="F343" t="inlineStr">
        <is>
          <t>VÄRMLANDS LÄN</t>
        </is>
      </c>
      <c r="G343" t="inlineStr">
        <is>
          <t>ARVIKA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46222</v>
      </c>
      <c r="F344" t="inlineStr">
        <is>
          <t>VÄRMLANDS LÄN</t>
        </is>
      </c>
      <c r="G344" t="inlineStr">
        <is>
          <t>ARVIKA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46222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45013</v>
      </c>
      <c r="E346" s="1" t="n">
        <v>46222</v>
      </c>
      <c r="F346" t="inlineStr">
        <is>
          <t>VÄRMLANDS LÄN</t>
        </is>
      </c>
      <c r="G346" t="inlineStr">
        <is>
          <t>ARVIKA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46222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46222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28574-2025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45819</v>
      </c>
      <c r="E349" s="1" t="n">
        <v>46222</v>
      </c>
      <c r="F349" t="inlineStr">
        <is>
          <t>VÄRMLANDS LÄN</t>
        </is>
      </c>
      <c r="G349" t="inlineStr">
        <is>
          <t>ARVIKA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46222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46222</v>
      </c>
      <c r="F351" t="inlineStr">
        <is>
          <t>VÄRMLANDS LÄN</t>
        </is>
      </c>
      <c r="G351" t="inlineStr">
        <is>
          <t>ARVIKA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15917-2023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46222</v>
      </c>
      <c r="F352" t="inlineStr">
        <is>
          <t>VÄRMLANDS LÄN</t>
        </is>
      </c>
      <c r="G352" t="inlineStr">
        <is>
          <t>ARVIKA</t>
        </is>
      </c>
      <c r="I352" t="n">
        <v>18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38984-2025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46222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37824-2024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46222</v>
      </c>
      <c r="F354" t="inlineStr">
        <is>
          <t>VÄRMLANDS LÄN</t>
        </is>
      </c>
      <c r="G354" t="inlineStr">
        <is>
          <t>ARVIKA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46222</v>
      </c>
      <c r="F355" t="inlineStr">
        <is>
          <t>VÄRMLANDS LÄN</t>
        </is>
      </c>
      <c r="G355" t="inlineStr">
        <is>
          <t>ARVIKA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46222</v>
      </c>
      <c r="F356" t="inlineStr">
        <is>
          <t>VÄRMLANDS LÄN</t>
        </is>
      </c>
      <c r="G356" t="inlineStr">
        <is>
          <t>ARVIKA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23906-2025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45794</v>
      </c>
      <c r="E357" s="1" t="n">
        <v>46222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46222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46222</v>
      </c>
      <c r="F359" t="inlineStr">
        <is>
          <t>VÄRMLANDS LÄN</t>
        </is>
      </c>
      <c r="G359" t="inlineStr">
        <is>
          <t>ARVIKA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46222</v>
      </c>
      <c r="F360" t="inlineStr">
        <is>
          <t>VÄRMLANDS LÄN</t>
        </is>
      </c>
      <c r="G360" t="inlineStr">
        <is>
          <t>ARVIKA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46222</v>
      </c>
      <c r="F361" t="inlineStr">
        <is>
          <t>VÄRMLANDS LÄN</t>
        </is>
      </c>
      <c r="G361" t="inlineStr">
        <is>
          <t>ARVIKA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46222</v>
      </c>
      <c r="F362" t="inlineStr">
        <is>
          <t>VÄRMLANDS LÄN</t>
        </is>
      </c>
      <c r="G362" t="inlineStr">
        <is>
          <t>ARVIKA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39596-2025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46222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39606-2025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46222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39641-2025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46222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39391-2025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46222</v>
      </c>
      <c r="F366" t="inlineStr">
        <is>
          <t>VÄRMLANDS LÄN</t>
        </is>
      </c>
      <c r="G366" t="inlineStr">
        <is>
          <t>ARVIKA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46222</v>
      </c>
      <c r="F367" t="inlineStr">
        <is>
          <t>VÄRMLANDS LÄN</t>
        </is>
      </c>
      <c r="G367" t="inlineStr">
        <is>
          <t>ARVIKA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46222</v>
      </c>
      <c r="F368" t="inlineStr">
        <is>
          <t>VÄRMLANDS LÄN</t>
        </is>
      </c>
      <c r="G368" t="inlineStr">
        <is>
          <t>ARVIKA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28964-2025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46222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46222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46222</v>
      </c>
      <c r="F371" t="inlineStr">
        <is>
          <t>VÄRMLANDS LÄN</t>
        </is>
      </c>
      <c r="G371" t="inlineStr">
        <is>
          <t>ARVIKA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46222</v>
      </c>
      <c r="F372" t="inlineStr">
        <is>
          <t>VÄRMLANDS LÄN</t>
        </is>
      </c>
      <c r="G372" t="inlineStr">
        <is>
          <t>ARVIKA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46222</v>
      </c>
      <c r="F373" t="inlineStr">
        <is>
          <t>VÄRMLANDS LÄN</t>
        </is>
      </c>
      <c r="G373" t="inlineStr">
        <is>
          <t>ARVIKA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45895</v>
      </c>
      <c r="E374" s="1" t="n">
        <v>46222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30003-2025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46222</v>
      </c>
      <c r="F375" t="inlineStr">
        <is>
          <t>VÄRMLANDS LÄN</t>
        </is>
      </c>
      <c r="G375" t="inlineStr">
        <is>
          <t>ARVIKA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29501-2025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46222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47046-2024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46222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21433-2022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46222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40533-2025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46222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13982-2024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45392</v>
      </c>
      <c r="E380" s="1" t="n">
        <v>46222</v>
      </c>
      <c r="F380" t="inlineStr">
        <is>
          <t>VÄRMLANDS LÄN</t>
        </is>
      </c>
      <c r="G380" t="inlineStr">
        <is>
          <t>ARVIKA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29610-2025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45825</v>
      </c>
      <c r="E381" s="1" t="n">
        <v>46222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37630-2024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46222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35806-2025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45861</v>
      </c>
      <c r="E383" s="1" t="n">
        <v>46222</v>
      </c>
      <c r="F383" t="inlineStr">
        <is>
          <t>VÄRMLANDS LÄN</t>
        </is>
      </c>
      <c r="G383" t="inlineStr">
        <is>
          <t>ARVIKA</t>
        </is>
      </c>
      <c r="H383" t="inlineStr">
        <is>
          <t>Övriga Aktiebolag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40694-2025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45897</v>
      </c>
      <c r="E384" s="1" t="n">
        <v>46222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22926-2023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45072</v>
      </c>
      <c r="E385" s="1" t="n">
        <v>46222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30581-2025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46222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22.5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19425-2024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45429</v>
      </c>
      <c r="E387" s="1" t="n">
        <v>46222</v>
      </c>
      <c r="F387" t="inlineStr">
        <is>
          <t>VÄRMLANDS LÄN</t>
        </is>
      </c>
      <c r="G387" t="inlineStr">
        <is>
          <t>ARVIKA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41440-2025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46222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10411-2025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45720</v>
      </c>
      <c r="E389" s="1" t="n">
        <v>46222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41434-2025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46222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45901</v>
      </c>
      <c r="E391" s="1" t="n">
        <v>46222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41651-2025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46222</v>
      </c>
      <c r="F392" t="inlineStr">
        <is>
          <t>VÄRMLANDS LÄN</t>
        </is>
      </c>
      <c r="G392" t="inlineStr">
        <is>
          <t>ARVIKA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61653-2023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46222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46222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46222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1329-2022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46222</v>
      </c>
      <c r="F396" t="inlineStr">
        <is>
          <t>VÄRMLANDS LÄN</t>
        </is>
      </c>
      <c r="G396" t="inlineStr">
        <is>
          <t>ARVIKA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42315-2025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46222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31372-2025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45833</v>
      </c>
      <c r="E398" s="1" t="n">
        <v>46222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31331-2025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45833</v>
      </c>
      <c r="E399" s="1" t="n">
        <v>46222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46222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31689-2025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46222</v>
      </c>
      <c r="F401" t="inlineStr">
        <is>
          <t>VÄRMLANDS LÄN</t>
        </is>
      </c>
      <c r="G401" t="inlineStr">
        <is>
          <t>ARVIKA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38009-2024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46222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11890-2025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46222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31415-2025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45833</v>
      </c>
      <c r="E404" s="1" t="n">
        <v>46222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31442-2025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45833</v>
      </c>
      <c r="E405" s="1" t="n">
        <v>46222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46222</v>
      </c>
      <c r="F406" t="inlineStr">
        <is>
          <t>VÄRMLANDS LÄN</t>
        </is>
      </c>
      <c r="G406" t="inlineStr">
        <is>
          <t>ARVIKA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42531-2025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46222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44901</v>
      </c>
      <c r="E408" s="1" t="n">
        <v>46222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30869-2024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45497</v>
      </c>
      <c r="E409" s="1" t="n">
        <v>46222</v>
      </c>
      <c r="F409" t="inlineStr">
        <is>
          <t>VÄRMLANDS LÄN</t>
        </is>
      </c>
      <c r="G409" t="inlineStr">
        <is>
          <t>ARVIKA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20345-2022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46222</v>
      </c>
      <c r="F410" t="inlineStr">
        <is>
          <t>VÄRMLANDS LÄN</t>
        </is>
      </c>
      <c r="G410" t="inlineStr">
        <is>
          <t>ARVIKA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31969-2025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46222</v>
      </c>
      <c r="F411" t="inlineStr">
        <is>
          <t>VÄRMLANDS LÄN</t>
        </is>
      </c>
      <c r="G411" t="inlineStr">
        <is>
          <t>ARVIKA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45838</v>
      </c>
      <c r="E412" s="1" t="n">
        <v>46222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46222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42942-2025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46222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46222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46222</v>
      </c>
      <c r="F416" t="inlineStr">
        <is>
          <t>VÄRMLANDS LÄN</t>
        </is>
      </c>
      <c r="G416" t="inlineStr">
        <is>
          <t>ARVIKA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45081-2023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46222</v>
      </c>
      <c r="F417" t="inlineStr">
        <is>
          <t>VÄRMLANDS LÄN</t>
        </is>
      </c>
      <c r="G417" t="inlineStr">
        <is>
          <t>ARVIKA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45681</v>
      </c>
      <c r="E418" s="1" t="n">
        <v>46222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42937-2025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46222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45911</v>
      </c>
      <c r="E420" s="1" t="n">
        <v>46222</v>
      </c>
      <c r="F420" t="inlineStr">
        <is>
          <t>VÄRMLANDS LÄN</t>
        </is>
      </c>
      <c r="G420" t="inlineStr">
        <is>
          <t>ARVIKA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46222</v>
      </c>
      <c r="F421" t="inlineStr">
        <is>
          <t>VÄRMLANDS LÄN</t>
        </is>
      </c>
      <c r="G421" t="inlineStr">
        <is>
          <t>ARVIKA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46222</v>
      </c>
      <c r="F422" t="inlineStr">
        <is>
          <t>VÄRMLANDS LÄN</t>
        </is>
      </c>
      <c r="G422" t="inlineStr">
        <is>
          <t>ARVIKA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13809-2023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45007</v>
      </c>
      <c r="E423" s="1" t="n">
        <v>46222</v>
      </c>
      <c r="F423" t="inlineStr">
        <is>
          <t>VÄRMLANDS LÄN</t>
        </is>
      </c>
      <c r="G423" t="inlineStr">
        <is>
          <t>ARVIKA</t>
        </is>
      </c>
      <c r="I423" t="n">
        <v>8.699999999999999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39597-2023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46222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43612-2025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46222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31952-2025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46222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24620-2024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46222</v>
      </c>
      <c r="F427" t="inlineStr">
        <is>
          <t>VÄRMLANDS LÄN</t>
        </is>
      </c>
      <c r="G427" t="inlineStr">
        <is>
          <t>ARVIKA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46222</v>
      </c>
      <c r="F428" t="inlineStr">
        <is>
          <t>VÄRMLANDS LÄN</t>
        </is>
      </c>
      <c r="G428" t="inlineStr">
        <is>
          <t>ARVIKA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43408-2025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46222</v>
      </c>
      <c r="F429" t="inlineStr">
        <is>
          <t>VÄRMLANDS LÄN</t>
        </is>
      </c>
      <c r="G429" t="inlineStr">
        <is>
          <t>ARVIKA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43410-2025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46222</v>
      </c>
      <c r="F430" t="inlineStr">
        <is>
          <t>VÄRMLANDS LÄN</t>
        </is>
      </c>
      <c r="G430" t="inlineStr">
        <is>
          <t>ARVIKA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43761-2025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46222</v>
      </c>
      <c r="F431" t="inlineStr">
        <is>
          <t>VÄRMLANDS LÄN</t>
        </is>
      </c>
      <c r="G431" t="inlineStr">
        <is>
          <t>ARVIKA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46222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44259-2025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46222</v>
      </c>
      <c r="F433" t="inlineStr">
        <is>
          <t>VÄRMLANDS LÄN</t>
        </is>
      </c>
      <c r="G433" t="inlineStr">
        <is>
          <t>ARVIKA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45935</v>
      </c>
      <c r="E434" s="1" t="n">
        <v>46222</v>
      </c>
      <c r="F434" t="inlineStr">
        <is>
          <t>VÄRMLANDS LÄN</t>
        </is>
      </c>
      <c r="G434" t="inlineStr">
        <is>
          <t>ARVIKA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29299-2024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45483</v>
      </c>
      <c r="E435" s="1" t="n">
        <v>46222</v>
      </c>
      <c r="F435" t="inlineStr">
        <is>
          <t>VÄRMLANDS LÄN</t>
        </is>
      </c>
      <c r="G435" t="inlineStr">
        <is>
          <t>ARVIKA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44472-2025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46222</v>
      </c>
      <c r="F436" t="inlineStr">
        <is>
          <t>VÄRMLANDS LÄN</t>
        </is>
      </c>
      <c r="G436" t="inlineStr">
        <is>
          <t>ARVIKA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46222</v>
      </c>
      <c r="F437" t="inlineStr">
        <is>
          <t>VÄRMLANDS LÄN</t>
        </is>
      </c>
      <c r="G437" t="inlineStr">
        <is>
          <t>ARVIKA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33575-2025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46222</v>
      </c>
      <c r="F438" t="inlineStr">
        <is>
          <t>VÄRMLANDS LÄN</t>
        </is>
      </c>
      <c r="G438" t="inlineStr">
        <is>
          <t>ARVIKA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46222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45684</v>
      </c>
      <c r="E440" s="1" t="n">
        <v>46222</v>
      </c>
      <c r="F440" t="inlineStr">
        <is>
          <t>VÄRMLANDS LÄN</t>
        </is>
      </c>
      <c r="G440" t="inlineStr">
        <is>
          <t>ARVIKA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42997-2023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46222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46222</v>
      </c>
      <c r="F442" t="inlineStr">
        <is>
          <t>VÄRMLANDS LÄN</t>
        </is>
      </c>
      <c r="G442" t="inlineStr">
        <is>
          <t>ARVIKA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44585-2025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46222</v>
      </c>
      <c r="F443" t="inlineStr">
        <is>
          <t>VÄRMLANDS LÄN</t>
        </is>
      </c>
      <c r="G443" t="inlineStr">
        <is>
          <t>ARVIKA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46222</v>
      </c>
      <c r="F444" t="inlineStr">
        <is>
          <t>VÄRMLANDS LÄN</t>
        </is>
      </c>
      <c r="G444" t="inlineStr">
        <is>
          <t>ARVIKA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51300-2024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46222</v>
      </c>
      <c r="F445" t="inlineStr">
        <is>
          <t>VÄRMLANDS LÄN</t>
        </is>
      </c>
      <c r="G445" t="inlineStr">
        <is>
          <t>ARVIKA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33521-2025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46222</v>
      </c>
      <c r="F446" t="inlineStr">
        <is>
          <t>VÄRMLANDS LÄN</t>
        </is>
      </c>
      <c r="G446" t="inlineStr">
        <is>
          <t>ARVIKA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46222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46222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45076-2025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45919</v>
      </c>
      <c r="E449" s="1" t="n">
        <v>46222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34316-2025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46222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46222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46222</v>
      </c>
      <c r="F452" t="inlineStr">
        <is>
          <t>VÄRMLANDS LÄN</t>
        </is>
      </c>
      <c r="G452" t="inlineStr">
        <is>
          <t>ARVIKA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34369-2025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46222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45313-2025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45921</v>
      </c>
      <c r="E454" s="1" t="n">
        <v>46222</v>
      </c>
      <c r="F454" t="inlineStr">
        <is>
          <t>VÄRMLANDS LÄN</t>
        </is>
      </c>
      <c r="G454" t="inlineStr">
        <is>
          <t>ARVIKA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46222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22041-2025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45785</v>
      </c>
      <c r="E456" s="1" t="n">
        <v>46222</v>
      </c>
      <c r="F456" t="inlineStr">
        <is>
          <t>VÄRMLANDS LÄN</t>
        </is>
      </c>
      <c r="G456" t="inlineStr">
        <is>
          <t>ARVIKA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45422</v>
      </c>
      <c r="E457" s="1" t="n">
        <v>46222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51815-2024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45607</v>
      </c>
      <c r="E458" s="1" t="n">
        <v>46222</v>
      </c>
      <c r="F458" t="inlineStr">
        <is>
          <t>VÄRMLANDS LÄN</t>
        </is>
      </c>
      <c r="G458" t="inlineStr">
        <is>
          <t>ARVIKA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45680</v>
      </c>
      <c r="E459" s="1" t="n">
        <v>46222</v>
      </c>
      <c r="F459" t="inlineStr">
        <is>
          <t>VÄRMLANDS LÄN</t>
        </is>
      </c>
      <c r="G459" t="inlineStr">
        <is>
          <t>ARVIKA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7583-2024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46222</v>
      </c>
      <c r="F460" t="inlineStr">
        <is>
          <t>VÄRMLANDS LÄN</t>
        </is>
      </c>
      <c r="G460" t="inlineStr">
        <is>
          <t>ARVIKA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45926</v>
      </c>
      <c r="E461" s="1" t="n">
        <v>46222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46222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46685-2025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46222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60607-2022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44906</v>
      </c>
      <c r="E464" s="1" t="n">
        <v>46222</v>
      </c>
      <c r="F464" t="inlineStr">
        <is>
          <t>VÄRMLANDS LÄN</t>
        </is>
      </c>
      <c r="G464" t="inlineStr">
        <is>
          <t>ARVIKA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46222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46222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29615-2025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45825</v>
      </c>
      <c r="E467" s="1" t="n">
        <v>46222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46611-2025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46222</v>
      </c>
      <c r="F468" t="inlineStr">
        <is>
          <t>VÄRMLANDS LÄN</t>
        </is>
      </c>
      <c r="G468" t="inlineStr">
        <is>
          <t>ARVIKA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47187-2025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46222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47024-2025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46222</v>
      </c>
      <c r="F470" t="inlineStr">
        <is>
          <t>VÄRMLANDS LÄN</t>
        </is>
      </c>
      <c r="G470" t="inlineStr">
        <is>
          <t>ARVIKA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35342-2025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45854</v>
      </c>
      <c r="E471" s="1" t="n">
        <v>46222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35395-2025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45855</v>
      </c>
      <c r="E472" s="1" t="n">
        <v>46222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35571-2025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46222</v>
      </c>
      <c r="F473" t="inlineStr">
        <is>
          <t>VÄRMLANDS LÄN</t>
        </is>
      </c>
      <c r="G473" t="inlineStr">
        <is>
          <t>ARVIKA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66226-2021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44518</v>
      </c>
      <c r="E474" s="1" t="n">
        <v>46222</v>
      </c>
      <c r="F474" t="inlineStr">
        <is>
          <t>VÄRMLANDS LÄN</t>
        </is>
      </c>
      <c r="G474" t="inlineStr">
        <is>
          <t>ARVIKA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37144-2024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46222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46222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46222</v>
      </c>
      <c r="F477" t="inlineStr">
        <is>
          <t>VÄRMLANDS LÄN</t>
        </is>
      </c>
      <c r="G477" t="inlineStr">
        <is>
          <t>ARVIKA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46889-2025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46222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46222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45971-2024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45580</v>
      </c>
      <c r="E480" s="1" t="n">
        <v>46222</v>
      </c>
      <c r="F480" t="inlineStr">
        <is>
          <t>VÄRMLANDS LÄN</t>
        </is>
      </c>
      <c r="G480" t="inlineStr">
        <is>
          <t>ARVIKA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45027</v>
      </c>
      <c r="E481" s="1" t="n">
        <v>46222</v>
      </c>
      <c r="F481" t="inlineStr">
        <is>
          <t>VÄRMLANDS LÄN</t>
        </is>
      </c>
      <c r="G481" t="inlineStr">
        <is>
          <t>ARVIKA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45859</v>
      </c>
      <c r="E482" s="1" t="n">
        <v>46222</v>
      </c>
      <c r="F482" t="inlineStr">
        <is>
          <t>VÄRMLANDS LÄN</t>
        </is>
      </c>
      <c r="G482" t="inlineStr">
        <is>
          <t>ARVIKA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47524-2025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45931</v>
      </c>
      <c r="E483" s="1" t="n">
        <v>46222</v>
      </c>
      <c r="F483" t="inlineStr">
        <is>
          <t>VÄRMLANDS LÄN</t>
        </is>
      </c>
      <c r="G483" t="inlineStr">
        <is>
          <t>ARVIKA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46222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48064-2025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46222</v>
      </c>
      <c r="F485" t="inlineStr">
        <is>
          <t>VÄRMLANDS LÄN</t>
        </is>
      </c>
      <c r="G485" t="inlineStr">
        <is>
          <t>ARVIKA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48075-2025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46222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35818-2025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45861</v>
      </c>
      <c r="E487" s="1" t="n">
        <v>46222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46222</v>
      </c>
      <c r="F488" t="inlineStr">
        <is>
          <t>VÄRMLANDS LÄN</t>
        </is>
      </c>
      <c r="G488" t="inlineStr">
        <is>
          <t>ARVIKA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53184-2024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46222</v>
      </c>
      <c r="F489" t="inlineStr">
        <is>
          <t>VÄRMLANDS LÄN</t>
        </is>
      </c>
      <c r="G489" t="inlineStr">
        <is>
          <t>ARVIKA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44432-2021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44435</v>
      </c>
      <c r="E490" s="1" t="n">
        <v>46222</v>
      </c>
      <c r="F490" t="inlineStr">
        <is>
          <t>VÄRMLANDS LÄN</t>
        </is>
      </c>
      <c r="G490" t="inlineStr">
        <is>
          <t>ARVIKA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36042-2025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45866</v>
      </c>
      <c r="E491" s="1" t="n">
        <v>46222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40011-2022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46222</v>
      </c>
      <c r="F492" t="inlineStr">
        <is>
          <t>VÄRMLANDS LÄN</t>
        </is>
      </c>
      <c r="G492" t="inlineStr">
        <is>
          <t>ARVIKA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6803-2026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46222</v>
      </c>
      <c r="F493" t="inlineStr">
        <is>
          <t>VÄRMLANDS LÄN</t>
        </is>
      </c>
      <c r="G493" t="inlineStr">
        <is>
          <t>ARVIKA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3974-2023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46222</v>
      </c>
      <c r="F494" t="inlineStr">
        <is>
          <t>VÄRMLANDS LÄN</t>
        </is>
      </c>
      <c r="G494" t="inlineStr">
        <is>
          <t>ARVIKA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46222</v>
      </c>
      <c r="F495" t="inlineStr">
        <is>
          <t>VÄRMLANDS LÄN</t>
        </is>
      </c>
      <c r="G495" t="inlineStr">
        <is>
          <t>ARVIKA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7431-2026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46222</v>
      </c>
      <c r="F496" t="inlineStr">
        <is>
          <t>VÄRMLANDS LÄN</t>
        </is>
      </c>
      <c r="G496" t="inlineStr">
        <is>
          <t>ARVIKA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45935</v>
      </c>
      <c r="E497" s="1" t="n">
        <v>46222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27712-2025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45813</v>
      </c>
      <c r="E498" s="1" t="n">
        <v>46222</v>
      </c>
      <c r="F498" t="inlineStr">
        <is>
          <t>VÄRMLANDS LÄN</t>
        </is>
      </c>
      <c r="G498" t="inlineStr">
        <is>
          <t>ARVIKA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17142-2025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45755</v>
      </c>
      <c r="E499" s="1" t="n">
        <v>46222</v>
      </c>
      <c r="F499" t="inlineStr">
        <is>
          <t>VÄRMLANDS LÄN</t>
        </is>
      </c>
      <c r="G499" t="inlineStr">
        <is>
          <t>ARVIKA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7855-2023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46222</v>
      </c>
      <c r="F500" t="inlineStr">
        <is>
          <t>VÄRMLANDS LÄN</t>
        </is>
      </c>
      <c r="G500" t="inlineStr">
        <is>
          <t>ARVIKA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46222</v>
      </c>
      <c r="F501" t="inlineStr">
        <is>
          <t>VÄRMLANDS LÄN</t>
        </is>
      </c>
      <c r="G501" t="inlineStr">
        <is>
          <t>ARVIKA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62619-2022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44917</v>
      </c>
      <c r="E502" s="1" t="n">
        <v>46222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46222</v>
      </c>
      <c r="F503" t="inlineStr">
        <is>
          <t>VÄRMLANDS LÄN</t>
        </is>
      </c>
      <c r="G503" t="inlineStr">
        <is>
          <t>ARVIKA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61203-2024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46222</v>
      </c>
      <c r="F504" t="inlineStr">
        <is>
          <t>VÄRMLANDS LÄN</t>
        </is>
      </c>
      <c r="G504" t="inlineStr">
        <is>
          <t>ARVIKA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48320-2025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46222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45296-2023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46222</v>
      </c>
      <c r="F506" t="inlineStr">
        <is>
          <t>VÄRMLANDS LÄN</t>
        </is>
      </c>
      <c r="G506" t="inlineStr">
        <is>
          <t>ARVIKA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45298-2023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46222</v>
      </c>
      <c r="F507" t="inlineStr">
        <is>
          <t>VÄRMLANDS LÄN</t>
        </is>
      </c>
      <c r="G507" t="inlineStr">
        <is>
          <t>ARVIKA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23660-2023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45077</v>
      </c>
      <c r="E508" s="1" t="n">
        <v>46222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11091-2023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46222</v>
      </c>
      <c r="F509" t="inlineStr">
        <is>
          <t>VÄRMLANDS LÄN</t>
        </is>
      </c>
      <c r="G509" t="inlineStr">
        <is>
          <t>ARVIKA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36431-2025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45869</v>
      </c>
      <c r="E510" s="1" t="n">
        <v>46222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36466-2025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45869</v>
      </c>
      <c r="E511" s="1" t="n">
        <v>46222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45936</v>
      </c>
      <c r="E512" s="1" t="n">
        <v>46222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58062-2024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46222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36655-2025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46222</v>
      </c>
      <c r="F514" t="inlineStr">
        <is>
          <t>VÄRMLANDS LÄN</t>
        </is>
      </c>
      <c r="G514" t="inlineStr">
        <is>
          <t>ARVIKA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32869-2023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46222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36654-2025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46222</v>
      </c>
      <c r="F516" t="inlineStr">
        <is>
          <t>VÄRMLANDS LÄN</t>
        </is>
      </c>
      <c r="G516" t="inlineStr">
        <is>
          <t>ARVIKA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45036</v>
      </c>
      <c r="E517" s="1" t="n">
        <v>46222</v>
      </c>
      <c r="F517" t="inlineStr">
        <is>
          <t>VÄRMLANDS LÄN</t>
        </is>
      </c>
      <c r="G517" t="inlineStr">
        <is>
          <t>ARVIKA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36852-2025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45874</v>
      </c>
      <c r="E518" s="1" t="n">
        <v>46222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14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45940</v>
      </c>
      <c r="E519" s="1" t="n">
        <v>46222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49735-2025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45940</v>
      </c>
      <c r="E520" s="1" t="n">
        <v>46222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51400-2022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44869</v>
      </c>
      <c r="E521" s="1" t="n">
        <v>46222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13074-2023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46222</v>
      </c>
      <c r="F522" t="inlineStr">
        <is>
          <t>VÄRMLANDS LÄN</t>
        </is>
      </c>
      <c r="G522" t="inlineStr">
        <is>
          <t>ARVIKA</t>
        </is>
      </c>
      <c r="I522" t="n">
        <v>21.1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7686-2023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44972</v>
      </c>
      <c r="E523" s="1" t="n">
        <v>46222</v>
      </c>
      <c r="F523" t="inlineStr">
        <is>
          <t>VÄRMLANDS LÄN</t>
        </is>
      </c>
      <c r="G523" t="inlineStr">
        <is>
          <t>ARVIKA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49587-2025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45939</v>
      </c>
      <c r="E524" s="1" t="n">
        <v>46222</v>
      </c>
      <c r="F524" t="inlineStr">
        <is>
          <t>VÄRMLANDS LÄN</t>
        </is>
      </c>
      <c r="G524" t="inlineStr">
        <is>
          <t>ARVIKA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46222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49738-2025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45940</v>
      </c>
      <c r="E526" s="1" t="n">
        <v>46222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7685-2023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44972</v>
      </c>
      <c r="E527" s="1" t="n">
        <v>46222</v>
      </c>
      <c r="F527" t="inlineStr">
        <is>
          <t>VÄRMLANDS LÄN</t>
        </is>
      </c>
      <c r="G527" t="inlineStr">
        <is>
          <t>ARVIKA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37029-2025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46222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7438-2026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46222</v>
      </c>
      <c r="F529" t="inlineStr">
        <is>
          <t>VÄRMLANDS LÄN</t>
        </is>
      </c>
      <c r="G529" t="inlineStr">
        <is>
          <t>ARVIKA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37030-2025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45874</v>
      </c>
      <c r="E530" s="1" t="n">
        <v>46222</v>
      </c>
      <c r="F530" t="inlineStr">
        <is>
          <t>VÄRMLANDS LÄN</t>
        </is>
      </c>
      <c r="G530" t="inlineStr">
        <is>
          <t>ARVIKA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37031-2025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45874</v>
      </c>
      <c r="E531" s="1" t="n">
        <v>46222</v>
      </c>
      <c r="F531" t="inlineStr">
        <is>
          <t>VÄRMLANDS LÄN</t>
        </is>
      </c>
      <c r="G531" t="inlineStr">
        <is>
          <t>ARVIKA</t>
        </is>
      </c>
      <c r="I531" t="n">
        <v>12.4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49296-2025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46222</v>
      </c>
      <c r="F532" t="inlineStr">
        <is>
          <t>VÄRMLANDS LÄN</t>
        </is>
      </c>
      <c r="G532" t="inlineStr">
        <is>
          <t>ARVIKA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52943-2024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46222</v>
      </c>
      <c r="F533" t="inlineStr">
        <is>
          <t>VÄRMLANDS LÄN</t>
        </is>
      </c>
      <c r="G533" t="inlineStr">
        <is>
          <t>ARVIKA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46222</v>
      </c>
      <c r="F534" t="inlineStr">
        <is>
          <t>VÄRMLANDS LÄN</t>
        </is>
      </c>
      <c r="G534" t="inlineStr">
        <is>
          <t>ARVIKA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45663</v>
      </c>
      <c r="E535" s="1" t="n">
        <v>46222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6981-2026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46222</v>
      </c>
      <c r="F536" t="inlineStr">
        <is>
          <t>VÄRMLANDS LÄN</t>
        </is>
      </c>
      <c r="G536" t="inlineStr">
        <is>
          <t>ARVIKA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50247-2025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46222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37399-2025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45877</v>
      </c>
      <c r="E538" s="1" t="n">
        <v>46222</v>
      </c>
      <c r="F538" t="inlineStr">
        <is>
          <t>VÄRMLANDS LÄN</t>
        </is>
      </c>
      <c r="G538" t="inlineStr">
        <is>
          <t>ARVIKA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46171-2023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46222</v>
      </c>
      <c r="F539" t="inlineStr">
        <is>
          <t>VÄRMLANDS LÄN</t>
        </is>
      </c>
      <c r="G539" t="inlineStr">
        <is>
          <t>ARVIKA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26722-2023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45093</v>
      </c>
      <c r="E540" s="1" t="n">
        <v>46222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26728-2023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46222</v>
      </c>
      <c r="F541" t="inlineStr">
        <is>
          <t>VÄRMLANDS LÄN</t>
        </is>
      </c>
      <c r="G541" t="inlineStr">
        <is>
          <t>ARVIKA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45659</v>
      </c>
      <c r="E542" s="1" t="n">
        <v>46222</v>
      </c>
      <c r="F542" t="inlineStr">
        <is>
          <t>VÄRMLANDS LÄN</t>
        </is>
      </c>
      <c r="G542" t="inlineStr">
        <is>
          <t>ARVIKA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18269-2025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45762</v>
      </c>
      <c r="E543" s="1" t="n">
        <v>46222</v>
      </c>
      <c r="F543" t="inlineStr">
        <is>
          <t>VÄRMLANDS LÄN</t>
        </is>
      </c>
      <c r="G543" t="inlineStr">
        <is>
          <t>ARVIKA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29067-2022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44750</v>
      </c>
      <c r="E544" s="1" t="n">
        <v>46222</v>
      </c>
      <c r="F544" t="inlineStr">
        <is>
          <t>VÄRMLANDS LÄN</t>
        </is>
      </c>
      <c r="G544" t="inlineStr">
        <is>
          <t>ARVIKA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13399-2022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46222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45740-2021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44435</v>
      </c>
      <c r="E546" s="1" t="n">
        <v>46222</v>
      </c>
      <c r="F546" t="inlineStr">
        <is>
          <t>VÄRMLANDS LÄN</t>
        </is>
      </c>
      <c r="G546" t="inlineStr">
        <is>
          <t>ARVIKA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37836-2025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45881</v>
      </c>
      <c r="E547" s="1" t="n">
        <v>46222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50451-2025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45945</v>
      </c>
      <c r="E548" s="1" t="n">
        <v>46222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38141-2025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46222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46222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14772-2023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45014</v>
      </c>
      <c r="E551" s="1" t="n">
        <v>46222</v>
      </c>
      <c r="F551" t="inlineStr">
        <is>
          <t>VÄRMLANDS LÄN</t>
        </is>
      </c>
      <c r="G551" t="inlineStr">
        <is>
          <t>ARVIKA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58066-2024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45631</v>
      </c>
      <c r="E552" s="1" t="n">
        <v>46222</v>
      </c>
      <c r="F552" t="inlineStr">
        <is>
          <t>VÄRMLANDS LÄN</t>
        </is>
      </c>
      <c r="G552" t="inlineStr">
        <is>
          <t>ARVIKA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45587</v>
      </c>
      <c r="E553" s="1" t="n">
        <v>46222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38140-2025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45882</v>
      </c>
      <c r="E554" s="1" t="n">
        <v>46222</v>
      </c>
      <c r="F554" t="inlineStr">
        <is>
          <t>VÄRMLANDS LÄN</t>
        </is>
      </c>
      <c r="G554" t="inlineStr">
        <is>
          <t>ARVIKA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46222</v>
      </c>
      <c r="F555" t="inlineStr">
        <is>
          <t>VÄRMLANDS LÄN</t>
        </is>
      </c>
      <c r="G555" t="inlineStr">
        <is>
          <t>ARVIKA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33187-2022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44785</v>
      </c>
      <c r="E556" s="1" t="n">
        <v>46222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46222</v>
      </c>
      <c r="F557" t="inlineStr">
        <is>
          <t>VÄRMLANDS LÄN</t>
        </is>
      </c>
      <c r="G557" t="inlineStr">
        <is>
          <t>ARVIKA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58133-2022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44900</v>
      </c>
      <c r="E558" s="1" t="n">
        <v>46222</v>
      </c>
      <c r="F558" t="inlineStr">
        <is>
          <t>VÄRMLANDS LÄN</t>
        </is>
      </c>
      <c r="G558" t="inlineStr">
        <is>
          <t>ARVIKA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51364-2025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46222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45947</v>
      </c>
      <c r="E560" s="1" t="n">
        <v>46222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51358-2025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46222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54155-2024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46222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45947</v>
      </c>
      <c r="E563" s="1" t="n">
        <v>46222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38674-2025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45884</v>
      </c>
      <c r="E564" s="1" t="n">
        <v>46222</v>
      </c>
      <c r="F564" t="inlineStr">
        <is>
          <t>VÄRMLANDS LÄN</t>
        </is>
      </c>
      <c r="G564" t="inlineStr">
        <is>
          <t>ARVIKA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35969-2022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44802</v>
      </c>
      <c r="E565" s="1" t="n">
        <v>46222</v>
      </c>
      <c r="F565" t="inlineStr">
        <is>
          <t>VÄRMLANDS LÄN</t>
        </is>
      </c>
      <c r="G565" t="inlineStr">
        <is>
          <t>ARVIKA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51278-2025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45950</v>
      </c>
      <c r="E566" s="1" t="n">
        <v>46222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46222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6978-2025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46222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51781-2025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45951</v>
      </c>
      <c r="E569" s="1" t="n">
        <v>46222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50380-2025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46222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46222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46222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6961-2026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46222</v>
      </c>
      <c r="F573" t="inlineStr">
        <is>
          <t>VÄRMLANDS LÄN</t>
        </is>
      </c>
      <c r="G573" t="inlineStr">
        <is>
          <t>ARVIKA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13341-2023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45005</v>
      </c>
      <c r="E574" s="1" t="n">
        <v>46222</v>
      </c>
      <c r="F574" t="inlineStr">
        <is>
          <t>VÄRMLANDS LÄN</t>
        </is>
      </c>
      <c r="G574" t="inlineStr">
        <is>
          <t>ARVIKA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6486-2026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46222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51917-2025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45952</v>
      </c>
      <c r="E576" s="1" t="n">
        <v>46222</v>
      </c>
      <c r="F576" t="inlineStr">
        <is>
          <t>VÄRMLANDS LÄN</t>
        </is>
      </c>
      <c r="G576" t="inlineStr">
        <is>
          <t>ARVIKA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26090-2022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44734</v>
      </c>
      <c r="E577" s="1" t="n">
        <v>46222</v>
      </c>
      <c r="F577" t="inlineStr">
        <is>
          <t>VÄRMLANDS LÄN</t>
        </is>
      </c>
      <c r="G577" t="inlineStr">
        <is>
          <t>ARVIKA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46222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21851-2023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45068</v>
      </c>
      <c r="E579" s="1" t="n">
        <v>46222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52505-2025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45954</v>
      </c>
      <c r="E580" s="1" t="n">
        <v>46222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32009-2022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44778</v>
      </c>
      <c r="E581" s="1" t="n">
        <v>46222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23358-2023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45076</v>
      </c>
      <c r="E582" s="1" t="n">
        <v>46222</v>
      </c>
      <c r="F582" t="inlineStr">
        <is>
          <t>VÄRMLANDS LÄN</t>
        </is>
      </c>
      <c r="G582" t="inlineStr">
        <is>
          <t>ARVIKA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45659</v>
      </c>
      <c r="E583" s="1" t="n">
        <v>46222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38643-2025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46222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23072-2022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44718</v>
      </c>
      <c r="E585" s="1" t="n">
        <v>46222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52705-2025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45957</v>
      </c>
      <c r="E586" s="1" t="n">
        <v>46222</v>
      </c>
      <c r="F586" t="inlineStr">
        <is>
          <t>VÄRMLANDS LÄN</t>
        </is>
      </c>
      <c r="G586" t="inlineStr">
        <is>
          <t>ARVIKA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52708-2025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46222</v>
      </c>
      <c r="F587" t="inlineStr">
        <is>
          <t>VÄRMLANDS LÄN</t>
        </is>
      </c>
      <c r="G587" t="inlineStr">
        <is>
          <t>ARVIKA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28411-2024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45477</v>
      </c>
      <c r="E588" s="1" t="n">
        <v>46222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53430-2025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45959</v>
      </c>
      <c r="E589" s="1" t="n">
        <v>46222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69354-2021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44531</v>
      </c>
      <c r="E590" s="1" t="n">
        <v>46222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44005-2023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45188</v>
      </c>
      <c r="E591" s="1" t="n">
        <v>46222</v>
      </c>
      <c r="F591" t="inlineStr">
        <is>
          <t>VÄRMLANDS LÄN</t>
        </is>
      </c>
      <c r="G591" t="inlineStr">
        <is>
          <t>ARVIKA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53488-2025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45960</v>
      </c>
      <c r="E592" s="1" t="n">
        <v>46222</v>
      </c>
      <c r="F592" t="inlineStr">
        <is>
          <t>VÄRMLANDS LÄN</t>
        </is>
      </c>
      <c r="G592" t="inlineStr">
        <is>
          <t>ARVIKA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46222</v>
      </c>
      <c r="F593" t="inlineStr">
        <is>
          <t>VÄRMLANDS LÄN</t>
        </is>
      </c>
      <c r="G593" t="inlineStr">
        <is>
          <t>ARVIKA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44922</v>
      </c>
      <c r="E594" s="1" t="n">
        <v>46222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42314-2021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44427</v>
      </c>
      <c r="E595" s="1" t="n">
        <v>46222</v>
      </c>
      <c r="F595" t="inlineStr">
        <is>
          <t>VÄRMLANDS LÄN</t>
        </is>
      </c>
      <c r="G595" t="inlineStr">
        <is>
          <t>ARVIKA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61864-2024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45650</v>
      </c>
      <c r="E596" s="1" t="n">
        <v>46222</v>
      </c>
      <c r="F596" t="inlineStr">
        <is>
          <t>VÄRMLANDS LÄN</t>
        </is>
      </c>
      <c r="G596" t="inlineStr">
        <is>
          <t>ARVIKA</t>
        </is>
      </c>
      <c r="I596" t="n">
        <v>13.3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62600-2022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44917</v>
      </c>
      <c r="E597" s="1" t="n">
        <v>46222</v>
      </c>
      <c r="F597" t="inlineStr">
        <is>
          <t>VÄRMLANDS LÄN</t>
        </is>
      </c>
      <c r="G597" t="inlineStr">
        <is>
          <t>ARVIKA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32176-2022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44780</v>
      </c>
      <c r="E598" s="1" t="n">
        <v>46222</v>
      </c>
      <c r="F598" t="inlineStr">
        <is>
          <t>VÄRMLANDS LÄN</t>
        </is>
      </c>
      <c r="G598" t="inlineStr">
        <is>
          <t>ARVIKA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45961</v>
      </c>
      <c r="E599" s="1" t="n">
        <v>46222</v>
      </c>
      <c r="F599" t="inlineStr">
        <is>
          <t>VÄRMLANDS LÄN</t>
        </is>
      </c>
      <c r="G599" t="inlineStr">
        <is>
          <t>ARVIKA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25400-2023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46222</v>
      </c>
      <c r="F600" t="inlineStr">
        <is>
          <t>VÄRMLANDS LÄN</t>
        </is>
      </c>
      <c r="G600" t="inlineStr">
        <is>
          <t>ARVIKA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46222</v>
      </c>
      <c r="F601" t="inlineStr">
        <is>
          <t>VÄRMLANDS LÄN</t>
        </is>
      </c>
      <c r="G601" t="inlineStr">
        <is>
          <t>ARVIKA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54029-2025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45962</v>
      </c>
      <c r="E602" s="1" t="n">
        <v>46222</v>
      </c>
      <c r="F602" t="inlineStr">
        <is>
          <t>VÄRMLANDS LÄN</t>
        </is>
      </c>
      <c r="G602" t="inlineStr">
        <is>
          <t>ARVIKA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46222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9743-2026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46222</v>
      </c>
      <c r="F604" t="inlineStr">
        <is>
          <t>VÄRMLANDS LÄN</t>
        </is>
      </c>
      <c r="G604" t="inlineStr">
        <is>
          <t>ARVIKA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54028-2025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45962</v>
      </c>
      <c r="E605" s="1" t="n">
        <v>46222</v>
      </c>
      <c r="F605" t="inlineStr">
        <is>
          <t>VÄRMLANDS LÄN</t>
        </is>
      </c>
      <c r="G605" t="inlineStr">
        <is>
          <t>ARVIKA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53954-2025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46222</v>
      </c>
      <c r="F606" t="inlineStr">
        <is>
          <t>VÄRMLANDS LÄN</t>
        </is>
      </c>
      <c r="G606" t="inlineStr">
        <is>
          <t>ARVIKA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10102-2026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46222</v>
      </c>
      <c r="F607" t="inlineStr">
        <is>
          <t>VÄRMLANDS LÄN</t>
        </is>
      </c>
      <c r="G607" t="inlineStr">
        <is>
          <t>ARVIKA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10103-2026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46222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54675-2025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46222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9789-2026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46222</v>
      </c>
      <c r="F610" t="inlineStr">
        <is>
          <t>VÄRMLANDS LÄN</t>
        </is>
      </c>
      <c r="G610" t="inlineStr">
        <is>
          <t>ARVIKA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46073</v>
      </c>
      <c r="E611" s="1" t="n">
        <v>46222</v>
      </c>
      <c r="F611" t="inlineStr">
        <is>
          <t>VÄRMLANDS LÄN</t>
        </is>
      </c>
      <c r="G611" t="inlineStr">
        <is>
          <t>ARVIKA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10104-2026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46222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56714-2022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46222</v>
      </c>
      <c r="F613" t="inlineStr">
        <is>
          <t>VÄRMLANDS LÄN</t>
        </is>
      </c>
      <c r="G613" t="inlineStr">
        <is>
          <t>ARVIKA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54678-2025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45966</v>
      </c>
      <c r="E614" s="1" t="n">
        <v>46222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54683-2025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45966</v>
      </c>
      <c r="E615" s="1" t="n">
        <v>46222</v>
      </c>
      <c r="F615" t="inlineStr">
        <is>
          <t>VÄRMLANDS LÄN</t>
        </is>
      </c>
      <c r="G615" t="inlineStr">
        <is>
          <t>ARVIKA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45966</v>
      </c>
      <c r="E616" s="1" t="n">
        <v>46222</v>
      </c>
      <c r="F616" t="inlineStr">
        <is>
          <t>VÄRMLANDS LÄN</t>
        </is>
      </c>
      <c r="G616" t="inlineStr">
        <is>
          <t>ARVIKA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14626-2025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46222</v>
      </c>
      <c r="F617" t="inlineStr">
        <is>
          <t>VÄRMLANDS LÄN</t>
        </is>
      </c>
      <c r="G617" t="inlineStr">
        <is>
          <t>ARVIKA</t>
        </is>
      </c>
      <c r="I617" t="n">
        <v>14.9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19586-2025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45770</v>
      </c>
      <c r="E618" s="1" t="n">
        <v>46222</v>
      </c>
      <c r="F618" t="inlineStr">
        <is>
          <t>VÄRMLANDS LÄN</t>
        </is>
      </c>
      <c r="G618" t="inlineStr">
        <is>
          <t>ARVIKA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19591-2025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45770</v>
      </c>
      <c r="E619" s="1" t="n">
        <v>46222</v>
      </c>
      <c r="F619" t="inlineStr">
        <is>
          <t>VÄRMLANDS LÄN</t>
        </is>
      </c>
      <c r="G619" t="inlineStr">
        <is>
          <t>ARVIKA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20319-2025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45775</v>
      </c>
      <c r="E620" s="1" t="n">
        <v>46222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10098-2026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46222</v>
      </c>
      <c r="F621" t="inlineStr">
        <is>
          <t>VÄRMLANDS LÄN</t>
        </is>
      </c>
      <c r="G621" t="inlineStr">
        <is>
          <t>ARVIKA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46073</v>
      </c>
      <c r="E622" s="1" t="n">
        <v>46222</v>
      </c>
      <c r="F622" t="inlineStr">
        <is>
          <t>VÄRMLANDS LÄN</t>
        </is>
      </c>
      <c r="G622" t="inlineStr">
        <is>
          <t>ARVIKA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10603-2026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46077</v>
      </c>
      <c r="E623" s="1" t="n">
        <v>46222</v>
      </c>
      <c r="F623" t="inlineStr">
        <is>
          <t>VÄRMLANDS LÄN</t>
        </is>
      </c>
      <c r="G623" t="inlineStr">
        <is>
          <t>ARVIKA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29301-2024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46222</v>
      </c>
      <c r="F624" t="inlineStr">
        <is>
          <t>VÄRMLANDS LÄN</t>
        </is>
      </c>
      <c r="G624" t="inlineStr">
        <is>
          <t>ARVIKA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46222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18238-2025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45761</v>
      </c>
      <c r="E626" s="1" t="n">
        <v>46222</v>
      </c>
      <c r="F626" t="inlineStr">
        <is>
          <t>VÄRMLANDS LÄN</t>
        </is>
      </c>
      <c r="G626" t="inlineStr">
        <is>
          <t>ARVIKA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4466-2025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45686</v>
      </c>
      <c r="E627" s="1" t="n">
        <v>46222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21464-2023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46222</v>
      </c>
      <c r="F628" t="inlineStr">
        <is>
          <t>VÄRMLANDS LÄN</t>
        </is>
      </c>
      <c r="G628" t="inlineStr">
        <is>
          <t>ARVIKA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37854-2023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45158</v>
      </c>
      <c r="E629" s="1" t="n">
        <v>46222</v>
      </c>
      <c r="F629" t="inlineStr">
        <is>
          <t>VÄRMLANDS LÄN</t>
        </is>
      </c>
      <c r="G629" t="inlineStr">
        <is>
          <t>ARVIKA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11190-2026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46222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56746-2025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46222</v>
      </c>
      <c r="F631" t="inlineStr">
        <is>
          <t>VÄRMLANDS LÄN</t>
        </is>
      </c>
      <c r="G631" t="inlineStr">
        <is>
          <t>ARVIKA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47041-2024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45586</v>
      </c>
      <c r="E632" s="1" t="n">
        <v>46222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53962-2025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46222</v>
      </c>
      <c r="F633" t="inlineStr">
        <is>
          <t>VÄRMLANDS LÄN</t>
        </is>
      </c>
      <c r="G633" t="inlineStr">
        <is>
          <t>ARVIKA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13188-2023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45002</v>
      </c>
      <c r="E634" s="1" t="n">
        <v>46222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11435-2026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46083</v>
      </c>
      <c r="E635" s="1" t="n">
        <v>46222</v>
      </c>
      <c r="F635" t="inlineStr">
        <is>
          <t>VÄRMLANDS LÄN</t>
        </is>
      </c>
      <c r="G635" t="inlineStr">
        <is>
          <t>ARVIKA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11377-2026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46083</v>
      </c>
      <c r="E636" s="1" t="n">
        <v>46222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11539-2026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46083</v>
      </c>
      <c r="E637" s="1" t="n">
        <v>46222</v>
      </c>
      <c r="F637" t="inlineStr">
        <is>
          <t>VÄRMLANDS LÄN</t>
        </is>
      </c>
      <c r="G637" t="inlineStr">
        <is>
          <t>ARVIKA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57485-2025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46222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18501-2026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46127</v>
      </c>
      <c r="E639" s="1" t="n">
        <v>46222</v>
      </c>
      <c r="F639" t="inlineStr">
        <is>
          <t>VÄRMLANDS LÄN</t>
        </is>
      </c>
      <c r="G639" t="inlineStr">
        <is>
          <t>ARVIKA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11713-2023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44994</v>
      </c>
      <c r="E640" s="1" t="n">
        <v>46222</v>
      </c>
      <c r="F640" t="inlineStr">
        <is>
          <t>VÄRMLANDS LÄN</t>
        </is>
      </c>
      <c r="G640" t="inlineStr">
        <is>
          <t>ARVIKA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58135-2025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45982</v>
      </c>
      <c r="E641" s="1" t="n">
        <v>46222</v>
      </c>
      <c r="F641" t="inlineStr">
        <is>
          <t>VÄRMLANDS LÄN</t>
        </is>
      </c>
      <c r="G641" t="inlineStr">
        <is>
          <t>ARVIKA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58039-2025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46222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46222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57918-2025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45981</v>
      </c>
      <c r="E644" s="1" t="n">
        <v>46222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62603-2022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44917</v>
      </c>
      <c r="E645" s="1" t="n">
        <v>46222</v>
      </c>
      <c r="F645" t="inlineStr">
        <is>
          <t>VÄRMLANDS LÄN</t>
        </is>
      </c>
      <c r="G645" t="inlineStr">
        <is>
          <t>ARVIKA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62614-2022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46222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62624-2022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46222</v>
      </c>
      <c r="F647" t="inlineStr">
        <is>
          <t>VÄRMLANDS LÄN</t>
        </is>
      </c>
      <c r="G647" t="inlineStr">
        <is>
          <t>ARVIKA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14467-2023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45012</v>
      </c>
      <c r="E648" s="1" t="n">
        <v>46222</v>
      </c>
      <c r="F648" t="inlineStr">
        <is>
          <t>VÄRMLANDS LÄN</t>
        </is>
      </c>
      <c r="G648" t="inlineStr">
        <is>
          <t>ARVIKA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57952-2025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46222</v>
      </c>
      <c r="F649" t="inlineStr">
        <is>
          <t>VÄRMLANDS LÄN</t>
        </is>
      </c>
      <c r="G649" t="inlineStr">
        <is>
          <t>ARVIKA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12331-2026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46222</v>
      </c>
      <c r="F650" t="inlineStr">
        <is>
          <t>VÄRMLANDS LÄN</t>
        </is>
      </c>
      <c r="G650" t="inlineStr">
        <is>
          <t>ARVIKA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49744-2021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44455</v>
      </c>
      <c r="E651" s="1" t="n">
        <v>46222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46222</v>
      </c>
      <c r="F652" t="inlineStr">
        <is>
          <t>VÄRMLANDS LÄN</t>
        </is>
      </c>
      <c r="G652" t="inlineStr">
        <is>
          <t>ARVIKA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50263-2022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44865</v>
      </c>
      <c r="E653" s="1" t="n">
        <v>46222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23601-2023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46222</v>
      </c>
      <c r="F654" t="inlineStr">
        <is>
          <t>VÄRMLANDS LÄN</t>
        </is>
      </c>
      <c r="G654" t="inlineStr">
        <is>
          <t>ARVIKA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54756-2022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44883</v>
      </c>
      <c r="E655" s="1" t="n">
        <v>46222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59195-2025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46222</v>
      </c>
      <c r="F656" t="inlineStr">
        <is>
          <t>VÄRMLANDS LÄN</t>
        </is>
      </c>
      <c r="G656" t="inlineStr">
        <is>
          <t>ARVIKA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12544-2026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46222</v>
      </c>
      <c r="F657" t="inlineStr">
        <is>
          <t>VÄRMLANDS LÄN</t>
        </is>
      </c>
      <c r="G657" t="inlineStr">
        <is>
          <t>ARVIKA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20071-2025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45772</v>
      </c>
      <c r="E658" s="1" t="n">
        <v>46222</v>
      </c>
      <c r="F658" t="inlineStr">
        <is>
          <t>VÄRMLANDS LÄN</t>
        </is>
      </c>
      <c r="G658" t="inlineStr">
        <is>
          <t>ARVIKA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21953-2023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45068</v>
      </c>
      <c r="E659" s="1" t="n">
        <v>46222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59282-2025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45988</v>
      </c>
      <c r="E660" s="1" t="n">
        <v>46222</v>
      </c>
      <c r="F660" t="inlineStr">
        <is>
          <t>VÄRMLANDS LÄN</t>
        </is>
      </c>
      <c r="G660" t="inlineStr">
        <is>
          <t>ARVIKA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59287-2025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46222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46530-2022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44848</v>
      </c>
      <c r="E662" s="1" t="n">
        <v>46222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20349-2025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45775</v>
      </c>
      <c r="E663" s="1" t="n">
        <v>46222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60046-2025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46222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12519-2026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46222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59102-2025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46222</v>
      </c>
      <c r="F666" t="inlineStr">
        <is>
          <t>VÄRMLANDS LÄN</t>
        </is>
      </c>
      <c r="G666" t="inlineStr">
        <is>
          <t>ARVIKA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52357-2021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44464</v>
      </c>
      <c r="E667" s="1" t="n">
        <v>46222</v>
      </c>
      <c r="F667" t="inlineStr">
        <is>
          <t>VÄRMLANDS LÄN</t>
        </is>
      </c>
      <c r="G667" t="inlineStr">
        <is>
          <t>ARVIKA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42064-2021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44426</v>
      </c>
      <c r="E668" s="1" t="n">
        <v>46222</v>
      </c>
      <c r="F668" t="inlineStr">
        <is>
          <t>VÄRMLANDS LÄN</t>
        </is>
      </c>
      <c r="G668" t="inlineStr">
        <is>
          <t>ARVIKA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60366-2023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45259</v>
      </c>
      <c r="E669" s="1" t="n">
        <v>46222</v>
      </c>
      <c r="F669" t="inlineStr">
        <is>
          <t>VÄRMLANDS LÄN</t>
        </is>
      </c>
      <c r="G669" t="inlineStr">
        <is>
          <t>ARVIKA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46222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57346-2022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44896</v>
      </c>
      <c r="E671" s="1" t="n">
        <v>46222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59943-2025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45993</v>
      </c>
      <c r="E672" s="1" t="n">
        <v>46222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22496-2023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45071</v>
      </c>
      <c r="E673" s="1" t="n">
        <v>46222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45299</v>
      </c>
      <c r="E674" s="1" t="n">
        <v>46222</v>
      </c>
      <c r="F674" t="inlineStr">
        <is>
          <t>VÄRMLANDS LÄN</t>
        </is>
      </c>
      <c r="G674" t="inlineStr">
        <is>
          <t>ARVIKA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60343-2025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45994</v>
      </c>
      <c r="E675" s="1" t="n">
        <v>46222</v>
      </c>
      <c r="F675" t="inlineStr">
        <is>
          <t>VÄRMLANDS LÄN</t>
        </is>
      </c>
      <c r="G675" t="inlineStr">
        <is>
          <t>ARVIKA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35339-2024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45530</v>
      </c>
      <c r="E676" s="1" t="n">
        <v>46222</v>
      </c>
      <c r="F676" t="inlineStr">
        <is>
          <t>VÄRMLANDS LÄN</t>
        </is>
      </c>
      <c r="G676" t="inlineStr">
        <is>
          <t>ARVIKA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60627-2025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45996</v>
      </c>
      <c r="E677" s="1" t="n">
        <v>46222</v>
      </c>
      <c r="F677" t="inlineStr">
        <is>
          <t>VÄRMLANDS LÄN</t>
        </is>
      </c>
      <c r="G677" t="inlineStr">
        <is>
          <t>ARVIKA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46750-2024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45583</v>
      </c>
      <c r="E678" s="1" t="n">
        <v>46222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55515-2021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44475</v>
      </c>
      <c r="E679" s="1" t="n">
        <v>46222</v>
      </c>
      <c r="F679" t="inlineStr">
        <is>
          <t>VÄRMLANDS LÄN</t>
        </is>
      </c>
      <c r="G679" t="inlineStr">
        <is>
          <t>ARVIKA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61246-2025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46000</v>
      </c>
      <c r="E680" s="1" t="n">
        <v>46222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42321-2023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45180</v>
      </c>
      <c r="E681" s="1" t="n">
        <v>46222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44974-2021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44438</v>
      </c>
      <c r="E682" s="1" t="n">
        <v>46222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13999-2026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46222</v>
      </c>
      <c r="F683" t="inlineStr">
        <is>
          <t>VÄRMLANDS LÄN</t>
        </is>
      </c>
      <c r="G683" t="inlineStr">
        <is>
          <t>ARVIKA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14551-2023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46222</v>
      </c>
      <c r="F684" t="inlineStr">
        <is>
          <t>VÄRMLANDS LÄN</t>
        </is>
      </c>
      <c r="G684" t="inlineStr">
        <is>
          <t>ARVIKA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61326-2025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46001</v>
      </c>
      <c r="E685" s="1" t="n">
        <v>46222</v>
      </c>
      <c r="F685" t="inlineStr">
        <is>
          <t>VÄRMLANDS LÄN</t>
        </is>
      </c>
      <c r="G685" t="inlineStr">
        <is>
          <t>ARVIKA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25251-2023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45086</v>
      </c>
      <c r="E686" s="1" t="n">
        <v>46222</v>
      </c>
      <c r="F686" t="inlineStr">
        <is>
          <t>VÄRMLANDS LÄN</t>
        </is>
      </c>
      <c r="G686" t="inlineStr">
        <is>
          <t>ARVIKA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42179-2022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44830</v>
      </c>
      <c r="E687" s="1" t="n">
        <v>46222</v>
      </c>
      <c r="F687" t="inlineStr">
        <is>
          <t>VÄRMLANDS LÄN</t>
        </is>
      </c>
      <c r="G687" t="inlineStr">
        <is>
          <t>ARVIKA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25491-2023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46222</v>
      </c>
      <c r="F688" t="inlineStr">
        <is>
          <t>VÄRMLANDS LÄN</t>
        </is>
      </c>
      <c r="G688" t="inlineStr">
        <is>
          <t>ARVIKA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40422-2024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45555</v>
      </c>
      <c r="E689" s="1" t="n">
        <v>46222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62030-2025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46003</v>
      </c>
      <c r="E690" s="1" t="n">
        <v>46222</v>
      </c>
      <c r="F690" t="inlineStr">
        <is>
          <t>VÄRMLANDS LÄN</t>
        </is>
      </c>
      <c r="G690" t="inlineStr">
        <is>
          <t>ARVIKA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62051-2025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46006</v>
      </c>
      <c r="E691" s="1" t="n">
        <v>46222</v>
      </c>
      <c r="F691" t="inlineStr">
        <is>
          <t>VÄRMLANDS LÄN</t>
        </is>
      </c>
      <c r="G691" t="inlineStr">
        <is>
          <t>ARVIKA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69340-2021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44531</v>
      </c>
      <c r="E692" s="1" t="n">
        <v>46222</v>
      </c>
      <c r="F692" t="inlineStr">
        <is>
          <t>VÄRMLANDS LÄN</t>
        </is>
      </c>
      <c r="G692" t="inlineStr">
        <is>
          <t>ARVIKA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36469-2025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45869</v>
      </c>
      <c r="E693" s="1" t="n">
        <v>46222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44941</v>
      </c>
      <c r="E694" s="1" t="n">
        <v>46222</v>
      </c>
      <c r="F694" t="inlineStr">
        <is>
          <t>VÄRMLANDS LÄN</t>
        </is>
      </c>
      <c r="G694" t="inlineStr">
        <is>
          <t>ARVIKA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51602-2025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45951</v>
      </c>
      <c r="E695" s="1" t="n">
        <v>46222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14399-2026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46222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44859-2025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46222</v>
      </c>
      <c r="F697" t="inlineStr">
        <is>
          <t>VÄRMLANDS LÄN</t>
        </is>
      </c>
      <c r="G697" t="inlineStr">
        <is>
          <t>ARVIKA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44867-2025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45918</v>
      </c>
      <c r="E698" s="1" t="n">
        <v>46222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55518-2021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44475</v>
      </c>
      <c r="E699" s="1" t="n">
        <v>46222</v>
      </c>
      <c r="F699" t="inlineStr">
        <is>
          <t>VÄRMLANDS LÄN</t>
        </is>
      </c>
      <c r="G699" t="inlineStr">
        <is>
          <t>ARVIKA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45103</v>
      </c>
      <c r="E700" s="1" t="n">
        <v>46222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7985-2025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46222</v>
      </c>
      <c r="F701" t="inlineStr">
        <is>
          <t>VÄRMLANDS LÄN</t>
        </is>
      </c>
      <c r="G701" t="inlineStr">
        <is>
          <t>ARVIKA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46222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41493-2024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46222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63123-2025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46009</v>
      </c>
      <c r="E704" s="1" t="n">
        <v>46222</v>
      </c>
      <c r="F704" t="inlineStr">
        <is>
          <t>VÄRMLANDS LÄN</t>
        </is>
      </c>
      <c r="G704" t="inlineStr">
        <is>
          <t>ARVIKA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27760-2023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45098</v>
      </c>
      <c r="E705" s="1" t="n">
        <v>46222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63124-2025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46009</v>
      </c>
      <c r="E706" s="1" t="n">
        <v>46222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16472-2025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45751</v>
      </c>
      <c r="E707" s="1" t="n">
        <v>46222</v>
      </c>
      <c r="F707" t="inlineStr">
        <is>
          <t>VÄRMLANDS LÄN</t>
        </is>
      </c>
      <c r="G707" t="inlineStr">
        <is>
          <t>ARVIKA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9690-2025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45716</v>
      </c>
      <c r="E708" s="1" t="n">
        <v>46222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9691-2025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46222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41551-2021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44424</v>
      </c>
      <c r="E710" s="1" t="n">
        <v>46222</v>
      </c>
      <c r="F710" t="inlineStr">
        <is>
          <t>VÄRMLANDS LÄN</t>
        </is>
      </c>
      <c r="G710" t="inlineStr">
        <is>
          <t>ARVIKA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63721-2025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46014</v>
      </c>
      <c r="E711" s="1" t="n">
        <v>46222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63496-2025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46013</v>
      </c>
      <c r="E712" s="1" t="n">
        <v>46222</v>
      </c>
      <c r="F712" t="inlineStr">
        <is>
          <t>VÄRMLANDS LÄN</t>
        </is>
      </c>
      <c r="G712" t="inlineStr">
        <is>
          <t>ARVIKA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32856-2023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45124</v>
      </c>
      <c r="E713" s="1" t="n">
        <v>46222</v>
      </c>
      <c r="F713" t="inlineStr">
        <is>
          <t>VÄRMLANDS LÄN</t>
        </is>
      </c>
      <c r="G713" t="inlineStr">
        <is>
          <t>ARVIKA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15291-2026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46105</v>
      </c>
      <c r="E714" s="1" t="n">
        <v>46222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15141-2026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46222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39025-2024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45548</v>
      </c>
      <c r="E716" s="1" t="n">
        <v>46222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47383-2023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45202</v>
      </c>
      <c r="E717" s="1" t="n">
        <v>46222</v>
      </c>
      <c r="F717" t="inlineStr">
        <is>
          <t>VÄRMLANDS LÄN</t>
        </is>
      </c>
      <c r="G717" t="inlineStr">
        <is>
          <t>ARVIKA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29392-2023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45106</v>
      </c>
      <c r="E718" s="1" t="n">
        <v>46222</v>
      </c>
      <c r="F718" t="inlineStr">
        <is>
          <t>VÄRMLANDS LÄN</t>
        </is>
      </c>
      <c r="G718" t="inlineStr">
        <is>
          <t>ARVIKA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46222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46222</v>
      </c>
      <c r="F720" t="inlineStr">
        <is>
          <t>VÄRMLANDS LÄN</t>
        </is>
      </c>
      <c r="G720" t="inlineStr">
        <is>
          <t>ARVIKA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55734-2024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45622</v>
      </c>
      <c r="E721" s="1" t="n">
        <v>46222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960-2026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46222</v>
      </c>
      <c r="F722" t="inlineStr">
        <is>
          <t>VÄRMLANDS LÄN</t>
        </is>
      </c>
      <c r="G722" t="inlineStr">
        <is>
          <t>ARVIKA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35613-2023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46222</v>
      </c>
      <c r="F723" t="inlineStr">
        <is>
          <t>VÄRMLANDS LÄN</t>
        </is>
      </c>
      <c r="G723" t="inlineStr">
        <is>
          <t>ARVIKA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35628-2023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45146</v>
      </c>
      <c r="E724" s="1" t="n">
        <v>46222</v>
      </c>
      <c r="F724" t="inlineStr">
        <is>
          <t>VÄRMLANDS LÄN</t>
        </is>
      </c>
      <c r="G724" t="inlineStr">
        <is>
          <t>ARVIKA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969-2023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44935</v>
      </c>
      <c r="E725" s="1" t="n">
        <v>46222</v>
      </c>
      <c r="F725" t="inlineStr">
        <is>
          <t>VÄRMLANDS LÄN</t>
        </is>
      </c>
      <c r="G725" t="inlineStr">
        <is>
          <t>ARVIKA</t>
        </is>
      </c>
      <c r="I725" t="n">
        <v>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14219-2024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45393</v>
      </c>
      <c r="E726" s="1" t="n">
        <v>46222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1970-2026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46222</v>
      </c>
      <c r="F727" t="inlineStr">
        <is>
          <t>VÄRMLANDS LÄN</t>
        </is>
      </c>
      <c r="G727" t="inlineStr">
        <is>
          <t>ARVIKA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60183-2021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44495</v>
      </c>
      <c r="E728" s="1" t="n">
        <v>46222</v>
      </c>
      <c r="F728" t="inlineStr">
        <is>
          <t>VÄRMLANDS LÄN</t>
        </is>
      </c>
      <c r="G728" t="inlineStr">
        <is>
          <t>ARVIKA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19683-2025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46222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73936-2021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44552</v>
      </c>
      <c r="E730" s="1" t="n">
        <v>46222</v>
      </c>
      <c r="F730" t="inlineStr">
        <is>
          <t>VÄRMLANDS LÄN</t>
        </is>
      </c>
      <c r="G730" t="inlineStr">
        <is>
          <t>ARVIKA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45962-2024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45580</v>
      </c>
      <c r="E731" s="1" t="n">
        <v>46222</v>
      </c>
      <c r="F731" t="inlineStr">
        <is>
          <t>VÄRMLANDS LÄN</t>
        </is>
      </c>
      <c r="G731" t="inlineStr">
        <is>
          <t>ARVIKA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60627-2022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44906</v>
      </c>
      <c r="E732" s="1" t="n">
        <v>46222</v>
      </c>
      <c r="F732" t="inlineStr">
        <is>
          <t>VÄRMLANDS LÄN</t>
        </is>
      </c>
      <c r="G732" t="inlineStr">
        <is>
          <t>ARVIKA</t>
        </is>
      </c>
      <c r="I732" t="n">
        <v>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57998-2023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45247</v>
      </c>
      <c r="E733" s="1" t="n">
        <v>46222</v>
      </c>
      <c r="F733" t="inlineStr">
        <is>
          <t>VÄRMLANDS LÄN</t>
        </is>
      </c>
      <c r="G733" t="inlineStr">
        <is>
          <t>ARVIKA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7347-2025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45703</v>
      </c>
      <c r="E734" s="1" t="n">
        <v>46222</v>
      </c>
      <c r="F734" t="inlineStr">
        <is>
          <t>VÄRMLANDS LÄN</t>
        </is>
      </c>
      <c r="G734" t="inlineStr">
        <is>
          <t>ARVIKA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58408-2022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44901</v>
      </c>
      <c r="E735" s="1" t="n">
        <v>46222</v>
      </c>
      <c r="F735" t="inlineStr">
        <is>
          <t>VÄRMLANDS LÄN</t>
        </is>
      </c>
      <c r="G735" t="inlineStr">
        <is>
          <t>ARVIKA</t>
        </is>
      </c>
      <c r="I735" t="n">
        <v>16.4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1750-2026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46222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15615-2026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46222</v>
      </c>
      <c r="F737" t="inlineStr">
        <is>
          <t>VÄRMLANDS LÄN</t>
        </is>
      </c>
      <c r="G737" t="inlineStr">
        <is>
          <t>ARVIKA</t>
        </is>
      </c>
      <c r="I737" t="n">
        <v>9.199999999999999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15617-2026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46222</v>
      </c>
      <c r="F738" t="inlineStr">
        <is>
          <t>VÄRMLANDS LÄN</t>
        </is>
      </c>
      <c r="G738" t="inlineStr">
        <is>
          <t>ARVIKA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46222</v>
      </c>
      <c r="F739" t="inlineStr">
        <is>
          <t>VÄRMLANDS LÄN</t>
        </is>
      </c>
      <c r="G739" t="inlineStr">
        <is>
          <t>ARVIKA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16329-2026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46111</v>
      </c>
      <c r="E740" s="1" t="n">
        <v>46222</v>
      </c>
      <c r="F740" t="inlineStr">
        <is>
          <t>VÄRMLANDS LÄN</t>
        </is>
      </c>
      <c r="G740" t="inlineStr">
        <is>
          <t>ARVIKA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771-2026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46027</v>
      </c>
      <c r="E741" s="1" t="n">
        <v>46222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3640-2023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46222</v>
      </c>
      <c r="F742" t="inlineStr">
        <is>
          <t>VÄRMLANDS LÄN</t>
        </is>
      </c>
      <c r="G742" t="inlineStr">
        <is>
          <t>ARVIKA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27170-2024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45471</v>
      </c>
      <c r="E743" s="1" t="n">
        <v>46222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16214-2026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46222</v>
      </c>
      <c r="F744" t="inlineStr">
        <is>
          <t>VÄRMLANDS LÄN</t>
        </is>
      </c>
      <c r="G744" t="inlineStr">
        <is>
          <t>ARVIKA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4993-2024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45329</v>
      </c>
      <c r="E745" s="1" t="n">
        <v>46222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45384</v>
      </c>
      <c r="E746" s="1" t="n">
        <v>46222</v>
      </c>
      <c r="F746" t="inlineStr">
        <is>
          <t>VÄRMLANDS LÄN</t>
        </is>
      </c>
      <c r="G746" t="inlineStr">
        <is>
          <t>ARVIKA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62607-2022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44917</v>
      </c>
      <c r="E747" s="1" t="n">
        <v>46222</v>
      </c>
      <c r="F747" t="inlineStr">
        <is>
          <t>VÄRMLANDS LÄN</t>
        </is>
      </c>
      <c r="G747" t="inlineStr">
        <is>
          <t>ARVIKA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62609-2022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44917</v>
      </c>
      <c r="E748" s="1" t="n">
        <v>46222</v>
      </c>
      <c r="F748" t="inlineStr">
        <is>
          <t>VÄRMLANDS LÄN</t>
        </is>
      </c>
      <c r="G748" t="inlineStr">
        <is>
          <t>ARVIKA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62612-2022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44917</v>
      </c>
      <c r="E749" s="1" t="n">
        <v>46222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16734-2026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46222</v>
      </c>
      <c r="F750" t="inlineStr">
        <is>
          <t>VÄRMLANDS LÄN</t>
        </is>
      </c>
      <c r="G750" t="inlineStr">
        <is>
          <t>ARVIKA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44270-2022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44839</v>
      </c>
      <c r="E751" s="1" t="n">
        <v>46222</v>
      </c>
      <c r="F751" t="inlineStr">
        <is>
          <t>VÄRMLANDS LÄN</t>
        </is>
      </c>
      <c r="G751" t="inlineStr">
        <is>
          <t>ARVIKA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60344-2023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45259</v>
      </c>
      <c r="E752" s="1" t="n">
        <v>46222</v>
      </c>
      <c r="F752" t="inlineStr">
        <is>
          <t>VÄRMLANDS LÄN</t>
        </is>
      </c>
      <c r="G752" t="inlineStr">
        <is>
          <t>ARVIKA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37227-2024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45539</v>
      </c>
      <c r="E753" s="1" t="n">
        <v>46222</v>
      </c>
      <c r="F753" t="inlineStr">
        <is>
          <t>VÄRMLANDS LÄN</t>
        </is>
      </c>
      <c r="G753" t="inlineStr">
        <is>
          <t>ARVIKA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17085-2026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46222</v>
      </c>
      <c r="F754" t="inlineStr">
        <is>
          <t>VÄRMLANDS LÄN</t>
        </is>
      </c>
      <c r="G754" t="inlineStr">
        <is>
          <t>ARVIKA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34400-2023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46222</v>
      </c>
      <c r="F755" t="inlineStr">
        <is>
          <t>VÄRMLANDS LÄN</t>
        </is>
      </c>
      <c r="G755" t="inlineStr">
        <is>
          <t>ARVIKA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19109-2024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45428</v>
      </c>
      <c r="E756" s="1" t="n">
        <v>46222</v>
      </c>
      <c r="F756" t="inlineStr">
        <is>
          <t>VÄRMLANDS LÄN</t>
        </is>
      </c>
      <c r="G756" t="inlineStr">
        <is>
          <t>ARVIKA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17703-2026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46121</v>
      </c>
      <c r="E757" s="1" t="n">
        <v>46222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17708-2026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46222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17409-2026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46120</v>
      </c>
      <c r="E759" s="1" t="n">
        <v>46222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36717-2023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45153</v>
      </c>
      <c r="E760" s="1" t="n">
        <v>46222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26175-2024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45468</v>
      </c>
      <c r="E761" s="1" t="n">
        <v>46222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17704-2023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45035</v>
      </c>
      <c r="E762" s="1" t="n">
        <v>46222</v>
      </c>
      <c r="F762" t="inlineStr">
        <is>
          <t>VÄRMLANDS LÄN</t>
        </is>
      </c>
      <c r="G762" t="inlineStr">
        <is>
          <t>ARVIKA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27617-2024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45474</v>
      </c>
      <c r="E763" s="1" t="n">
        <v>46222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18019-2026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46125</v>
      </c>
      <c r="E764" s="1" t="n">
        <v>46222</v>
      </c>
      <c r="F764" t="inlineStr">
        <is>
          <t>VÄRMLANDS LÄN</t>
        </is>
      </c>
      <c r="G764" t="inlineStr">
        <is>
          <t>ARVIKA</t>
        </is>
      </c>
      <c r="H764" t="inlineStr">
        <is>
          <t>Kyrkan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18059-2026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46125</v>
      </c>
      <c r="E765" s="1" t="n">
        <v>46222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24986-2024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45461</v>
      </c>
      <c r="E766" s="1" t="n">
        <v>46222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18011-2026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46123</v>
      </c>
      <c r="E767" s="1" t="n">
        <v>46222</v>
      </c>
      <c r="F767" t="inlineStr">
        <is>
          <t>VÄRMLANDS LÄN</t>
        </is>
      </c>
      <c r="G767" t="inlineStr">
        <is>
          <t>ARVIKA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11913-2025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45728</v>
      </c>
      <c r="E768" s="1" t="n">
        <v>46222</v>
      </c>
      <c r="F768" t="inlineStr">
        <is>
          <t>VÄRMLANDS LÄN</t>
        </is>
      </c>
      <c r="G768" t="inlineStr">
        <is>
          <t>ARVIKA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45296</v>
      </c>
      <c r="E769" s="1" t="n">
        <v>46222</v>
      </c>
      <c r="F769" t="inlineStr">
        <is>
          <t>VÄRMLANDS LÄN</t>
        </is>
      </c>
      <c r="G769" t="inlineStr">
        <is>
          <t>ARVIKA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22316-2023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45070</v>
      </c>
      <c r="E770" s="1" t="n">
        <v>46222</v>
      </c>
      <c r="F770" t="inlineStr">
        <is>
          <t>VÄRMLANDS LÄN</t>
        </is>
      </c>
      <c r="G770" t="inlineStr">
        <is>
          <t>ARVIKA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14488-2025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45741</v>
      </c>
      <c r="E771" s="1" t="n">
        <v>46222</v>
      </c>
      <c r="F771" t="inlineStr">
        <is>
          <t>VÄRMLANDS LÄN</t>
        </is>
      </c>
      <c r="G771" t="inlineStr">
        <is>
          <t>ARVIKA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18146-2026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46222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61945-2024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45653</v>
      </c>
      <c r="E773" s="1" t="n">
        <v>46222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67196-2021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44523</v>
      </c>
      <c r="E774" s="1" t="n">
        <v>46222</v>
      </c>
      <c r="F774" t="inlineStr">
        <is>
          <t>VÄRMLANDS LÄN</t>
        </is>
      </c>
      <c r="G774" t="inlineStr">
        <is>
          <t>ARVIKA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58058-2024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46222</v>
      </c>
      <c r="F775" t="inlineStr">
        <is>
          <t>VÄRMLANDS LÄN</t>
        </is>
      </c>
      <c r="G775" t="inlineStr">
        <is>
          <t>ARVIKA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54027-2025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45962</v>
      </c>
      <c r="E776" s="1" t="n">
        <v>46222</v>
      </c>
      <c r="F776" t="inlineStr">
        <is>
          <t>VÄRMLANDS LÄN</t>
        </is>
      </c>
      <c r="G776" t="inlineStr">
        <is>
          <t>ARVIKA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41607-2023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46222</v>
      </c>
      <c r="F777" t="inlineStr">
        <is>
          <t>VÄRMLANDS LÄN</t>
        </is>
      </c>
      <c r="G777" t="inlineStr">
        <is>
          <t>ARVIKA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16731-2024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45410</v>
      </c>
      <c r="E778" s="1" t="n">
        <v>46222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16739-2024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45410</v>
      </c>
      <c r="E779" s="1" t="n">
        <v>46222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18550-2026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46127</v>
      </c>
      <c r="E780" s="1" t="n">
        <v>46222</v>
      </c>
      <c r="F780" t="inlineStr">
        <is>
          <t>VÄRMLANDS LÄN</t>
        </is>
      </c>
      <c r="G780" t="inlineStr">
        <is>
          <t>ARVIKA</t>
        </is>
      </c>
      <c r="I780" t="n">
        <v>8.300000000000001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19922-2024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45433</v>
      </c>
      <c r="E781" s="1" t="n">
        <v>46222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47538-2024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46222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18368-2026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46126</v>
      </c>
      <c r="E783" s="1" t="n">
        <v>46222</v>
      </c>
      <c r="F783" t="inlineStr">
        <is>
          <t>VÄRMLANDS LÄN</t>
        </is>
      </c>
      <c r="G783" t="inlineStr">
        <is>
          <t>ARVIKA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19205-2026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46132</v>
      </c>
      <c r="E784" s="1" t="n">
        <v>46222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31615-2023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45117</v>
      </c>
      <c r="E785" s="1" t="n">
        <v>46222</v>
      </c>
      <c r="F785" t="inlineStr">
        <is>
          <t>VÄRMLANDS LÄN</t>
        </is>
      </c>
      <c r="G785" t="inlineStr">
        <is>
          <t>ARVIKA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31053-2023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45113</v>
      </c>
      <c r="E786" s="1" t="n">
        <v>46222</v>
      </c>
      <c r="F786" t="inlineStr">
        <is>
          <t>VÄRMLANDS LÄN</t>
        </is>
      </c>
      <c r="G786" t="inlineStr">
        <is>
          <t>ARVIKA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21468-2023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45063</v>
      </c>
      <c r="E787" s="1" t="n">
        <v>46222</v>
      </c>
      <c r="F787" t="inlineStr">
        <is>
          <t>VÄRMLANDS LÄN</t>
        </is>
      </c>
      <c r="G787" t="inlineStr">
        <is>
          <t>ARVIKA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18962-2026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46129</v>
      </c>
      <c r="E788" s="1" t="n">
        <v>46222</v>
      </c>
      <c r="F788" t="inlineStr">
        <is>
          <t>VÄRMLANDS LÄN</t>
        </is>
      </c>
      <c r="G788" t="inlineStr">
        <is>
          <t>ARVIKA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19132-2026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46222</v>
      </c>
      <c r="F789" t="inlineStr">
        <is>
          <t>VÄRMLANDS LÄN</t>
        </is>
      </c>
      <c r="G789" t="inlineStr">
        <is>
          <t>ARVIKA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7741-2025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45706</v>
      </c>
      <c r="E790" s="1" t="n">
        <v>46222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7792-2025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45706</v>
      </c>
      <c r="E791" s="1" t="n">
        <v>46222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48451-2024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46222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41175-2024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45559</v>
      </c>
      <c r="E793" s="1" t="n">
        <v>46222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71886-2021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44543</v>
      </c>
      <c r="E794" s="1" t="n">
        <v>46222</v>
      </c>
      <c r="F794" t="inlineStr">
        <is>
          <t>VÄRMLANDS LÄN</t>
        </is>
      </c>
      <c r="G794" t="inlineStr">
        <is>
          <t>ARVIKA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45590</v>
      </c>
      <c r="E795" s="1" t="n">
        <v>46222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46134</v>
      </c>
      <c r="E796" s="1" t="n">
        <v>46222</v>
      </c>
      <c r="F796" t="inlineStr">
        <is>
          <t>VÄRMLANDS LÄN</t>
        </is>
      </c>
      <c r="G796" t="inlineStr">
        <is>
          <t>ARVIKA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19495-2026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46222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19500-2026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46222</v>
      </c>
      <c r="F798" t="inlineStr">
        <is>
          <t>VÄRMLANDS LÄN</t>
        </is>
      </c>
      <c r="G798" t="inlineStr">
        <is>
          <t>ARVIKA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19532-2026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46222</v>
      </c>
      <c r="F799" t="inlineStr">
        <is>
          <t>VÄRMLANDS LÄN</t>
        </is>
      </c>
      <c r="G799" t="inlineStr">
        <is>
          <t>ARVIKA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19544-2026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46222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46222</v>
      </c>
      <c r="F801" t="inlineStr">
        <is>
          <t>VÄRMLANDS LÄN</t>
        </is>
      </c>
      <c r="G801" t="inlineStr">
        <is>
          <t>ARVIKA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19296-2026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46222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19295-2026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46222</v>
      </c>
      <c r="F803" t="inlineStr">
        <is>
          <t>VÄRMLANDS LÄN</t>
        </is>
      </c>
      <c r="G803" t="inlineStr">
        <is>
          <t>ARVIKA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4754-2024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45328</v>
      </c>
      <c r="E804" s="1" t="n">
        <v>46222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37240-2024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45540</v>
      </c>
      <c r="E805" s="1" t="n">
        <v>46222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45506</v>
      </c>
      <c r="E806" s="1" t="n">
        <v>46222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25243-2023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45086</v>
      </c>
      <c r="E807" s="1" t="n">
        <v>46222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41235-2024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45559</v>
      </c>
      <c r="E808" s="1" t="n">
        <v>46222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26424-2023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45092</v>
      </c>
      <c r="E809" s="1" t="n">
        <v>46222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27160-2025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46222</v>
      </c>
      <c r="F810" t="inlineStr">
        <is>
          <t>VÄRMLANDS LÄN</t>
        </is>
      </c>
      <c r="G810" t="inlineStr">
        <is>
          <t>ARVIKA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30793-2025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45831</v>
      </c>
      <c r="E811" s="1" t="n">
        <v>46222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12271-2023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44998</v>
      </c>
      <c r="E812" s="1" t="n">
        <v>46222</v>
      </c>
      <c r="F812" t="inlineStr">
        <is>
          <t>VÄRMLANDS LÄN</t>
        </is>
      </c>
      <c r="G812" t="inlineStr">
        <is>
          <t>ARVIKA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46222</v>
      </c>
      <c r="F813" t="inlineStr">
        <is>
          <t>VÄRMLANDS LÄN</t>
        </is>
      </c>
      <c r="G813" t="inlineStr">
        <is>
          <t>ARVIKA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12849-2022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44642</v>
      </c>
      <c r="E814" s="1" t="n">
        <v>46222</v>
      </c>
      <c r="F814" t="inlineStr">
        <is>
          <t>VÄRMLANDS LÄN</t>
        </is>
      </c>
      <c r="G814" t="inlineStr">
        <is>
          <t>ARVIKA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51729-2024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46222</v>
      </c>
      <c r="F815" t="inlineStr">
        <is>
          <t>VÄRMLANDS LÄN</t>
        </is>
      </c>
      <c r="G815" t="inlineStr">
        <is>
          <t>ARVIKA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3076-2025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45678</v>
      </c>
      <c r="E816" s="1" t="n">
        <v>46222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3355-2022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44585</v>
      </c>
      <c r="E817" s="1" t="n">
        <v>46222</v>
      </c>
      <c r="F817" t="inlineStr">
        <is>
          <t>VÄRMLANDS LÄN</t>
        </is>
      </c>
      <c r="G817" t="inlineStr">
        <is>
          <t>ARVIKA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43968-2024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45572</v>
      </c>
      <c r="E818" s="1" t="n">
        <v>46222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70453-2021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44536</v>
      </c>
      <c r="E819" s="1" t="n">
        <v>46222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74129-2021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44557</v>
      </c>
      <c r="E820" s="1" t="n">
        <v>46222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47812-2025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45932</v>
      </c>
      <c r="E821" s="1" t="n">
        <v>46222</v>
      </c>
      <c r="F821" t="inlineStr">
        <is>
          <t>VÄRMLANDS LÄN</t>
        </is>
      </c>
      <c r="G821" t="inlineStr">
        <is>
          <t>ARVIKA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8631-2025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45711</v>
      </c>
      <c r="E822" s="1" t="n">
        <v>46222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61866-2024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45651</v>
      </c>
      <c r="E823" s="1" t="n">
        <v>46222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51075-2025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45946</v>
      </c>
      <c r="E824" s="1" t="n">
        <v>46222</v>
      </c>
      <c r="F824" t="inlineStr">
        <is>
          <t>VÄRMLANDS LÄN</t>
        </is>
      </c>
      <c r="G824" t="inlineStr">
        <is>
          <t>ARVIKA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50857-2023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45218</v>
      </c>
      <c r="E825" s="1" t="n">
        <v>46222</v>
      </c>
      <c r="F825" t="inlineStr">
        <is>
          <t>VÄRMLANDS LÄN</t>
        </is>
      </c>
      <c r="G825" t="inlineStr">
        <is>
          <t>ARVIKA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28427-2025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46222</v>
      </c>
      <c r="F826" t="inlineStr">
        <is>
          <t>VÄRMLANDS LÄN</t>
        </is>
      </c>
      <c r="G826" t="inlineStr">
        <is>
          <t>ARVIKA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19829-2026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46222</v>
      </c>
      <c r="F827" t="inlineStr">
        <is>
          <t>VÄRMLANDS LÄN</t>
        </is>
      </c>
      <c r="G827" t="inlineStr">
        <is>
          <t>ARVIKA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61865-2024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45651</v>
      </c>
      <c r="E828" s="1" t="n">
        <v>46222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61008-2024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46222</v>
      </c>
      <c r="F829" t="inlineStr">
        <is>
          <t>VÄRMLANDS LÄN</t>
        </is>
      </c>
      <c r="G829" t="inlineStr">
        <is>
          <t>ARVIKA</t>
        </is>
      </c>
      <c r="I829" t="n">
        <v>38.7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9059-2025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45713</v>
      </c>
      <c r="E830" s="1" t="n">
        <v>46222</v>
      </c>
      <c r="F830" t="inlineStr">
        <is>
          <t>VÄRMLANDS LÄN</t>
        </is>
      </c>
      <c r="G830" t="inlineStr">
        <is>
          <t>ARVIKA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11969-2025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45728</v>
      </c>
      <c r="E831" s="1" t="n">
        <v>46222</v>
      </c>
      <c r="F831" t="inlineStr">
        <is>
          <t>VÄRMLANDS LÄN</t>
        </is>
      </c>
      <c r="G831" t="inlineStr">
        <is>
          <t>ARVIKA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23061-2022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44718</v>
      </c>
      <c r="E832" s="1" t="n">
        <v>46222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37687-2025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45880</v>
      </c>
      <c r="E833" s="1" t="n">
        <v>46222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34920-2025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45849</v>
      </c>
      <c r="E834" s="1" t="n">
        <v>46222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10249-2025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45720</v>
      </c>
      <c r="E835" s="1" t="n">
        <v>46222</v>
      </c>
      <c r="F835" t="inlineStr">
        <is>
          <t>VÄRMLANDS LÄN</t>
        </is>
      </c>
      <c r="G835" t="inlineStr">
        <is>
          <t>ARVIKA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42441-2023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45180</v>
      </c>
      <c r="E836" s="1" t="n">
        <v>46222</v>
      </c>
      <c r="F836" t="inlineStr">
        <is>
          <t>VÄRMLANDS LÄN</t>
        </is>
      </c>
      <c r="G836" t="inlineStr">
        <is>
          <t>ARVIKA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11562-2025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46222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50462-2024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45601</v>
      </c>
      <c r="E838" s="1" t="n">
        <v>46222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42894-2023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45182</v>
      </c>
      <c r="E839" s="1" t="n">
        <v>46222</v>
      </c>
      <c r="F839" t="inlineStr">
        <is>
          <t>VÄRMLANDS LÄN</t>
        </is>
      </c>
      <c r="G839" t="inlineStr">
        <is>
          <t>ARVIKA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54652-2024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46222</v>
      </c>
      <c r="F840" t="inlineStr">
        <is>
          <t>VÄRMLANDS LÄN</t>
        </is>
      </c>
      <c r="G840" t="inlineStr">
        <is>
          <t>ARVIKA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29401-2024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45483</v>
      </c>
      <c r="E841" s="1" t="n">
        <v>46222</v>
      </c>
      <c r="F841" t="inlineStr">
        <is>
          <t>VÄRMLANDS LÄN</t>
        </is>
      </c>
      <c r="G841" t="inlineStr">
        <is>
          <t>ARVIKA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50914-2024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45602</v>
      </c>
      <c r="E842" s="1" t="n">
        <v>46222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33641-2024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46222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48650-2025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45936</v>
      </c>
      <c r="E844" s="1" t="n">
        <v>46222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35250-2025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45853</v>
      </c>
      <c r="E845" s="1" t="n">
        <v>46222</v>
      </c>
      <c r="F845" t="inlineStr">
        <is>
          <t>VÄRMLANDS LÄN</t>
        </is>
      </c>
      <c r="G845" t="inlineStr">
        <is>
          <t>ARVIKA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7313-2022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44606</v>
      </c>
      <c r="E846" s="1" t="n">
        <v>46222</v>
      </c>
      <c r="F846" t="inlineStr">
        <is>
          <t>VÄRMLANDS LÄN</t>
        </is>
      </c>
      <c r="G846" t="inlineStr">
        <is>
          <t>ARVIKA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40033-2023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46222</v>
      </c>
      <c r="F847" t="inlineStr">
        <is>
          <t>VÄRMLANDS LÄN</t>
        </is>
      </c>
      <c r="G847" t="inlineStr">
        <is>
          <t>ARVIKA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45194</v>
      </c>
      <c r="E848" s="1" t="n">
        <v>46222</v>
      </c>
      <c r="F848" t="inlineStr">
        <is>
          <t>VÄRMLANDS LÄN</t>
        </is>
      </c>
      <c r="G848" t="inlineStr">
        <is>
          <t>ARVIKA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45520-2023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45194</v>
      </c>
      <c r="E849" s="1" t="n">
        <v>46222</v>
      </c>
      <c r="F849" t="inlineStr">
        <is>
          <t>VÄRMLANDS LÄN</t>
        </is>
      </c>
      <c r="G849" t="inlineStr">
        <is>
          <t>ARVIKA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46379-2023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45197</v>
      </c>
      <c r="E850" s="1" t="n">
        <v>46222</v>
      </c>
      <c r="F850" t="inlineStr">
        <is>
          <t>VÄRMLANDS LÄN</t>
        </is>
      </c>
      <c r="G850" t="inlineStr">
        <is>
          <t>ARVIKA</t>
        </is>
      </c>
      <c r="H850" t="inlineStr">
        <is>
          <t>Kyrkan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45300-2023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45191</v>
      </c>
      <c r="E851" s="1" t="n">
        <v>46222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53188-2025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45958</v>
      </c>
      <c r="E852" s="1" t="n">
        <v>46222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49913-2024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45597</v>
      </c>
      <c r="E853" s="1" t="n">
        <v>46222</v>
      </c>
      <c r="F853" t="inlineStr">
        <is>
          <t>VÄRMLANDS LÄN</t>
        </is>
      </c>
      <c r="G853" t="inlineStr">
        <is>
          <t>ARVIKA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37139-2022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44806</v>
      </c>
      <c r="E854" s="1" t="n">
        <v>46222</v>
      </c>
      <c r="F854" t="inlineStr">
        <is>
          <t>VÄRMLANDS LÄN</t>
        </is>
      </c>
      <c r="G854" t="inlineStr">
        <is>
          <t>ARVIKA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22037-2025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45785</v>
      </c>
      <c r="E855" s="1" t="n">
        <v>46222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21188-2023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45057</v>
      </c>
      <c r="E856" s="1" t="n">
        <v>46222</v>
      </c>
      <c r="F856" t="inlineStr">
        <is>
          <t>VÄRMLANDS LÄN</t>
        </is>
      </c>
      <c r="G856" t="inlineStr">
        <is>
          <t>ARVIKA</t>
        </is>
      </c>
      <c r="I856" t="n">
        <v>9.699999999999999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41203-2024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45559</v>
      </c>
      <c r="E857" s="1" t="n">
        <v>46222</v>
      </c>
      <c r="F857" t="inlineStr">
        <is>
          <t>VÄRMLANDS LÄN</t>
        </is>
      </c>
      <c r="G857" t="inlineStr">
        <is>
          <t>ARVIKA</t>
        </is>
      </c>
      <c r="H857" t="inlineStr">
        <is>
          <t>Kommuner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27708-2025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45813</v>
      </c>
      <c r="E858" s="1" t="n">
        <v>46222</v>
      </c>
      <c r="F858" t="inlineStr">
        <is>
          <t>VÄRMLANDS LÄN</t>
        </is>
      </c>
      <c r="G858" t="inlineStr">
        <is>
          <t>ARVIKA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10850-2022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44627</v>
      </c>
      <c r="E859" s="1" t="n">
        <v>46222</v>
      </c>
      <c r="F859" t="inlineStr">
        <is>
          <t>VÄRMLANDS LÄN</t>
        </is>
      </c>
      <c r="G859" t="inlineStr">
        <is>
          <t>ARVIKA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45821</v>
      </c>
      <c r="E860" s="1" t="n">
        <v>46222</v>
      </c>
      <c r="F860" t="inlineStr">
        <is>
          <t>VÄRMLANDS LÄN</t>
        </is>
      </c>
      <c r="G860" t="inlineStr">
        <is>
          <t>ARVIKA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54041-2025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45963</v>
      </c>
      <c r="E861" s="1" t="n">
        <v>46222</v>
      </c>
      <c r="F861" t="inlineStr">
        <is>
          <t>VÄRMLANDS LÄN</t>
        </is>
      </c>
      <c r="G861" t="inlineStr">
        <is>
          <t>ARVIKA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53964-2024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45616</v>
      </c>
      <c r="E862" s="1" t="n">
        <v>46222</v>
      </c>
      <c r="F862" t="inlineStr">
        <is>
          <t>VÄRMLANDS LÄN</t>
        </is>
      </c>
      <c r="G862" t="inlineStr">
        <is>
          <t>ARVIKA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2564-2025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45674</v>
      </c>
      <c r="E863" s="1" t="n">
        <v>46222</v>
      </c>
      <c r="F863" t="inlineStr">
        <is>
          <t>VÄRMLANDS LÄN</t>
        </is>
      </c>
      <c r="G863" t="inlineStr">
        <is>
          <t>ARVIKA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62169-2024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45657</v>
      </c>
      <c r="E864" s="1" t="n">
        <v>46222</v>
      </c>
      <c r="F864" t="inlineStr">
        <is>
          <t>VÄRMLANDS LÄN</t>
        </is>
      </c>
      <c r="G864" t="inlineStr">
        <is>
          <t>ARVIKA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7980-2025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45707</v>
      </c>
      <c r="E865" s="1" t="n">
        <v>46222</v>
      </c>
      <c r="F865" t="inlineStr">
        <is>
          <t>VÄRMLANDS LÄN</t>
        </is>
      </c>
      <c r="G865" t="inlineStr">
        <is>
          <t>ARVIKA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42986-2022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44833</v>
      </c>
      <c r="E866" s="1" t="n">
        <v>46222</v>
      </c>
      <c r="F866" t="inlineStr">
        <is>
          <t>VÄRMLANDS LÄN</t>
        </is>
      </c>
      <c r="G866" t="inlineStr">
        <is>
          <t>ARVIKA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59172-2025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45988</v>
      </c>
      <c r="E867" s="1" t="n">
        <v>46222</v>
      </c>
      <c r="F867" t="inlineStr">
        <is>
          <t>VÄRMLANDS LÄN</t>
        </is>
      </c>
      <c r="G867" t="inlineStr">
        <is>
          <t>ARVIKA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60359-2025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45995</v>
      </c>
      <c r="E868" s="1" t="n">
        <v>46222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20375-2025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45775</v>
      </c>
      <c r="E869" s="1" t="n">
        <v>46222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7348-2025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45703</v>
      </c>
      <c r="E870" s="1" t="n">
        <v>46222</v>
      </c>
      <c r="F870" t="inlineStr">
        <is>
          <t>VÄRMLANDS LÄN</t>
        </is>
      </c>
      <c r="G870" t="inlineStr">
        <is>
          <t>ARVIKA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19764-2022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46222</v>
      </c>
      <c r="F871" t="inlineStr">
        <is>
          <t>VÄRMLANDS LÄN</t>
        </is>
      </c>
      <c r="G871" t="inlineStr">
        <is>
          <t>ARVIKA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25931-2023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46222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53301-2025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45959</v>
      </c>
      <c r="E873" s="1" t="n">
        <v>46222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57012-2023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45244</v>
      </c>
      <c r="E874" s="1" t="n">
        <v>46222</v>
      </c>
      <c r="F874" t="inlineStr">
        <is>
          <t>VÄRMLANDS LÄN</t>
        </is>
      </c>
      <c r="G874" t="inlineStr">
        <is>
          <t>ARVIKA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34840-2023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45141</v>
      </c>
      <c r="E875" s="1" t="n">
        <v>46222</v>
      </c>
      <c r="F875" t="inlineStr">
        <is>
          <t>VÄRMLANDS LÄN</t>
        </is>
      </c>
      <c r="G875" t="inlineStr">
        <is>
          <t>ARVIKA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22714-2025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45788</v>
      </c>
      <c r="E876" s="1" t="n">
        <v>46222</v>
      </c>
      <c r="F876" t="inlineStr">
        <is>
          <t>VÄRMLANDS LÄN</t>
        </is>
      </c>
      <c r="G876" t="inlineStr">
        <is>
          <t>ARVIKA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35571-2023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45147</v>
      </c>
      <c r="E877" s="1" t="n">
        <v>46222</v>
      </c>
      <c r="F877" t="inlineStr">
        <is>
          <t>VÄRMLANDS LÄN</t>
        </is>
      </c>
      <c r="G877" t="inlineStr">
        <is>
          <t>ARVIKA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22521-2025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45786</v>
      </c>
      <c r="E878" s="1" t="n">
        <v>46222</v>
      </c>
      <c r="F878" t="inlineStr">
        <is>
          <t>VÄRMLANDS LÄN</t>
        </is>
      </c>
      <c r="G878" t="inlineStr">
        <is>
          <t>ARVIKA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22992-2025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45790</v>
      </c>
      <c r="E879" s="1" t="n">
        <v>46222</v>
      </c>
      <c r="F879" t="inlineStr">
        <is>
          <t>VÄRMLANDS LÄN</t>
        </is>
      </c>
      <c r="G879" t="inlineStr">
        <is>
          <t>ARVIKA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41713-2025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45902</v>
      </c>
      <c r="E880" s="1" t="n">
        <v>46222</v>
      </c>
      <c r="F880" t="inlineStr">
        <is>
          <t>VÄRMLANDS LÄN</t>
        </is>
      </c>
      <c r="G880" t="inlineStr">
        <is>
          <t>ARVIKA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41714-2025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45902</v>
      </c>
      <c r="E881" s="1" t="n">
        <v>46222</v>
      </c>
      <c r="F881" t="inlineStr">
        <is>
          <t>VÄRMLANDS LÄN</t>
        </is>
      </c>
      <c r="G881" t="inlineStr">
        <is>
          <t>ARVIKA</t>
        </is>
      </c>
      <c r="I881" t="n">
        <v>6.8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9321-2022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44616</v>
      </c>
      <c r="E882" s="1" t="n">
        <v>46222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36826-2025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45874</v>
      </c>
      <c r="E883" s="1" t="n">
        <v>46222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2702-2025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45677</v>
      </c>
      <c r="E884" s="1" t="n">
        <v>46222</v>
      </c>
      <c r="F884" t="inlineStr">
        <is>
          <t>VÄRMLANDS LÄN</t>
        </is>
      </c>
      <c r="G884" t="inlineStr">
        <is>
          <t>ARVIKA</t>
        </is>
      </c>
      <c r="I884" t="n">
        <v>4.8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60593-2023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45260</v>
      </c>
      <c r="E885" s="1" t="n">
        <v>46222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28109-2025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45817</v>
      </c>
      <c r="E886" s="1" t="n">
        <v>46222</v>
      </c>
      <c r="F886" t="inlineStr">
        <is>
          <t>VÄRMLANDS LÄN</t>
        </is>
      </c>
      <c r="G886" t="inlineStr">
        <is>
          <t>ARVIKA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39702-2025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45890</v>
      </c>
      <c r="E887" s="1" t="n">
        <v>46222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8.9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42399-2025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45905</v>
      </c>
      <c r="E888" s="1" t="n">
        <v>46222</v>
      </c>
      <c r="F888" t="inlineStr">
        <is>
          <t>VÄRMLANDS LÄN</t>
        </is>
      </c>
      <c r="G888" t="inlineStr">
        <is>
          <t>ARVIKA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32280-2023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45120</v>
      </c>
      <c r="E889" s="1" t="n">
        <v>46222</v>
      </c>
      <c r="F889" t="inlineStr">
        <is>
          <t>VÄRMLANDS LÄN</t>
        </is>
      </c>
      <c r="G889" t="inlineStr">
        <is>
          <t>ARVIKA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24872-2023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45085</v>
      </c>
      <c r="E890" s="1" t="n">
        <v>46222</v>
      </c>
      <c r="F890" t="inlineStr">
        <is>
          <t>VÄRMLANDS LÄN</t>
        </is>
      </c>
      <c r="G890" t="inlineStr">
        <is>
          <t>ARVIKA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17387-2024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45414</v>
      </c>
      <c r="E891" s="1" t="n">
        <v>46222</v>
      </c>
      <c r="F891" t="inlineStr">
        <is>
          <t>VÄRMLANDS LÄN</t>
        </is>
      </c>
      <c r="G891" t="inlineStr">
        <is>
          <t>ARVIKA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17982-2024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45419</v>
      </c>
      <c r="E892" s="1" t="n">
        <v>46222</v>
      </c>
      <c r="F892" t="inlineStr">
        <is>
          <t>VÄRMLANDS LÄN</t>
        </is>
      </c>
      <c r="G892" t="inlineStr">
        <is>
          <t>ARVIKA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19932-2024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45433</v>
      </c>
      <c r="E893" s="1" t="n">
        <v>46222</v>
      </c>
      <c r="F893" t="inlineStr">
        <is>
          <t>VÄRMLANDS LÄN</t>
        </is>
      </c>
      <c r="G893" t="inlineStr">
        <is>
          <t>ARVIKA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4997-2025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45691</v>
      </c>
      <c r="E894" s="1" t="n">
        <v>46222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16466-2022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44671</v>
      </c>
      <c r="E895" s="1" t="n">
        <v>46222</v>
      </c>
      <c r="F895" t="inlineStr">
        <is>
          <t>VÄRMLANDS LÄN</t>
        </is>
      </c>
      <c r="G895" t="inlineStr">
        <is>
          <t>ARVIKA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25960-2026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46222</v>
      </c>
      <c r="F896" t="inlineStr">
        <is>
          <t>VÄRMLANDS LÄN</t>
        </is>
      </c>
      <c r="G896" t="inlineStr">
        <is>
          <t>ARVIKA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5329-2025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45692</v>
      </c>
      <c r="E897" s="1" t="n">
        <v>46222</v>
      </c>
      <c r="F897" t="inlineStr">
        <is>
          <t>VÄRMLANDS LÄN</t>
        </is>
      </c>
      <c r="G897" t="inlineStr">
        <is>
          <t>ARVIKA</t>
        </is>
      </c>
      <c r="H897" t="inlineStr">
        <is>
          <t>Kommuner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3588-2025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45680</v>
      </c>
      <c r="E898" s="1" t="n">
        <v>46222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41127-2024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45559</v>
      </c>
      <c r="E899" s="1" t="n">
        <v>46222</v>
      </c>
      <c r="F899" t="inlineStr">
        <is>
          <t>VÄRMLANDS LÄN</t>
        </is>
      </c>
      <c r="G899" t="inlineStr">
        <is>
          <t>ARVIKA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25186-2022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44729</v>
      </c>
      <c r="E900" s="1" t="n">
        <v>46222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26397-2026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46222</v>
      </c>
      <c r="F901" t="inlineStr">
        <is>
          <t>VÄRMLANDS LÄN</t>
        </is>
      </c>
      <c r="G901" t="inlineStr">
        <is>
          <t>ARVIKA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26378-2026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46222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54107-2023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46222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53539-2023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45230</v>
      </c>
      <c r="E904" s="1" t="n">
        <v>46222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26472-2026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46222</v>
      </c>
      <c r="F905" t="inlineStr">
        <is>
          <t>VÄRMLANDS LÄN</t>
        </is>
      </c>
      <c r="G905" t="inlineStr">
        <is>
          <t>ARVIKA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29494-2024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45484</v>
      </c>
      <c r="E906" s="1" t="n">
        <v>46222</v>
      </c>
      <c r="F906" t="inlineStr">
        <is>
          <t>VÄRMLANDS LÄN</t>
        </is>
      </c>
      <c r="G906" t="inlineStr">
        <is>
          <t>ARVIKA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45132-2023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46222</v>
      </c>
      <c r="F907" t="inlineStr">
        <is>
          <t>VÄRMLANDS LÄN</t>
        </is>
      </c>
      <c r="G907" t="inlineStr">
        <is>
          <t>ARVIKA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60059-2022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44909</v>
      </c>
      <c r="E908" s="1" t="n">
        <v>46222</v>
      </c>
      <c r="F908" t="inlineStr">
        <is>
          <t>VÄRMLANDS LÄN</t>
        </is>
      </c>
      <c r="G908" t="inlineStr">
        <is>
          <t>ARVIKA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20106-2022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44697</v>
      </c>
      <c r="E909" s="1" t="n">
        <v>46222</v>
      </c>
      <c r="F909" t="inlineStr">
        <is>
          <t>VÄRMLANDS LÄN</t>
        </is>
      </c>
      <c r="G909" t="inlineStr">
        <is>
          <t>ARVIKA</t>
        </is>
      </c>
      <c r="I909" t="n">
        <v>7.1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39980-2022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44820</v>
      </c>
      <c r="E910" s="1" t="n">
        <v>46222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32503-2024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45513</v>
      </c>
      <c r="E911" s="1" t="n">
        <v>46222</v>
      </c>
      <c r="F911" t="inlineStr">
        <is>
          <t>VÄRMLANDS LÄN</t>
        </is>
      </c>
      <c r="G911" t="inlineStr">
        <is>
          <t>ARVIKA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55061-2023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45237</v>
      </c>
      <c r="E912" s="1" t="n">
        <v>46222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38549-2025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46222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9574-2024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45360</v>
      </c>
      <c r="E914" s="1" t="n">
        <v>46222</v>
      </c>
      <c r="F914" t="inlineStr">
        <is>
          <t>VÄRMLANDS LÄN</t>
        </is>
      </c>
      <c r="G914" t="inlineStr">
        <is>
          <t>ARVIKA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22485-2025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45786</v>
      </c>
      <c r="E915" s="1" t="n">
        <v>46222</v>
      </c>
      <c r="F915" t="inlineStr">
        <is>
          <t>VÄRMLANDS LÄN</t>
        </is>
      </c>
      <c r="G915" t="inlineStr">
        <is>
          <t>ARVIKA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41712-2025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45902</v>
      </c>
      <c r="E916" s="1" t="n">
        <v>46222</v>
      </c>
      <c r="F916" t="inlineStr">
        <is>
          <t>VÄRMLANDS LÄN</t>
        </is>
      </c>
      <c r="G916" t="inlineStr">
        <is>
          <t>ARVIKA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20737-2026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46222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41310-2023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45174</v>
      </c>
      <c r="E918" s="1" t="n">
        <v>46222</v>
      </c>
      <c r="F918" t="inlineStr">
        <is>
          <t>VÄRMLANDS LÄN</t>
        </is>
      </c>
      <c r="G918" t="inlineStr">
        <is>
          <t>ARVIKA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16558-2025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45751</v>
      </c>
      <c r="E919" s="1" t="n">
        <v>46222</v>
      </c>
      <c r="F919" t="inlineStr">
        <is>
          <t>VÄRMLANDS LÄN</t>
        </is>
      </c>
      <c r="G919" t="inlineStr">
        <is>
          <t>ARVIKA</t>
        </is>
      </c>
      <c r="H919" t="inlineStr">
        <is>
          <t>Kommuner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20716-2026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46141</v>
      </c>
      <c r="E920" s="1" t="n">
        <v>46222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40299-2023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45169</v>
      </c>
      <c r="E921" s="1" t="n">
        <v>46222</v>
      </c>
      <c r="F921" t="inlineStr">
        <is>
          <t>VÄRMLANDS LÄN</t>
        </is>
      </c>
      <c r="G921" t="inlineStr">
        <is>
          <t>ARVIKA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20725-2026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46222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46924-2022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44851</v>
      </c>
      <c r="E923" s="1" t="n">
        <v>46222</v>
      </c>
      <c r="F923" t="inlineStr">
        <is>
          <t>VÄRMLANDS LÄN</t>
        </is>
      </c>
      <c r="G923" t="inlineStr">
        <is>
          <t>ARVIKA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8061-2025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45707</v>
      </c>
      <c r="E924" s="1" t="n">
        <v>46222</v>
      </c>
      <c r="F924" t="inlineStr">
        <is>
          <t>VÄRMLANDS LÄN</t>
        </is>
      </c>
      <c r="G924" t="inlineStr">
        <is>
          <t>ARVIKA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11696-2026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46222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58220-2023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45245</v>
      </c>
      <c r="E926" s="1" t="n">
        <v>46222</v>
      </c>
      <c r="F926" t="inlineStr">
        <is>
          <t>VÄRMLANDS LÄN</t>
        </is>
      </c>
      <c r="G926" t="inlineStr">
        <is>
          <t>ARVIKA</t>
        </is>
      </c>
      <c r="H926" t="inlineStr">
        <is>
          <t>Övriga Aktiebolag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47239-2022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44852</v>
      </c>
      <c r="E927" s="1" t="n">
        <v>46222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59100-2024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45637</v>
      </c>
      <c r="E928" s="1" t="n">
        <v>46222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23813-2022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44722</v>
      </c>
      <c r="E929" s="1" t="n">
        <v>46222</v>
      </c>
      <c r="F929" t="inlineStr">
        <is>
          <t>VÄRMLANDS LÄN</t>
        </is>
      </c>
      <c r="G929" t="inlineStr">
        <is>
          <t>ARVIKA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45660</v>
      </c>
      <c r="E930" s="1" t="n">
        <v>46222</v>
      </c>
      <c r="F930" t="inlineStr">
        <is>
          <t>VÄRMLANDS LÄN</t>
        </is>
      </c>
      <c r="G930" t="inlineStr">
        <is>
          <t>ARVIKA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60998-2024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45645</v>
      </c>
      <c r="E931" s="1" t="n">
        <v>46222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13286-2025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46222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45295</v>
      </c>
      <c r="E933" s="1" t="n">
        <v>46222</v>
      </c>
      <c r="F933" t="inlineStr">
        <is>
          <t>VÄRMLANDS LÄN</t>
        </is>
      </c>
      <c r="G933" t="inlineStr">
        <is>
          <t>ARVIKA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45069-2023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45191</v>
      </c>
      <c r="E934" s="1" t="n">
        <v>46222</v>
      </c>
      <c r="F934" t="inlineStr">
        <is>
          <t>VÄRMLANDS LÄN</t>
        </is>
      </c>
      <c r="G934" t="inlineStr">
        <is>
          <t>ARVIKA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27287-2026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46222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15120-2025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45744</v>
      </c>
      <c r="E936" s="1" t="n">
        <v>46222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27035-2026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46222</v>
      </c>
      <c r="F937" t="inlineStr">
        <is>
          <t>VÄRMLANDS LÄN</t>
        </is>
      </c>
      <c r="G937" t="inlineStr">
        <is>
          <t>ARVIKA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27352-2026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46222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27355-2026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46222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9721-2025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45716</v>
      </c>
      <c r="E940" s="1" t="n">
        <v>46222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26982-2026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46185</v>
      </c>
      <c r="E941" s="1" t="n">
        <v>46222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27358-2026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46222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27221-2026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46188</v>
      </c>
      <c r="E943" s="1" t="n">
        <v>46222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5.8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27225-2026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46222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62596-2022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44917</v>
      </c>
      <c r="E945" s="1" t="n">
        <v>46222</v>
      </c>
      <c r="F945" t="inlineStr">
        <is>
          <t>VÄRMLANDS LÄN</t>
        </is>
      </c>
      <c r="G945" t="inlineStr">
        <is>
          <t>ARVIKA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62601-2022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44917</v>
      </c>
      <c r="E946" s="1" t="n">
        <v>46222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27409-2026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46189</v>
      </c>
      <c r="E947" s="1" t="n">
        <v>46222</v>
      </c>
      <c r="F947" t="inlineStr">
        <is>
          <t>VÄRMLANDS LÄN</t>
        </is>
      </c>
      <c r="G947" t="inlineStr">
        <is>
          <t>ARVIKA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46190</v>
      </c>
      <c r="E948" s="1" t="n">
        <v>46222</v>
      </c>
      <c r="F948" t="inlineStr">
        <is>
          <t>VÄRMLANDS LÄN</t>
        </is>
      </c>
      <c r="G948" t="inlineStr">
        <is>
          <t>ARVIKA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2134-2024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45309</v>
      </c>
      <c r="E949" s="1" t="n">
        <v>46222</v>
      </c>
      <c r="F949" t="inlineStr">
        <is>
          <t>VÄRMLANDS LÄN</t>
        </is>
      </c>
      <c r="G949" t="inlineStr">
        <is>
          <t>ARVIKA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65036-2023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45287</v>
      </c>
      <c r="E950" s="1" t="n">
        <v>46222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10513-2024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45366</v>
      </c>
      <c r="E951" s="1" t="n">
        <v>46222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46108-2023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45196</v>
      </c>
      <c r="E952" s="1" t="n">
        <v>46222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379-2023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44922</v>
      </c>
      <c r="E953" s="1" t="n">
        <v>46222</v>
      </c>
      <c r="F953" t="inlineStr">
        <is>
          <t>VÄRMLANDS LÄN</t>
        </is>
      </c>
      <c r="G953" t="inlineStr">
        <is>
          <t>ARVIKA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27888-2026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46191</v>
      </c>
      <c r="E954" s="1" t="n">
        <v>46222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42163-2022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44830</v>
      </c>
      <c r="E955" s="1" t="n">
        <v>46222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46191</v>
      </c>
      <c r="E956" s="1" t="n">
        <v>46222</v>
      </c>
      <c r="F956" t="inlineStr">
        <is>
          <t>VÄRMLANDS LÄN</t>
        </is>
      </c>
      <c r="G956" t="inlineStr">
        <is>
          <t>ARVIKA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21719-2026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46149</v>
      </c>
      <c r="E957" s="1" t="n">
        <v>46222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38705-2022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44814</v>
      </c>
      <c r="E958" s="1" t="n">
        <v>46222</v>
      </c>
      <c r="F958" t="inlineStr">
        <is>
          <t>VÄRMLANDS LÄN</t>
        </is>
      </c>
      <c r="G958" t="inlineStr">
        <is>
          <t>ARVIKA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61206-2023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45264</v>
      </c>
      <c r="E959" s="1" t="n">
        <v>46222</v>
      </c>
      <c r="F959" t="inlineStr">
        <is>
          <t>VÄRMLANDS LÄN</t>
        </is>
      </c>
      <c r="G959" t="inlineStr">
        <is>
          <t>ARVIKA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33088-2022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44785</v>
      </c>
      <c r="E960" s="1" t="n">
        <v>46222</v>
      </c>
      <c r="F960" t="inlineStr">
        <is>
          <t>VÄRMLANDS LÄN</t>
        </is>
      </c>
      <c r="G960" t="inlineStr">
        <is>
          <t>ARVIKA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41580-2022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44827</v>
      </c>
      <c r="E961" s="1" t="n">
        <v>46222</v>
      </c>
      <c r="F961" t="inlineStr">
        <is>
          <t>VÄRMLANDS LÄN</t>
        </is>
      </c>
      <c r="G961" t="inlineStr">
        <is>
          <t>ARVIKA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26321-2023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45091</v>
      </c>
      <c r="E962" s="1" t="n">
        <v>46222</v>
      </c>
      <c r="F962" t="inlineStr">
        <is>
          <t>VÄRMLANDS LÄN</t>
        </is>
      </c>
      <c r="G962" t="inlineStr">
        <is>
          <t>ARVIKA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26324-2023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45091</v>
      </c>
      <c r="E963" s="1" t="n">
        <v>46222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21667-2026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46149</v>
      </c>
      <c r="E964" s="1" t="n">
        <v>46222</v>
      </c>
      <c r="F964" t="inlineStr">
        <is>
          <t>VÄRMLANDS LÄN</t>
        </is>
      </c>
      <c r="G964" t="inlineStr">
        <is>
          <t>ARVIKA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64664-2021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44512</v>
      </c>
      <c r="E965" s="1" t="n">
        <v>46222</v>
      </c>
      <c r="F965" t="inlineStr">
        <is>
          <t>VÄRMLANDS LÄN</t>
        </is>
      </c>
      <c r="G965" t="inlineStr">
        <is>
          <t>ARVIKA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31703-2024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45508</v>
      </c>
      <c r="E966" s="1" t="n">
        <v>46222</v>
      </c>
      <c r="F966" t="inlineStr">
        <is>
          <t>VÄRMLANDS LÄN</t>
        </is>
      </c>
      <c r="G966" t="inlineStr">
        <is>
          <t>ARVIKA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32013-2024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45510</v>
      </c>
      <c r="E967" s="1" t="n">
        <v>46222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39601-2023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45163</v>
      </c>
      <c r="E968" s="1" t="n">
        <v>46222</v>
      </c>
      <c r="F968" t="inlineStr">
        <is>
          <t>VÄRMLANDS LÄN</t>
        </is>
      </c>
      <c r="G968" t="inlineStr">
        <is>
          <t>ARVIKA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24535-2024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45460</v>
      </c>
      <c r="E969" s="1" t="n">
        <v>46222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54929-2025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45967</v>
      </c>
      <c r="E970" s="1" t="n">
        <v>46222</v>
      </c>
      <c r="F970" t="inlineStr">
        <is>
          <t>VÄRMLANDS LÄN</t>
        </is>
      </c>
      <c r="G970" t="inlineStr">
        <is>
          <t>ARVIKA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16014-2024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45405</v>
      </c>
      <c r="E971" s="1" t="n">
        <v>46222</v>
      </c>
      <c r="F971" t="inlineStr">
        <is>
          <t>VÄRMLANDS LÄN</t>
        </is>
      </c>
      <c r="G971" t="inlineStr">
        <is>
          <t>ARVIKA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28275-2026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46196</v>
      </c>
      <c r="E972" s="1" t="n">
        <v>46222</v>
      </c>
      <c r="F972" t="inlineStr">
        <is>
          <t>VÄRMLANDS LÄN</t>
        </is>
      </c>
      <c r="G972" t="inlineStr">
        <is>
          <t>ARVIKA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9857-2022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44620</v>
      </c>
      <c r="E973" s="1" t="n">
        <v>46222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33885-2024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45523</v>
      </c>
      <c r="E974" s="1" t="n">
        <v>46222</v>
      </c>
      <c r="F974" t="inlineStr">
        <is>
          <t>VÄRMLANDS LÄN</t>
        </is>
      </c>
      <c r="G974" t="inlineStr">
        <is>
          <t>ARVIKA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28373-2026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46222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28209-2026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46196</v>
      </c>
      <c r="E976" s="1" t="n">
        <v>46222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22714-2024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45448</v>
      </c>
      <c r="E977" s="1" t="n">
        <v>46222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26863-2024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45470</v>
      </c>
      <c r="E978" s="1" t="n">
        <v>46222</v>
      </c>
      <c r="F978" t="inlineStr">
        <is>
          <t>VÄRMLANDS LÄN</t>
        </is>
      </c>
      <c r="G978" t="inlineStr">
        <is>
          <t>ARVIKA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48488-2022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44858</v>
      </c>
      <c r="E979" s="1" t="n">
        <v>46222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33598-2024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46222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28111-2026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46195</v>
      </c>
      <c r="E981" s="1" t="n">
        <v>46222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44256-2025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45915</v>
      </c>
      <c r="E982" s="1" t="n">
        <v>46222</v>
      </c>
      <c r="F982" t="inlineStr">
        <is>
          <t>VÄRMLANDS LÄN</t>
        </is>
      </c>
      <c r="G982" t="inlineStr">
        <is>
          <t>ARVIKA</t>
        </is>
      </c>
      <c r="H982" t="inlineStr">
        <is>
          <t>Kyrkan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53243-2024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45613</v>
      </c>
      <c r="E983" s="1" t="n">
        <v>46222</v>
      </c>
      <c r="F983" t="inlineStr">
        <is>
          <t>VÄRMLANDS LÄN</t>
        </is>
      </c>
      <c r="G983" t="inlineStr">
        <is>
          <t>ARVIKA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57750-2024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45630</v>
      </c>
      <c r="E984" s="1" t="n">
        <v>46222</v>
      </c>
      <c r="F984" t="inlineStr">
        <is>
          <t>VÄRMLANDS LÄN</t>
        </is>
      </c>
      <c r="G984" t="inlineStr">
        <is>
          <t>ARVIKA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28084-2026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46222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45446-2025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45922</v>
      </c>
      <c r="E986" s="1" t="n">
        <v>46222</v>
      </c>
      <c r="F986" t="inlineStr">
        <is>
          <t>VÄRMLANDS LÄN</t>
        </is>
      </c>
      <c r="G986" t="inlineStr">
        <is>
          <t>ARVIKA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25520-2024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45463</v>
      </c>
      <c r="E987" s="1" t="n">
        <v>46222</v>
      </c>
      <c r="F987" t="inlineStr">
        <is>
          <t>VÄRMLANDS LÄN</t>
        </is>
      </c>
      <c r="G987" t="inlineStr">
        <is>
          <t>ARVIKA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50953-2024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45603</v>
      </c>
      <c r="E988" s="1" t="n">
        <v>46222</v>
      </c>
      <c r="F988" t="inlineStr">
        <is>
          <t>VÄRMLANDS LÄN</t>
        </is>
      </c>
      <c r="G988" t="inlineStr">
        <is>
          <t>ARVIKA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59341-2022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44904</v>
      </c>
      <c r="E989" s="1" t="n">
        <v>46222</v>
      </c>
      <c r="F989" t="inlineStr">
        <is>
          <t>VÄRMLANDS LÄN</t>
        </is>
      </c>
      <c r="G989" t="inlineStr">
        <is>
          <t>ARVIKA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2189-2025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45672</v>
      </c>
      <c r="E990" s="1" t="n">
        <v>46222</v>
      </c>
      <c r="F990" t="inlineStr">
        <is>
          <t>VÄRMLANDS LÄN</t>
        </is>
      </c>
      <c r="G990" t="inlineStr">
        <is>
          <t>ARVIKA</t>
        </is>
      </c>
      <c r="I990" t="n">
        <v>16.2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28083-2026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46195</v>
      </c>
      <c r="E991" s="1" t="n">
        <v>46222</v>
      </c>
      <c r="F991" t="inlineStr">
        <is>
          <t>VÄRMLANDS LÄN</t>
        </is>
      </c>
      <c r="G991" t="inlineStr">
        <is>
          <t>ARVIKA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62074-2022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44918</v>
      </c>
      <c r="E992" s="1" t="n">
        <v>46222</v>
      </c>
      <c r="F992" t="inlineStr">
        <is>
          <t>VÄRMLANDS LÄN</t>
        </is>
      </c>
      <c r="G992" t="inlineStr">
        <is>
          <t>ARVIKA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34446-2023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45135</v>
      </c>
      <c r="E993" s="1" t="n">
        <v>46222</v>
      </c>
      <c r="F993" t="inlineStr">
        <is>
          <t>VÄRMLANDS LÄN</t>
        </is>
      </c>
      <c r="G993" t="inlineStr">
        <is>
          <t>ARVIKA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6255-2023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44965</v>
      </c>
      <c r="E994" s="1" t="n">
        <v>46222</v>
      </c>
      <c r="F994" t="inlineStr">
        <is>
          <t>VÄRMLANDS LÄN</t>
        </is>
      </c>
      <c r="G994" t="inlineStr">
        <is>
          <t>ARVIKA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28491-2026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46197</v>
      </c>
      <c r="E995" s="1" t="n">
        <v>46222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4948-2024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45329</v>
      </c>
      <c r="E996" s="1" t="n">
        <v>46222</v>
      </c>
      <c r="F996" t="inlineStr">
        <is>
          <t>VÄRMLANDS LÄN</t>
        </is>
      </c>
      <c r="G996" t="inlineStr">
        <is>
          <t>ARVIKA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61544-2023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46222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53398-2022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44874</v>
      </c>
      <c r="E998" s="1" t="n">
        <v>46222</v>
      </c>
      <c r="F998" t="inlineStr">
        <is>
          <t>VÄRMLANDS LÄN</t>
        </is>
      </c>
      <c r="G998" t="inlineStr">
        <is>
          <t>ARVIKA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28549-2026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46222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11178-2022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44629</v>
      </c>
      <c r="E1000" s="1" t="n">
        <v>46222</v>
      </c>
      <c r="F1000" t="inlineStr">
        <is>
          <t>VÄRMLANDS LÄN</t>
        </is>
      </c>
      <c r="G1000" t="inlineStr">
        <is>
          <t>ARVIKA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29619-2022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44754</v>
      </c>
      <c r="E1001" s="1" t="n">
        <v>46222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28831-2026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46222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28833-2026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46198</v>
      </c>
      <c r="E1003" s="1" t="n">
        <v>46222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10404-2025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45720</v>
      </c>
      <c r="E1004" s="1" t="n">
        <v>46222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28606-2026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46197</v>
      </c>
      <c r="E1005" s="1" t="n">
        <v>46222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10475-2025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45720</v>
      </c>
      <c r="E1006" s="1" t="n">
        <v>46222</v>
      </c>
      <c r="F1006" t="inlineStr">
        <is>
          <t>VÄRMLANDS LÄN</t>
        </is>
      </c>
      <c r="G1006" t="inlineStr">
        <is>
          <t>ARVIKA</t>
        </is>
      </c>
      <c r="H1006" t="inlineStr">
        <is>
          <t>Kyrkan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58059-2024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45631</v>
      </c>
      <c r="E1007" s="1" t="n">
        <v>46222</v>
      </c>
      <c r="F1007" t="inlineStr">
        <is>
          <t>VÄRMLANDS LÄN</t>
        </is>
      </c>
      <c r="G1007" t="inlineStr">
        <is>
          <t>ARVIKA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28779-2026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46222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28481-2026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46197</v>
      </c>
      <c r="E1009" s="1" t="n">
        <v>46222</v>
      </c>
      <c r="F1009" t="inlineStr">
        <is>
          <t>VÄRMLANDS LÄN</t>
        </is>
      </c>
      <c r="G1009" t="inlineStr">
        <is>
          <t>ARVIKA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28557-2026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46222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43978-2024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45572</v>
      </c>
      <c r="E1011" s="1" t="n">
        <v>46222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28554-2026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46197</v>
      </c>
      <c r="E1012" s="1" t="n">
        <v>46222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42050-2024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45561</v>
      </c>
      <c r="E1013" s="1" t="n">
        <v>46222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42051-2024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45561</v>
      </c>
      <c r="E1014" s="1" t="n">
        <v>46222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26703-2023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46222</v>
      </c>
      <c r="F1015" t="inlineStr">
        <is>
          <t>VÄRMLANDS LÄN</t>
        </is>
      </c>
      <c r="G1015" t="inlineStr">
        <is>
          <t>ARVIKA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26710-2023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45093</v>
      </c>
      <c r="E1016" s="1" t="n">
        <v>46222</v>
      </c>
      <c r="F1016" t="inlineStr">
        <is>
          <t>VÄRMLANDS LÄN</t>
        </is>
      </c>
      <c r="G1016" t="inlineStr">
        <is>
          <t>ARVIKA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27758-2023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45098</v>
      </c>
      <c r="E1017" s="1" t="n">
        <v>46222</v>
      </c>
      <c r="F1017" t="inlineStr">
        <is>
          <t>VÄRMLANDS LÄN</t>
        </is>
      </c>
      <c r="G1017" t="inlineStr">
        <is>
          <t>ARVIKA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22951-2022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44715</v>
      </c>
      <c r="E1018" s="1" t="n">
        <v>46222</v>
      </c>
      <c r="F1018" t="inlineStr">
        <is>
          <t>VÄRMLANDS LÄN</t>
        </is>
      </c>
      <c r="G1018" t="inlineStr">
        <is>
          <t>ARVIKA</t>
        </is>
      </c>
      <c r="I1018" t="n">
        <v>9.1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47945-2024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46222</v>
      </c>
      <c r="F1019" t="inlineStr">
        <is>
          <t>VÄRMLANDS LÄN</t>
        </is>
      </c>
      <c r="G1019" t="inlineStr">
        <is>
          <t>ARVIKA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17484-2023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45036</v>
      </c>
      <c r="E1020" s="1" t="n">
        <v>46222</v>
      </c>
      <c r="F1020" t="inlineStr">
        <is>
          <t>VÄRMLANDS LÄN</t>
        </is>
      </c>
      <c r="G1020" t="inlineStr">
        <is>
          <t>ARVIKA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5337-2025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45692</v>
      </c>
      <c r="E1021" s="1" t="n">
        <v>46222</v>
      </c>
      <c r="F1021" t="inlineStr">
        <is>
          <t>VÄRMLANDS LÄN</t>
        </is>
      </c>
      <c r="G1021" t="inlineStr">
        <is>
          <t>ARVIKA</t>
        </is>
      </c>
      <c r="H1021" t="inlineStr">
        <is>
          <t>Kommuner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4090-2022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44588</v>
      </c>
      <c r="E1022" s="1" t="n">
        <v>46222</v>
      </c>
      <c r="F1022" t="inlineStr">
        <is>
          <t>VÄRMLANDS LÄN</t>
        </is>
      </c>
      <c r="G1022" t="inlineStr">
        <is>
          <t>ARVIKA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16674-2023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45030</v>
      </c>
      <c r="E1023" s="1" t="n">
        <v>46222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45756-2024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45579</v>
      </c>
      <c r="E1024" s="1" t="n">
        <v>46222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47540-2024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45587</v>
      </c>
      <c r="E1025" s="1" t="n">
        <v>46222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22971-2026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46160</v>
      </c>
      <c r="E1026" s="1" t="n">
        <v>46222</v>
      </c>
      <c r="F1026" t="inlineStr">
        <is>
          <t>VÄRMLANDS LÄN</t>
        </is>
      </c>
      <c r="G1026" t="inlineStr">
        <is>
          <t>ARVIKA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29578-2022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44754</v>
      </c>
      <c r="E1027" s="1" t="n">
        <v>46222</v>
      </c>
      <c r="F1027" t="inlineStr">
        <is>
          <t>VÄRMLANDS LÄN</t>
        </is>
      </c>
      <c r="G1027" t="inlineStr">
        <is>
          <t>ARVIKA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48995-2021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44453</v>
      </c>
      <c r="E1028" s="1" t="n">
        <v>46222</v>
      </c>
      <c r="F1028" t="inlineStr">
        <is>
          <t>VÄRMLANDS LÄN</t>
        </is>
      </c>
      <c r="G1028" t="inlineStr">
        <is>
          <t>ARVIKA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61555-2022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44916</v>
      </c>
      <c r="E1029" s="1" t="n">
        <v>46222</v>
      </c>
      <c r="F1029" t="inlineStr">
        <is>
          <t>VÄRMLANDS LÄN</t>
        </is>
      </c>
      <c r="G1029" t="inlineStr">
        <is>
          <t>ARVIKA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42299-2023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45180</v>
      </c>
      <c r="E1030" s="1" t="n">
        <v>46222</v>
      </c>
      <c r="F1030" t="inlineStr">
        <is>
          <t>VÄRMLANDS LÄN</t>
        </is>
      </c>
      <c r="G1030" t="inlineStr">
        <is>
          <t>ARVIKA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14829-2022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44656</v>
      </c>
      <c r="E1031" s="1" t="n">
        <v>46222</v>
      </c>
      <c r="F1031" t="inlineStr">
        <is>
          <t>VÄRMLANDS LÄN</t>
        </is>
      </c>
      <c r="G1031" t="inlineStr">
        <is>
          <t>ARVIKA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32263-2024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46222</v>
      </c>
      <c r="F1032" t="inlineStr">
        <is>
          <t>VÄRMLANDS LÄN</t>
        </is>
      </c>
      <c r="G1032" t="inlineStr">
        <is>
          <t>ARVIKA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29659-2026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46204</v>
      </c>
      <c r="E1033" s="1" t="n">
        <v>46222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29665-2026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46204</v>
      </c>
      <c r="E1034" s="1" t="n">
        <v>46222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23279-2026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46162</v>
      </c>
      <c r="E1035" s="1" t="n">
        <v>46222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6030-2023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44964</v>
      </c>
      <c r="E1036" s="1" t="n">
        <v>46222</v>
      </c>
      <c r="F1036" t="inlineStr">
        <is>
          <t>VÄRMLANDS LÄN</t>
        </is>
      </c>
      <c r="G1036" t="inlineStr">
        <is>
          <t>ARVIKA</t>
        </is>
      </c>
      <c r="I1036" t="n">
        <v>10.5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47534-2024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45587</v>
      </c>
      <c r="E1037" s="1" t="n">
        <v>46222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23401-2026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46162</v>
      </c>
      <c r="E1038" s="1" t="n">
        <v>46222</v>
      </c>
      <c r="F1038" t="inlineStr">
        <is>
          <t>VÄRMLANDS LÄN</t>
        </is>
      </c>
      <c r="G1038" t="inlineStr">
        <is>
          <t>ARVIKA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14455-2023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45012</v>
      </c>
      <c r="E1039" s="1" t="n">
        <v>46222</v>
      </c>
      <c r="F1039" t="inlineStr">
        <is>
          <t>VÄRMLANDS LÄN</t>
        </is>
      </c>
      <c r="G1039" t="inlineStr">
        <is>
          <t>ARVIKA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29441-2026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46203</v>
      </c>
      <c r="E1040" s="1" t="n">
        <v>46222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19364-2023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45049</v>
      </c>
      <c r="E1041" s="1" t="n">
        <v>46222</v>
      </c>
      <c r="F1041" t="inlineStr">
        <is>
          <t>VÄRMLANDS LÄN</t>
        </is>
      </c>
      <c r="G1041" t="inlineStr">
        <is>
          <t>ARVIKA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38666-2024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45547</v>
      </c>
      <c r="E1042" s="1" t="n">
        <v>46222</v>
      </c>
      <c r="F1042" t="inlineStr">
        <is>
          <t>VÄRMLANDS LÄN</t>
        </is>
      </c>
      <c r="G1042" t="inlineStr">
        <is>
          <t>ARVIKA</t>
        </is>
      </c>
      <c r="H1042" t="inlineStr">
        <is>
          <t>Kommuner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61908-2022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44917</v>
      </c>
      <c r="E1043" s="1" t="n">
        <v>46222</v>
      </c>
      <c r="F1043" t="inlineStr">
        <is>
          <t>VÄRMLANDS LÄN</t>
        </is>
      </c>
      <c r="G1043" t="inlineStr">
        <is>
          <t>ARVIKA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23169-2026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46161</v>
      </c>
      <c r="E1044" s="1" t="n">
        <v>46222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29175-2024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45482</v>
      </c>
      <c r="E1045" s="1" t="n">
        <v>46222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39073-2022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44817</v>
      </c>
      <c r="E1046" s="1" t="n">
        <v>46222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34933-2024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45527</v>
      </c>
      <c r="E1047" s="1" t="n">
        <v>46222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71778-2021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44543</v>
      </c>
      <c r="E1048" s="1" t="n">
        <v>46222</v>
      </c>
      <c r="F1048" t="inlineStr">
        <is>
          <t>VÄRMLANDS LÄN</t>
        </is>
      </c>
      <c r="G1048" t="inlineStr">
        <is>
          <t>ARVIKA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24329-2023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45081</v>
      </c>
      <c r="E1049" s="1" t="n">
        <v>46222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50678-2024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45601</v>
      </c>
      <c r="E1050" s="1" t="n">
        <v>46222</v>
      </c>
      <c r="F1050" t="inlineStr">
        <is>
          <t>VÄRMLANDS LÄN</t>
        </is>
      </c>
      <c r="G1050" t="inlineStr">
        <is>
          <t>ARVIKA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3610-2025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46222</v>
      </c>
      <c r="F1051" t="inlineStr">
        <is>
          <t>VÄRMLANDS LÄN</t>
        </is>
      </c>
      <c r="G1051" t="inlineStr">
        <is>
          <t>ARVIKA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15720-2022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44663</v>
      </c>
      <c r="E1052" s="1" t="n">
        <v>46222</v>
      </c>
      <c r="F1052" t="inlineStr">
        <is>
          <t>VÄRMLANDS LÄN</t>
        </is>
      </c>
      <c r="G1052" t="inlineStr">
        <is>
          <t>ARVIKA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30020-2026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46206</v>
      </c>
      <c r="E1053" s="1" t="n">
        <v>46222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50387-2021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44459</v>
      </c>
      <c r="E1054" s="1" t="n">
        <v>46222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29795-2026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46205</v>
      </c>
      <c r="E1055" s="1" t="n">
        <v>46222</v>
      </c>
      <c r="F1055" t="inlineStr">
        <is>
          <t>VÄRMLANDS LÄN</t>
        </is>
      </c>
      <c r="G1055" t="inlineStr">
        <is>
          <t>ARVIKA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6241-2025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45698</v>
      </c>
      <c r="E1056" s="1" t="n">
        <v>46222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  <c r="X1056">
        <f>HYPERLINK("https://klasma.github.io/Logging_1784/knärot/A 6241-2025 karta knärot.png", "A 6241-2025")</f>
        <v/>
      </c>
      <c r="Y1056">
        <f>HYPERLINK("https://klasma.github.io/Logging_1784/klagomål/A 6241-2025 FSC-klagomål.docx", "A 6241-2025")</f>
        <v/>
      </c>
      <c r="Z1056">
        <f>HYPERLINK("https://klasma.github.io/Logging_1784/klagomålsmail/A 6241-2025 FSC-klagomål mail.docx", "A 6241-2025")</f>
        <v/>
      </c>
      <c r="AA1056">
        <f>HYPERLINK("https://klasma.github.io/Logging_1784/tillsyn/A 6241-2025 tillsynsbegäran.docx", "A 6241-2025")</f>
        <v/>
      </c>
      <c r="AB1056">
        <f>HYPERLINK("https://klasma.github.io/Logging_1784/tillsynsmail/A 6241-2025 tillsynsbegäran mail.docx", "A 6241-2025")</f>
        <v/>
      </c>
    </row>
    <row r="1057" ht="15" customHeight="1">
      <c r="A1057" t="inlineStr">
        <is>
          <t>A 23630-2026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46163</v>
      </c>
      <c r="E1057" s="1" t="n">
        <v>46222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46222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10574-2025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45721</v>
      </c>
      <c r="E1059" s="1" t="n">
        <v>46222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4238-2025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45685</v>
      </c>
      <c r="E1060" s="1" t="n">
        <v>46222</v>
      </c>
      <c r="F1060" t="inlineStr">
        <is>
          <t>VÄRMLANDS LÄN</t>
        </is>
      </c>
      <c r="G1060" t="inlineStr">
        <is>
          <t>ARVIKA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24702-2025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45798</v>
      </c>
      <c r="E1061" s="1" t="n">
        <v>46222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30119-2026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46206</v>
      </c>
      <c r="E1062" s="1" t="n">
        <v>46222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13690-2026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46097</v>
      </c>
      <c r="E1063" s="1" t="n">
        <v>46222</v>
      </c>
      <c r="F1063" t="inlineStr">
        <is>
          <t>VÄRMLANDS LÄN</t>
        </is>
      </c>
      <c r="G1063" t="inlineStr">
        <is>
          <t>ARVIKA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5360-2025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45692</v>
      </c>
      <c r="E1064" s="1" t="n">
        <v>46222</v>
      </c>
      <c r="F1064" t="inlineStr">
        <is>
          <t>VÄRMLANDS LÄN</t>
        </is>
      </c>
      <c r="G1064" t="inlineStr">
        <is>
          <t>ARVIKA</t>
        </is>
      </c>
      <c r="H1064" t="inlineStr">
        <is>
          <t>Kommuner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49925-2024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45597</v>
      </c>
      <c r="E1065" s="1" t="n">
        <v>46222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8784-2023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44978</v>
      </c>
      <c r="E1066" s="1" t="n">
        <v>46222</v>
      </c>
      <c r="F1066" t="inlineStr">
        <is>
          <t>VÄRMLANDS LÄN</t>
        </is>
      </c>
      <c r="G1066" t="inlineStr">
        <is>
          <t>ARVIKA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9285-2023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44980</v>
      </c>
      <c r="E1067" s="1" t="n">
        <v>46222</v>
      </c>
      <c r="F1067" t="inlineStr">
        <is>
          <t>VÄRMLANDS LÄN</t>
        </is>
      </c>
      <c r="G1067" t="inlineStr">
        <is>
          <t>ARVIKA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8789-2023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44978</v>
      </c>
      <c r="E1068" s="1" t="n">
        <v>46222</v>
      </c>
      <c r="F1068" t="inlineStr">
        <is>
          <t>VÄRMLANDS LÄN</t>
        </is>
      </c>
      <c r="G1068" t="inlineStr">
        <is>
          <t>ARVIKA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12826-2023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45000</v>
      </c>
      <c r="E1069" s="1" t="n">
        <v>46222</v>
      </c>
      <c r="F1069" t="inlineStr">
        <is>
          <t>VÄRMLANDS LÄN</t>
        </is>
      </c>
      <c r="G1069" t="inlineStr">
        <is>
          <t>ARVIKA</t>
        </is>
      </c>
      <c r="I1069" t="n">
        <v>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23903-2026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46167</v>
      </c>
      <c r="E1070" s="1" t="n">
        <v>46222</v>
      </c>
      <c r="F1070" t="inlineStr">
        <is>
          <t>VÄRMLANDS LÄN</t>
        </is>
      </c>
      <c r="G1070" t="inlineStr">
        <is>
          <t>ARVIKA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23909-2026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46167</v>
      </c>
      <c r="E1071" s="1" t="n">
        <v>46222</v>
      </c>
      <c r="F1071" t="inlineStr">
        <is>
          <t>VÄRMLANDS LÄN</t>
        </is>
      </c>
      <c r="G1071" t="inlineStr">
        <is>
          <t>ARVIKA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11892-2025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45728</v>
      </c>
      <c r="E1072" s="1" t="n">
        <v>46222</v>
      </c>
      <c r="F1072" t="inlineStr">
        <is>
          <t>VÄRMLANDS LÄN</t>
        </is>
      </c>
      <c r="G1072" t="inlineStr">
        <is>
          <t>ARVIKA</t>
        </is>
      </c>
      <c r="I1072" t="n">
        <v>0.3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23863-2026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46167</v>
      </c>
      <c r="E1073" s="1" t="n">
        <v>46222</v>
      </c>
      <c r="F1073" t="inlineStr">
        <is>
          <t>VÄRMLANDS LÄN</t>
        </is>
      </c>
      <c r="G1073" t="inlineStr">
        <is>
          <t>ARVIKA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24167-2026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46168</v>
      </c>
      <c r="E1074" s="1" t="n">
        <v>46222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51658-2023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45222</v>
      </c>
      <c r="E1075" s="1" t="n">
        <v>46222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25601-2023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45083</v>
      </c>
      <c r="E1076" s="1" t="n">
        <v>46222</v>
      </c>
      <c r="F1076" t="inlineStr">
        <is>
          <t>VÄRMLANDS LÄN</t>
        </is>
      </c>
      <c r="G1076" t="inlineStr">
        <is>
          <t>ARVIKA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4751-2022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44592</v>
      </c>
      <c r="E1077" s="1" t="n">
        <v>46222</v>
      </c>
      <c r="F1077" t="inlineStr">
        <is>
          <t>VÄRMLANDS LÄN</t>
        </is>
      </c>
      <c r="G1077" t="inlineStr">
        <is>
          <t>ARVIKA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7456-2023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44971</v>
      </c>
      <c r="E1078" s="1" t="n">
        <v>46222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58591-2023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45251</v>
      </c>
      <c r="E1079" s="1" t="n">
        <v>46222</v>
      </c>
      <c r="F1079" t="inlineStr">
        <is>
          <t>VÄRMLANDS LÄN</t>
        </is>
      </c>
      <c r="G1079" t="inlineStr">
        <is>
          <t>ARVIKA</t>
        </is>
      </c>
      <c r="I1079" t="n">
        <v>15.3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4430-2023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44956</v>
      </c>
      <c r="E1080" s="1" t="n">
        <v>46222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37658-2023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45159</v>
      </c>
      <c r="E1081" s="1" t="n">
        <v>46222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52800-2021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44467</v>
      </c>
      <c r="E1082" s="1" t="n">
        <v>46222</v>
      </c>
      <c r="F1082" t="inlineStr">
        <is>
          <t>VÄRMLANDS LÄN</t>
        </is>
      </c>
      <c r="G1082" t="inlineStr">
        <is>
          <t>ARVIKA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4195-2024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45324</v>
      </c>
      <c r="E1083" s="1" t="n">
        <v>46222</v>
      </c>
      <c r="F1083" t="inlineStr">
        <is>
          <t>VÄRMLANDS LÄN</t>
        </is>
      </c>
      <c r="G1083" t="inlineStr">
        <is>
          <t>ARVIKA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37398-2023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45156</v>
      </c>
      <c r="E1084" s="1" t="n">
        <v>46222</v>
      </c>
      <c r="F1084" t="inlineStr">
        <is>
          <t>VÄRMLANDS LÄN</t>
        </is>
      </c>
      <c r="G1084" t="inlineStr">
        <is>
          <t>ARVIKA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31083-2023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45113</v>
      </c>
      <c r="E1085" s="1" t="n">
        <v>46222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24304-2026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46169</v>
      </c>
      <c r="E1086" s="1" t="n">
        <v>46222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33639-2024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45520</v>
      </c>
      <c r="E1087" s="1" t="n">
        <v>46222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5322-2023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44959</v>
      </c>
      <c r="E1088" s="1" t="n">
        <v>46222</v>
      </c>
      <c r="F1088" t="inlineStr">
        <is>
          <t>VÄRMLANDS LÄN</t>
        </is>
      </c>
      <c r="G1088" t="inlineStr">
        <is>
          <t>ARVIKA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60595-2022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44906</v>
      </c>
      <c r="E1089" s="1" t="n">
        <v>46222</v>
      </c>
      <c r="F1089" t="inlineStr">
        <is>
          <t>VÄRMLANDS LÄN</t>
        </is>
      </c>
      <c r="G1089" t="inlineStr">
        <is>
          <t>ARVIKA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17363-2023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45035</v>
      </c>
      <c r="E1090" s="1" t="n">
        <v>46222</v>
      </c>
      <c r="F1090" t="inlineStr">
        <is>
          <t>VÄRMLANDS LÄN</t>
        </is>
      </c>
      <c r="G1090" t="inlineStr">
        <is>
          <t>ARVIKA</t>
        </is>
      </c>
      <c r="I1090" t="n">
        <v>19.4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2155-2023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44941</v>
      </c>
      <c r="E1091" s="1" t="n">
        <v>46222</v>
      </c>
      <c r="F1091" t="inlineStr">
        <is>
          <t>VÄRMLANDS LÄN</t>
        </is>
      </c>
      <c r="G1091" t="inlineStr">
        <is>
          <t>ARVIKA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691-2024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45300</v>
      </c>
      <c r="E1092" s="1" t="n">
        <v>46222</v>
      </c>
      <c r="F1092" t="inlineStr">
        <is>
          <t>VÄRMLANDS LÄN</t>
        </is>
      </c>
      <c r="G1092" t="inlineStr">
        <is>
          <t>ARVIKA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13187-2025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45735</v>
      </c>
      <c r="E1093" s="1" t="n">
        <v>46222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38107-2023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45161</v>
      </c>
      <c r="E1094" s="1" t="n">
        <v>46222</v>
      </c>
      <c r="F1094" t="inlineStr">
        <is>
          <t>VÄRMLANDS LÄN</t>
        </is>
      </c>
      <c r="G1094" t="inlineStr">
        <is>
          <t>ARVIKA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37852-2023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45158</v>
      </c>
      <c r="E1095" s="1" t="n">
        <v>46222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31109-2026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46216</v>
      </c>
      <c r="E1096" s="1" t="n">
        <v>46222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31452-2023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45114</v>
      </c>
      <c r="E1097" s="1" t="n">
        <v>46222</v>
      </c>
      <c r="F1097" t="inlineStr">
        <is>
          <t>VÄRMLANDS LÄN</t>
        </is>
      </c>
      <c r="G1097" t="inlineStr">
        <is>
          <t>ARVIKA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10493-2024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45366</v>
      </c>
      <c r="E1098" s="1" t="n">
        <v>46222</v>
      </c>
      <c r="F1098" t="inlineStr">
        <is>
          <t>VÄRMLANDS LÄN</t>
        </is>
      </c>
      <c r="G1098" t="inlineStr">
        <is>
          <t>ARVIKA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31124-2026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46216</v>
      </c>
      <c r="E1099" s="1" t="n">
        <v>46222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929-2025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45665</v>
      </c>
      <c r="E1100" s="1" t="n">
        <v>46222</v>
      </c>
      <c r="F1100" t="inlineStr">
        <is>
          <t>VÄRMLANDS LÄN</t>
        </is>
      </c>
      <c r="G1100" t="inlineStr">
        <is>
          <t>ARVIKA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31532-2023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45116</v>
      </c>
      <c r="E1101" s="1" t="n">
        <v>46222</v>
      </c>
      <c r="F1101" t="inlineStr">
        <is>
          <t>VÄRMLANDS LÄN</t>
        </is>
      </c>
      <c r="G1101" t="inlineStr">
        <is>
          <t>ARVIKA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23496-2026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46222</v>
      </c>
      <c r="F1102" t="inlineStr">
        <is>
          <t>VÄRMLANDS LÄN</t>
        </is>
      </c>
      <c r="G1102" t="inlineStr">
        <is>
          <t>ARVIKA</t>
        </is>
      </c>
      <c r="I1102" t="n">
        <v>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5945-2025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45695</v>
      </c>
      <c r="E1103" s="1" t="n">
        <v>46222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24476-2026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46170</v>
      </c>
      <c r="E1104" s="1" t="n">
        <v>46222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26056-2024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45468</v>
      </c>
      <c r="E1105" s="1" t="n">
        <v>46222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19158-2025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45769</v>
      </c>
      <c r="E1106" s="1" t="n">
        <v>46222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24993-2026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46174</v>
      </c>
      <c r="E1107" s="1" t="n">
        <v>46222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29785-2024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45485</v>
      </c>
      <c r="E1108" s="1" t="n">
        <v>46222</v>
      </c>
      <c r="F1108" t="inlineStr">
        <is>
          <t>VÄRMLANDS LÄN</t>
        </is>
      </c>
      <c r="G1108" t="inlineStr">
        <is>
          <t>ARVIKA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45063-2023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45191</v>
      </c>
      <c r="E1109" s="1" t="n">
        <v>46222</v>
      </c>
      <c r="F1109" t="inlineStr">
        <is>
          <t>VÄRMLANDS LÄN</t>
        </is>
      </c>
      <c r="G1109" t="inlineStr">
        <is>
          <t>ARVIKA</t>
        </is>
      </c>
      <c r="I1109" t="n">
        <v>4.8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24997-2026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46174</v>
      </c>
      <c r="E1110" s="1" t="n">
        <v>46222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24913-2026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46174</v>
      </c>
      <c r="E1111" s="1" t="n">
        <v>46222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36418-2024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45536</v>
      </c>
      <c r="E1112" s="1" t="n">
        <v>46222</v>
      </c>
      <c r="F1112" t="inlineStr">
        <is>
          <t>VÄRMLANDS LÄN</t>
        </is>
      </c>
      <c r="G1112" t="inlineStr">
        <is>
          <t>ARVIKA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31282-2026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46218</v>
      </c>
      <c r="E1113" s="1" t="n">
        <v>46222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925-2025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45665</v>
      </c>
      <c r="E1114" s="1" t="n">
        <v>46222</v>
      </c>
      <c r="F1114" t="inlineStr">
        <is>
          <t>VÄRMLANDS LÄN</t>
        </is>
      </c>
      <c r="G1114" t="inlineStr">
        <is>
          <t>ARVIKA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927-2025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45665</v>
      </c>
      <c r="E1115" s="1" t="n">
        <v>46222</v>
      </c>
      <c r="F1115" t="inlineStr">
        <is>
          <t>VÄRMLANDS LÄN</t>
        </is>
      </c>
      <c r="G1115" t="inlineStr">
        <is>
          <t>ARVIKA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19928-2024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45433</v>
      </c>
      <c r="E1116" s="1" t="n">
        <v>46222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19930-2024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45433</v>
      </c>
      <c r="E1117" s="1" t="n">
        <v>46222</v>
      </c>
      <c r="F1117" t="inlineStr">
        <is>
          <t>VÄRMLANDS LÄN</t>
        </is>
      </c>
      <c r="G1117" t="inlineStr">
        <is>
          <t>ARVIKA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2156-2023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44941</v>
      </c>
      <c r="E1118" s="1" t="n">
        <v>46222</v>
      </c>
      <c r="F1118" t="inlineStr">
        <is>
          <t>VÄRMLANDS LÄN</t>
        </is>
      </c>
      <c r="G1118" t="inlineStr">
        <is>
          <t>ARVIKA</t>
        </is>
      </c>
      <c r="I1118" t="n">
        <v>5.1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47376-2023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45202</v>
      </c>
      <c r="E1119" s="1" t="n">
        <v>46222</v>
      </c>
      <c r="F1119" t="inlineStr">
        <is>
          <t>VÄRMLANDS LÄN</t>
        </is>
      </c>
      <c r="G1119" t="inlineStr">
        <is>
          <t>ARVIKA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47380-2023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45202</v>
      </c>
      <c r="E1120" s="1" t="n">
        <v>46222</v>
      </c>
      <c r="F1120" t="inlineStr">
        <is>
          <t>VÄRMLANDS LÄN</t>
        </is>
      </c>
      <c r="G1120" t="inlineStr">
        <is>
          <t>ARVIKA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2106-2024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45309</v>
      </c>
      <c r="E1121" s="1" t="n">
        <v>46222</v>
      </c>
      <c r="F1121" t="inlineStr">
        <is>
          <t>VÄRMLANDS LÄN</t>
        </is>
      </c>
      <c r="G1121" t="inlineStr">
        <is>
          <t>ARVIKA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24890-2026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46174</v>
      </c>
      <c r="E1122" s="1" t="n">
        <v>46222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5.7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16944-2024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45411</v>
      </c>
      <c r="E1123" s="1" t="n">
        <v>46222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45908-2022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44846</v>
      </c>
      <c r="E1124" s="1" t="n">
        <v>46222</v>
      </c>
      <c r="F1124" t="inlineStr">
        <is>
          <t>VÄRMLANDS LÄN</t>
        </is>
      </c>
      <c r="G1124" t="inlineStr">
        <is>
          <t>ARVIKA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25202-2026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46175</v>
      </c>
      <c r="E1125" s="1" t="n">
        <v>46222</v>
      </c>
      <c r="F1125" t="inlineStr">
        <is>
          <t>VÄRMLANDS LÄN</t>
        </is>
      </c>
      <c r="G1125" t="inlineStr">
        <is>
          <t>ARVIKA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44928</v>
      </c>
      <c r="E1126" s="1" t="n">
        <v>46222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33869-2024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45520</v>
      </c>
      <c r="E1127" s="1" t="n">
        <v>46222</v>
      </c>
      <c r="F1127" t="inlineStr">
        <is>
          <t>VÄRMLANDS LÄN</t>
        </is>
      </c>
      <c r="G1127" t="inlineStr">
        <is>
          <t>ARVIKA</t>
        </is>
      </c>
      <c r="I1127" t="n">
        <v>5.2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14780-2024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45397</v>
      </c>
      <c r="E1128" s="1" t="n">
        <v>46222</v>
      </c>
      <c r="F1128" t="inlineStr">
        <is>
          <t>VÄRMLANDS LÄN</t>
        </is>
      </c>
      <c r="G1128" t="inlineStr">
        <is>
          <t>ARVIKA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21523-2023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45063</v>
      </c>
      <c r="E1129" s="1" t="n">
        <v>46222</v>
      </c>
      <c r="F1129" t="inlineStr">
        <is>
          <t>VÄRMLANDS LÄN</t>
        </is>
      </c>
      <c r="G1129" t="inlineStr">
        <is>
          <t>ARVIKA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40436-2024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45555</v>
      </c>
      <c r="E1130" s="1" t="n">
        <v>46222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40441-2024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46222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57205-2024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46222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25813-2026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46178</v>
      </c>
      <c r="E1133" s="1" t="n">
        <v>46222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22914-2023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45072</v>
      </c>
      <c r="E1134" s="1" t="n">
        <v>46222</v>
      </c>
      <c r="F1134" t="inlineStr">
        <is>
          <t>VÄRMLANDS LÄN</t>
        </is>
      </c>
      <c r="G1134" t="inlineStr">
        <is>
          <t>ARVIKA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31436-2026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46220</v>
      </c>
      <c r="E1135" s="1" t="n">
        <v>46222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31374-2026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46219</v>
      </c>
      <c r="E1136" s="1" t="n">
        <v>46222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6.2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9916-2023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44985</v>
      </c>
      <c r="E1137" s="1" t="n">
        <v>46222</v>
      </c>
      <c r="F1137" t="inlineStr">
        <is>
          <t>VÄRMLANDS LÄN</t>
        </is>
      </c>
      <c r="G1137" t="inlineStr">
        <is>
          <t>ARVIKA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36303-2024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45534</v>
      </c>
      <c r="E1138" s="1" t="n">
        <v>46222</v>
      </c>
      <c r="F1138" t="inlineStr">
        <is>
          <t>VÄRMLANDS LÄN</t>
        </is>
      </c>
      <c r="G1138" t="inlineStr">
        <is>
          <t>ARVIKA</t>
        </is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46515-2023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45197</v>
      </c>
      <c r="E1139" s="1" t="n">
        <v>46222</v>
      </c>
      <c r="F1139" t="inlineStr">
        <is>
          <t>VÄRMLANDS LÄN</t>
        </is>
      </c>
      <c r="G1139" t="inlineStr">
        <is>
          <t>ARVIKA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25954-2023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45090</v>
      </c>
      <c r="E1140" s="1" t="n">
        <v>46222</v>
      </c>
      <c r="F1140" t="inlineStr">
        <is>
          <t>VÄRMLANDS LÄN</t>
        </is>
      </c>
      <c r="G1140" t="inlineStr">
        <is>
          <t>ARVIKA</t>
        </is>
      </c>
      <c r="I1140" t="n">
        <v>6.6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36959-2022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44806</v>
      </c>
      <c r="E1141" s="1" t="n">
        <v>46222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50847-2024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45602</v>
      </c>
      <c r="E1142" s="1" t="n">
        <v>46222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45805-2024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45579</v>
      </c>
      <c r="E1143" s="1" t="n">
        <v>46222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25802-2026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46178</v>
      </c>
      <c r="E1144" s="1" t="n">
        <v>46222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4049-2022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44588</v>
      </c>
      <c r="E1145" s="1" t="n">
        <v>46222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32823-2023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45109</v>
      </c>
      <c r="E1146" s="1" t="n">
        <v>46222</v>
      </c>
      <c r="F1146" t="inlineStr">
        <is>
          <t>VÄRMLANDS LÄN</t>
        </is>
      </c>
      <c r="G1146" t="inlineStr">
        <is>
          <t>ARVIKA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60593-2022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44906</v>
      </c>
      <c r="E1147" s="1" t="n">
        <v>46222</v>
      </c>
      <c r="F1147" t="inlineStr">
        <is>
          <t>VÄRMLANDS LÄN</t>
        </is>
      </c>
      <c r="G1147" t="inlineStr">
        <is>
          <t>ARVIKA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16809-2023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45033</v>
      </c>
      <c r="E1148" s="1" t="n">
        <v>46222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9061-2023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44979</v>
      </c>
      <c r="E1149" s="1" t="n">
        <v>46222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6602-2024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45341</v>
      </c>
      <c r="E1150" s="1" t="n">
        <v>46222</v>
      </c>
      <c r="F1150" t="inlineStr">
        <is>
          <t>VÄRMLANDS LÄN</t>
        </is>
      </c>
      <c r="G1150" t="inlineStr">
        <is>
          <t>ARVIKA</t>
        </is>
      </c>
      <c r="I1150" t="n">
        <v>7.5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8165-2024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45351</v>
      </c>
      <c r="E1151" s="1" t="n">
        <v>46222</v>
      </c>
      <c r="F1151" t="inlineStr">
        <is>
          <t>VÄRMLANDS LÄN</t>
        </is>
      </c>
      <c r="G1151" t="inlineStr">
        <is>
          <t>ARVIKA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61927-2024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45653</v>
      </c>
      <c r="E1152" s="1" t="n">
        <v>46222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63128-2023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45273</v>
      </c>
      <c r="E1153" s="1" t="n">
        <v>46222</v>
      </c>
      <c r="F1153" t="inlineStr">
        <is>
          <t>VÄRMLANDS LÄN</t>
        </is>
      </c>
      <c r="G1153" t="inlineStr">
        <is>
          <t>ARVIKA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58151-2024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45632</v>
      </c>
      <c r="E1154" s="1" t="n">
        <v>46222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58153-2024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45632</v>
      </c>
      <c r="E1155" s="1" t="n">
        <v>46222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8702-2023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44978</v>
      </c>
      <c r="E1156" s="1" t="n">
        <v>46222</v>
      </c>
      <c r="F1156" t="inlineStr">
        <is>
          <t>VÄRMLANDS LÄN</t>
        </is>
      </c>
      <c r="G1156" t="inlineStr">
        <is>
          <t>ARVIKA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74330-2021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44559</v>
      </c>
      <c r="E1157" s="1" t="n">
        <v>46222</v>
      </c>
      <c r="F1157" t="inlineStr">
        <is>
          <t>VÄRMLANDS LÄN</t>
        </is>
      </c>
      <c r="G1157" t="inlineStr">
        <is>
          <t>ARVIKA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35992-2023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45149</v>
      </c>
      <c r="E1158" s="1" t="n">
        <v>46222</v>
      </c>
      <c r="F1158" t="inlineStr">
        <is>
          <t>VÄRMLANDS LÄN</t>
        </is>
      </c>
      <c r="G1158" t="inlineStr">
        <is>
          <t>ARVIKA</t>
        </is>
      </c>
      <c r="H1158" t="inlineStr">
        <is>
          <t>Kyrkan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59104-2024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45637</v>
      </c>
      <c r="E1159" s="1" t="n">
        <v>46222</v>
      </c>
      <c r="F1159" t="inlineStr">
        <is>
          <t>VÄRMLANDS LÄN</t>
        </is>
      </c>
      <c r="G1159" t="inlineStr">
        <is>
          <t>ARVIKA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60516-2024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45643</v>
      </c>
      <c r="E1160" s="1" t="n">
        <v>46222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44419-2021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44435</v>
      </c>
      <c r="E1161" s="1" t="n">
        <v>46222</v>
      </c>
      <c r="F1161" t="inlineStr">
        <is>
          <t>VÄRMLANDS LÄN</t>
        </is>
      </c>
      <c r="G1161" t="inlineStr">
        <is>
          <t>ARVIKA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11321-2025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46222</v>
      </c>
      <c r="F1162" t="inlineStr">
        <is>
          <t>VÄRMLANDS LÄN</t>
        </is>
      </c>
      <c r="G1162" t="inlineStr">
        <is>
          <t>ARVIKA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11342-2025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45726</v>
      </c>
      <c r="E1163" s="1" t="n">
        <v>46222</v>
      </c>
      <c r="F1163" t="inlineStr">
        <is>
          <t>VÄRMLANDS LÄN</t>
        </is>
      </c>
      <c r="G1163" t="inlineStr">
        <is>
          <t>ARVIKA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32577-2023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45121</v>
      </c>
      <c r="E1164" s="1" t="n">
        <v>46222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32619-2023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45121</v>
      </c>
      <c r="E1165" s="1" t="n">
        <v>46222</v>
      </c>
      <c r="F1165" t="inlineStr">
        <is>
          <t>VÄRMLANDS LÄN</t>
        </is>
      </c>
      <c r="G1165" t="inlineStr">
        <is>
          <t>ARVIKA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58061-2024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45631</v>
      </c>
      <c r="E1166" s="1" t="n">
        <v>46222</v>
      </c>
      <c r="F1166" t="inlineStr">
        <is>
          <t>VÄRMLANDS LÄN</t>
        </is>
      </c>
      <c r="G1166" t="inlineStr">
        <is>
          <t>ARVIKA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50383-2024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45601</v>
      </c>
      <c r="E1167" s="1" t="n">
        <v>46222</v>
      </c>
      <c r="F1167" t="inlineStr">
        <is>
          <t>VÄRMLANDS LÄN</t>
        </is>
      </c>
      <c r="G1167" t="inlineStr">
        <is>
          <t>ARVIKA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4506-2025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45686</v>
      </c>
      <c r="E1168" s="1" t="n">
        <v>46222</v>
      </c>
      <c r="F1168" t="inlineStr">
        <is>
          <t>VÄRMLANDS LÄN</t>
        </is>
      </c>
      <c r="G1168" t="inlineStr">
        <is>
          <t>ARVIKA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48457-2023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45206</v>
      </c>
      <c r="E1169" s="1" t="n">
        <v>46222</v>
      </c>
      <c r="F1169" t="inlineStr">
        <is>
          <t>VÄRMLANDS LÄN</t>
        </is>
      </c>
      <c r="G1169" t="inlineStr">
        <is>
          <t>ARVIKA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51316-2024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45604</v>
      </c>
      <c r="E1170" s="1" t="n">
        <v>46222</v>
      </c>
      <c r="F1170" t="inlineStr">
        <is>
          <t>VÄRMLANDS LÄN</t>
        </is>
      </c>
      <c r="G1170" t="inlineStr">
        <is>
          <t>ARVIKA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18477-2025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45762</v>
      </c>
      <c r="E1171" s="1" t="n">
        <v>46222</v>
      </c>
      <c r="F1171" t="inlineStr">
        <is>
          <t>VÄRMLANDS LÄN</t>
        </is>
      </c>
      <c r="G1171" t="inlineStr">
        <is>
          <t>ARVIKA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15640-2025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45748</v>
      </c>
      <c r="E1172" s="1" t="n">
        <v>46222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53892-2022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44880</v>
      </c>
      <c r="E1173" s="1" t="n">
        <v>46222</v>
      </c>
      <c r="F1173" t="inlineStr">
        <is>
          <t>VÄRMLANDS LÄN</t>
        </is>
      </c>
      <c r="G1173" t="inlineStr">
        <is>
          <t>ARVIKA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54158-2024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45616</v>
      </c>
      <c r="E1174" s="1" t="n">
        <v>46222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33421-2024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45519</v>
      </c>
      <c r="E1175" s="1" t="n">
        <v>46222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38531-2023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45162</v>
      </c>
      <c r="E1176" s="1" t="n">
        <v>46222</v>
      </c>
      <c r="F1176" t="inlineStr">
        <is>
          <t>VÄRMLANDS LÄN</t>
        </is>
      </c>
      <c r="G1176" t="inlineStr">
        <is>
          <t>ARVIKA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1411-2025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45667</v>
      </c>
      <c r="E1177" s="1" t="n">
        <v>46222</v>
      </c>
      <c r="F1177" t="inlineStr">
        <is>
          <t>VÄRMLANDS LÄN</t>
        </is>
      </c>
      <c r="G1177" t="inlineStr">
        <is>
          <t>ARVIKA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37213-2024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45539</v>
      </c>
      <c r="E1178" s="1" t="n">
        <v>46222</v>
      </c>
      <c r="F1178" t="inlineStr">
        <is>
          <t>VÄRMLANDS LÄN</t>
        </is>
      </c>
      <c r="G1178" t="inlineStr">
        <is>
          <t>ARVIKA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21580-2025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45782</v>
      </c>
      <c r="E1179" s="1" t="n">
        <v>46222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21907-2025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45784</v>
      </c>
      <c r="E1180" s="1" t="n">
        <v>46222</v>
      </c>
      <c r="F1180" t="inlineStr">
        <is>
          <t>VÄRMLANDS LÄN</t>
        </is>
      </c>
      <c r="G1180" t="inlineStr">
        <is>
          <t>ARVIKA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21693-2025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45783</v>
      </c>
      <c r="E1181" s="1" t="n">
        <v>46222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20884-2024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45439</v>
      </c>
      <c r="E1182" s="1" t="n">
        <v>46222</v>
      </c>
      <c r="F1182" t="inlineStr">
        <is>
          <t>VÄRMLANDS LÄN</t>
        </is>
      </c>
      <c r="G1182" t="inlineStr">
        <is>
          <t>ARVIKA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9525-2024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45359</v>
      </c>
      <c r="E1183" s="1" t="n">
        <v>46222</v>
      </c>
      <c r="F1183" t="inlineStr">
        <is>
          <t>VÄRMLANDS LÄN</t>
        </is>
      </c>
      <c r="G1183" t="inlineStr">
        <is>
          <t>ARVIKA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22589-2025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45789</v>
      </c>
      <c r="E1184" s="1" t="n">
        <v>46222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58538-2023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45251</v>
      </c>
      <c r="E1185" s="1" t="n">
        <v>46222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9236-2023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44980</v>
      </c>
      <c r="E1186" s="1" t="n">
        <v>46222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58064-2024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45631</v>
      </c>
      <c r="E1187" s="1" t="n">
        <v>46222</v>
      </c>
      <c r="F1187" t="inlineStr">
        <is>
          <t>VÄRMLANDS LÄN</t>
        </is>
      </c>
      <c r="G1187" t="inlineStr">
        <is>
          <t>ARVIKA</t>
        </is>
      </c>
      <c r="I1187" t="n">
        <v>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21866-2024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45443</v>
      </c>
      <c r="E1188" s="1" t="n">
        <v>46222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55730-2024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45622</v>
      </c>
      <c r="E1189" s="1" t="n">
        <v>46222</v>
      </c>
      <c r="F1189" t="inlineStr">
        <is>
          <t>VÄRMLANDS LÄN</t>
        </is>
      </c>
      <c r="G1189" t="inlineStr">
        <is>
          <t>ARVIKA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23267-2024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45453</v>
      </c>
      <c r="E1190" s="1" t="n">
        <v>46222</v>
      </c>
      <c r="F1190" t="inlineStr">
        <is>
          <t>VÄRMLANDS LÄN</t>
        </is>
      </c>
      <c r="G1190" t="inlineStr">
        <is>
          <t>ARVIKA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45796</v>
      </c>
      <c r="E1191" s="1" t="n">
        <v>46222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2605-2025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45674</v>
      </c>
      <c r="E1192" s="1" t="n">
        <v>46222</v>
      </c>
      <c r="F1192" t="inlineStr">
        <is>
          <t>VÄRMLANDS LÄN</t>
        </is>
      </c>
      <c r="G1192" t="inlineStr">
        <is>
          <t>ARVIKA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2356-2025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45673</v>
      </c>
      <c r="E1193" s="1" t="n">
        <v>46222</v>
      </c>
      <c r="F1193" t="inlineStr">
        <is>
          <t>VÄRMLANDS LÄN</t>
        </is>
      </c>
      <c r="G1193" t="inlineStr">
        <is>
          <t>ARVIKA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3144-2024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45316</v>
      </c>
      <c r="E1194" s="1" t="n">
        <v>46222</v>
      </c>
      <c r="F1194" t="inlineStr">
        <is>
          <t>VÄRMLANDS LÄN</t>
        </is>
      </c>
      <c r="G1194" t="inlineStr">
        <is>
          <t>ARVIKA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31576-2024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45506</v>
      </c>
      <c r="E1195" s="1" t="n">
        <v>46222</v>
      </c>
      <c r="F1195" t="inlineStr">
        <is>
          <t>VÄRMLANDS LÄN</t>
        </is>
      </c>
      <c r="G1195" t="inlineStr">
        <is>
          <t>ARVIKA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20386-2025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45775</v>
      </c>
      <c r="E1196" s="1" t="n">
        <v>46222</v>
      </c>
      <c r="F1196" t="inlineStr">
        <is>
          <t>VÄRMLANDS LÄN</t>
        </is>
      </c>
      <c r="G1196" t="inlineStr">
        <is>
          <t>ARVIKA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48607-2024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45593</v>
      </c>
      <c r="E1197" s="1" t="n">
        <v>46222</v>
      </c>
      <c r="F1197" t="inlineStr">
        <is>
          <t>VÄRMLANDS LÄN</t>
        </is>
      </c>
      <c r="G1197" t="inlineStr">
        <is>
          <t>ARVIKA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12151-2024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45377</v>
      </c>
      <c r="E1198" s="1" t="n">
        <v>46222</v>
      </c>
      <c r="F1198" t="inlineStr">
        <is>
          <t>VÄRMLANDS LÄN</t>
        </is>
      </c>
      <c r="G1198" t="inlineStr">
        <is>
          <t>ARVIKA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21069-2022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44704</v>
      </c>
      <c r="E1199" s="1" t="n">
        <v>46222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25079-2025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45799</v>
      </c>
      <c r="E1200" s="1" t="n">
        <v>46222</v>
      </c>
      <c r="F1200" t="inlineStr">
        <is>
          <t>VÄRMLANDS LÄN</t>
        </is>
      </c>
      <c r="G1200" t="inlineStr">
        <is>
          <t>ARVIKA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25136-2025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45800</v>
      </c>
      <c r="E1201" s="1" t="n">
        <v>46222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25077-2025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45799</v>
      </c>
      <c r="E1202" s="1" t="n">
        <v>46222</v>
      </c>
      <c r="F1202" t="inlineStr">
        <is>
          <t>VÄRMLANDS LÄN</t>
        </is>
      </c>
      <c r="G1202" t="inlineStr">
        <is>
          <t>ARVIKA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25078-2025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45799</v>
      </c>
      <c r="E1203" s="1" t="n">
        <v>46222</v>
      </c>
      <c r="F1203" t="inlineStr">
        <is>
          <t>VÄRMLANDS LÄN</t>
        </is>
      </c>
      <c r="G1203" t="inlineStr">
        <is>
          <t>ARVIKA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25489-2025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45803</v>
      </c>
      <c r="E1204" s="1" t="n">
        <v>46222</v>
      </c>
      <c r="F1204" t="inlineStr">
        <is>
          <t>VÄRMLANDS LÄN</t>
        </is>
      </c>
      <c r="G1204" t="inlineStr">
        <is>
          <t>ARVIKA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25893-2025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45804</v>
      </c>
      <c r="E1205" s="1" t="n">
        <v>46222</v>
      </c>
      <c r="F1205" t="inlineStr">
        <is>
          <t>VÄRMLANDS LÄN</t>
        </is>
      </c>
      <c r="G1205" t="inlineStr">
        <is>
          <t>ARVIKA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387-2021</t>
        </is>
      </c>
      <c r="B1206" t="inlineStr">
        <is>
          <t>samrådsanmälan</t>
        </is>
      </c>
      <c r="C1206" t="inlineStr">
        <is>
          <t>Åtgärd i nyckelbiotop</t>
        </is>
      </c>
      <c r="D1206" s="1" t="n">
        <v>44256</v>
      </c>
      <c r="E1206" s="1" t="n">
        <v>46222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665-2021</t>
        </is>
      </c>
      <c r="B1207" t="inlineStr">
        <is>
          <t>samrådsanmälan</t>
        </is>
      </c>
      <c r="C1207" t="inlineStr">
        <is>
          <t>Annan skogsbruksåtgärd</t>
        </is>
      </c>
      <c r="D1207" s="1" t="n">
        <v>44279</v>
      </c>
      <c r="E1207" s="1" t="n">
        <v>46222</v>
      </c>
      <c r="F1207" t="inlineStr">
        <is>
          <t>VÄRMLANDS LÄN</t>
        </is>
      </c>
      <c r="G1207" t="inlineStr">
        <is>
          <t>ARVIKA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2202-2020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44104</v>
      </c>
      <c r="E1208" s="1" t="n">
        <v>46222</v>
      </c>
      <c r="F1208" t="inlineStr">
        <is>
          <t>VÄRMLANDS LÄN</t>
        </is>
      </c>
      <c r="G1208" t="inlineStr">
        <is>
          <t>ARVIKA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2208-2020</t>
        </is>
      </c>
      <c r="B1209" t="inlineStr">
        <is>
          <t>samrådsanmälan</t>
        </is>
      </c>
      <c r="C1209" t="inlineStr">
        <is>
          <t>Dikesrensning</t>
        </is>
      </c>
      <c r="D1209" s="1" t="n">
        <v>44104</v>
      </c>
      <c r="E1209" s="1" t="n">
        <v>46222</v>
      </c>
      <c r="F1209" t="inlineStr">
        <is>
          <t>VÄRMLANDS LÄN</t>
        </is>
      </c>
      <c r="G1209" t="inlineStr">
        <is>
          <t>ARVIKA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2622-2020</t>
        </is>
      </c>
      <c r="B1210" t="inlineStr">
        <is>
          <t>samrådsanmälan</t>
        </is>
      </c>
      <c r="C1210" t="inlineStr">
        <is>
          <t>Skogsbilväg</t>
        </is>
      </c>
      <c r="D1210" s="1" t="n">
        <v>44147</v>
      </c>
      <c r="E1210" s="1" t="n">
        <v>46222</v>
      </c>
      <c r="F1210" t="inlineStr">
        <is>
          <t>VÄRMLANDS LÄN</t>
        </is>
      </c>
      <c r="G1210" t="inlineStr">
        <is>
          <t>ARVIKA</t>
        </is>
      </c>
      <c r="I1210" t="n">
        <v>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2182-2021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44350</v>
      </c>
      <c r="E1211" s="1" t="n">
        <v>46222</v>
      </c>
      <c r="F1211" t="inlineStr">
        <is>
          <t>VÄRMLANDS LÄN</t>
        </is>
      </c>
      <c r="G1211" t="inlineStr">
        <is>
          <t>ARVIKA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285-2022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330-2022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46222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50.8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291-2022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46222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4.4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298-2022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46222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293-2022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46222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317-2022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46222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25.8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327-2022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46222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28.7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10212-2021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46222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15.7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10233-2021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46222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10210-2021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46222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20.1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10226-2021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46222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10215-2021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46222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10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7135-2022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46222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31.2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10232-2021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46222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6.7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7131-2022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44911</v>
      </c>
      <c r="E1227" s="1" t="n">
        <v>46222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26.4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10152-2021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46222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21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6811-2022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44893</v>
      </c>
      <c r="E1229" s="1" t="n">
        <v>46222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10216-2021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44542</v>
      </c>
      <c r="E1230" s="1" t="n">
        <v>46222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10207-2021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44540</v>
      </c>
      <c r="E1231" s="1" t="n">
        <v>46222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18.2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10156-2021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44540</v>
      </c>
      <c r="E1232" s="1" t="n">
        <v>46222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30.4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5027-2024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45635</v>
      </c>
      <c r="E1233" s="1" t="n">
        <v>46222</v>
      </c>
      <c r="F1233" t="inlineStr">
        <is>
          <t>VÄRMLANDS LÄN</t>
        </is>
      </c>
      <c r="G1233" t="inlineStr">
        <is>
          <t>ARVIKA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974-2025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45743</v>
      </c>
      <c r="E1234" s="1" t="n">
        <v>46222</v>
      </c>
      <c r="F1234" t="inlineStr">
        <is>
          <t>VÄRMLANDS LÄN</t>
        </is>
      </c>
      <c r="G1234" t="inlineStr">
        <is>
          <t>ARVIKA</t>
        </is>
      </c>
      <c r="I1234" t="n">
        <v>9.9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994-2025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46222</v>
      </c>
      <c r="F1235" t="inlineStr">
        <is>
          <t>VÄRMLANDS LÄN</t>
        </is>
      </c>
      <c r="G1235" t="inlineStr">
        <is>
          <t>ARVIKA</t>
        </is>
      </c>
      <c r="I1235" t="n">
        <v>13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992-2025</t>
        </is>
      </c>
      <c r="B1236" t="inlineStr">
        <is>
          <t>samrådsanmälan</t>
        </is>
      </c>
      <c r="C1236" t="inlineStr">
        <is>
          <t>Skogsgödsling</t>
        </is>
      </c>
      <c r="D1236" s="1" t="n">
        <v>45744</v>
      </c>
      <c r="E1236" s="1" t="n">
        <v>46222</v>
      </c>
      <c r="F1236" t="inlineStr">
        <is>
          <t>VÄRMLANDS LÄN</t>
        </is>
      </c>
      <c r="G1236" t="inlineStr">
        <is>
          <t>ARVIKA</t>
        </is>
      </c>
      <c r="I1236" t="n">
        <v>10.7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S 4895-2024</t>
        </is>
      </c>
      <c r="B1237" t="inlineStr">
        <is>
          <t>samrådsanmälan</t>
        </is>
      </c>
      <c r="C1237" t="inlineStr">
        <is>
          <t>Åtgärd i nyckelbiotop</t>
        </is>
      </c>
      <c r="D1237" s="1" t="n">
        <v>45622</v>
      </c>
      <c r="E1237" s="1" t="n">
        <v>46222</v>
      </c>
      <c r="F1237" t="inlineStr">
        <is>
          <t>VÄRMLANDS LÄN</t>
        </is>
      </c>
      <c r="G1237" t="inlineStr">
        <is>
          <t>ARVIKA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S 1205-2026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46140</v>
      </c>
      <c r="E1238" s="1" t="n">
        <v>46222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>
      <c r="A1239" t="inlineStr">
        <is>
          <t>S 1677-2026</t>
        </is>
      </c>
      <c r="B1239" t="inlineStr">
        <is>
          <t>samrådsanmälan</t>
        </is>
      </c>
      <c r="C1239" t="inlineStr">
        <is>
          <t>Annan skogsbruksåtgärd</t>
        </is>
      </c>
      <c r="D1239" s="1" t="n">
        <v>46182</v>
      </c>
      <c r="E1239" s="1" t="n">
        <v>46222</v>
      </c>
      <c r="F1239" t="inlineStr">
        <is>
          <t>VÄRMLANDS LÄN</t>
        </is>
      </c>
      <c r="G1239" t="inlineStr">
        <is>
          <t>ARVIKA</t>
        </is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2026-07-19T01:35:12Z</dcterms:created>
  <dcterms:modified xmlns:dcterms="http://purl.org/dc/terms/" xmlns:xsi="http://www.w3.org/2001/XMLSchema-instance" xsi:type="dcterms:W3CDTF">2026-07-19T01:35:13Z</dcterms:modified>
</cp:coreProperties>
</file>