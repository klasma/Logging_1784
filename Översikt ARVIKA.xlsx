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46313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46313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46313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46313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46313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46313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46313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46313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46313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46313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46313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46313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46313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46313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46313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46313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46313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46313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46313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46313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46313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46313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46313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46313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46313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46313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46313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46313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6536-2026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46313</v>
      </c>
      <c r="F37" t="inlineStr">
        <is>
          <t>VÄRMLANDS LÄN</t>
        </is>
      </c>
      <c r="G37" t="inlineStr">
        <is>
          <t>ARVIKA</t>
        </is>
      </c>
      <c r="I37" t="n">
        <v>1.4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Hieracium arrosum
Trollfibbla</t>
        </is>
      </c>
      <c r="W37">
        <f>HYPERLINK("https://klasma.github.io/Logging_1784/artfynd/A 6536-2026 artfynd.xlsx", "A 6536-2026")</f>
        <v/>
      </c>
      <c r="X37">
        <f>HYPERLINK("https://klasma.github.io/Logging_1784/kartor/A 6536-2026 karta.png", "A 6536-2026")</f>
        <v/>
      </c>
      <c r="Y37">
        <f>HYPERLINK("https://klasma.github.io/Logging_1784/kartor_geotiff/A 6536-2026 georefererad karta.tif", "A 6536-2026")</f>
        <v/>
      </c>
      <c r="AA37">
        <f>HYPERLINK("https://klasma.github.io/Logging_1784/klagomål/A 6536-2026 FSC-klagomål.docx", "A 6536-2026")</f>
        <v/>
      </c>
      <c r="AB37">
        <f>HYPERLINK("https://klasma.github.io/Logging_1784/klagomålsmail/A 6536-2026 FSC-klagomål mail.docx", "A 6536-2026")</f>
        <v/>
      </c>
      <c r="AC37">
        <f>HYPERLINK("https://klasma.github.io/Logging_1784/tillsyn/A 6536-2026 tillsynsbegäran.docx", "A 6536-2026")</f>
        <v/>
      </c>
      <c r="AD37">
        <f>HYPERLINK("https://klasma.github.io/Logging_1784/tillsynsmail/A 6536-2026 tillsynsbegäran mail.docx", "A 6536-2026")</f>
        <v/>
      </c>
    </row>
    <row r="38" ht="15" customHeight="1">
      <c r="A38" t="inlineStr">
        <is>
          <t>A 28743-2026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46198</v>
      </c>
      <c r="E38" s="1" t="n">
        <v>46313</v>
      </c>
      <c r="F38" t="inlineStr">
        <is>
          <t>VÄRMLANDS LÄN</t>
        </is>
      </c>
      <c r="G38" t="inlineStr">
        <is>
          <t>ARVIKA</t>
        </is>
      </c>
      <c r="I38" t="n">
        <v>11.9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8</v>
      </c>
      <c r="U38" t="n">
        <v>0</v>
      </c>
      <c r="V38" s="2" t="inlineStr">
        <is>
          <t>Dolkstekelsglasvinge
Tjäder</t>
        </is>
      </c>
      <c r="W38">
        <f>HYPERLINK("https://klasma.github.io/Logging_1784/artfynd/A 28743-2026 artfynd.xlsx", "A 28743-2026")</f>
        <v/>
      </c>
      <c r="X38">
        <f>HYPERLINK("https://klasma.github.io/Logging_1784/kartor/A 28743-2026 karta.png", "A 28743-2026")</f>
        <v/>
      </c>
      <c r="Y38">
        <f>HYPERLINK("https://klasma.github.io/Logging_1784/kartor_geotiff/A 28743-2026 georefererad karta.tif", "A 28743-2026")</f>
        <v/>
      </c>
      <c r="AA38">
        <f>HYPERLINK("https://klasma.github.io/Logging_1784/klagomål/A 28743-2026 FSC-klagomål.docx", "A 28743-2026")</f>
        <v/>
      </c>
      <c r="AB38">
        <f>HYPERLINK("https://klasma.github.io/Logging_1784/klagomålsmail/A 28743-2026 FSC-klagomål mail.docx", "A 28743-2026")</f>
        <v/>
      </c>
      <c r="AC38">
        <f>HYPERLINK("https://klasma.github.io/Logging_1784/tillsyn/A 28743-2026 tillsynsbegäran.docx", "A 28743-2026")</f>
        <v/>
      </c>
      <c r="AD38">
        <f>HYPERLINK("https://klasma.github.io/Logging_1784/tillsynsmail/A 28743-2026 tillsynsbegäran mail.docx", "A 28743-2026")</f>
        <v/>
      </c>
      <c r="AE38">
        <f>HYPERLINK("https://klasma.github.io/Logging_1784/fåglar/A 28743-2026 prioriterade fågelarter.docx", "A 28743-2026")</f>
        <v/>
      </c>
    </row>
    <row r="39" ht="15" customHeight="1">
      <c r="A39" t="inlineStr">
        <is>
          <t>A 3340-2022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46313</v>
      </c>
      <c r="F39" t="inlineStr">
        <is>
          <t>VÄRMLANDS LÄN</t>
        </is>
      </c>
      <c r="G39" t="inlineStr">
        <is>
          <t>ARVIKA</t>
        </is>
      </c>
      <c r="I39" t="n">
        <v>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Skinnlav
Stor aspticka</t>
        </is>
      </c>
      <c r="W39">
        <f>HYPERLINK("https://klasma.github.io/Logging_1784/artfynd/A 3340-2022 artfynd.xlsx", "A 3340-2022")</f>
        <v/>
      </c>
      <c r="X39">
        <f>HYPERLINK("https://klasma.github.io/Logging_1784/kartor/A 3340-2022 karta.png", "A 3340-2022")</f>
        <v/>
      </c>
      <c r="Y39">
        <f>HYPERLINK("https://klasma.github.io/Logging_1784/kartor_geotiff/A 3340-2022 georefererad karta.tif", "A 3340-2022")</f>
        <v/>
      </c>
      <c r="AA39">
        <f>HYPERLINK("https://klasma.github.io/Logging_1784/klagomål/A 3340-2022 FSC-klagomål.docx", "A 3340-2022")</f>
        <v/>
      </c>
      <c r="AB39">
        <f>HYPERLINK("https://klasma.github.io/Logging_1784/klagomålsmail/A 3340-2022 FSC-klagomål mail.docx", "A 3340-2022")</f>
        <v/>
      </c>
      <c r="AC39">
        <f>HYPERLINK("https://klasma.github.io/Logging_1784/tillsyn/A 3340-2022 tillsynsbegäran.docx", "A 3340-2022")</f>
        <v/>
      </c>
      <c r="AD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46313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46313</v>
      </c>
      <c r="F41" t="inlineStr">
        <is>
          <t>VÄRMLANDS LÄN</t>
        </is>
      </c>
      <c r="G41" t="inlineStr">
        <is>
          <t>ARVIKA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Skogsklocka</t>
        </is>
      </c>
      <c r="W41">
        <f>HYPERLINK("https://klasma.github.io/Logging_1784/artfynd/A 45401-2023 artfynd.xlsx", "A 45401-2023")</f>
        <v/>
      </c>
      <c r="X41">
        <f>HYPERLINK("https://klasma.github.io/Logging_1784/kartor/A 45401-2023 karta.png", "A 45401-2023")</f>
        <v/>
      </c>
      <c r="Y41">
        <f>HYPERLINK("https://klasma.github.io/Logging_1784/kartor_geotiff/A 45401-2023 georefererad karta.tif", "A 45401-2023")</f>
        <v/>
      </c>
      <c r="Z41">
        <f>HYPERLINK("https://klasma.github.io/Logging_1784/knärot/A 45401-2023 karta knärot.png", "A 45401-2023")</f>
        <v/>
      </c>
      <c r="AA41">
        <f>HYPERLINK("https://klasma.github.io/Logging_1784/klagomål/A 45401-2023 FSC-klagomål.docx", "A 45401-2023")</f>
        <v/>
      </c>
      <c r="AB41">
        <f>HYPERLINK("https://klasma.github.io/Logging_1784/klagomålsmail/A 45401-2023 FSC-klagomål mail.docx", "A 45401-2023")</f>
        <v/>
      </c>
      <c r="AC41">
        <f>HYPERLINK("https://klasma.github.io/Logging_1784/tillsyn/A 45401-2023 tillsynsbegäran.docx", "A 45401-2023")</f>
        <v/>
      </c>
      <c r="AD41">
        <f>HYPERLINK("https://klasma.github.io/Logging_1784/tillsynsmail/A 45401-2023 tillsynsbegäran mail.docx", "A 45401-2023")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46313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Pärluggla
Spillkråka</t>
        </is>
      </c>
      <c r="W42">
        <f>HYPERLINK("https://klasma.github.io/Logging_1784/artfynd/A 45178-2023 artfynd.xlsx", "A 45178-2023")</f>
        <v/>
      </c>
      <c r="X42">
        <f>HYPERLINK("https://klasma.github.io/Logging_1784/kartor/A 45178-2023 karta.png", "A 45178-2023")</f>
        <v/>
      </c>
      <c r="Y42">
        <f>HYPERLINK("https://klasma.github.io/Logging_1784/kartor_geotiff/A 45178-2023 georefererad karta.tif", "A 45178-2023")</f>
        <v/>
      </c>
      <c r="AA42">
        <f>HYPERLINK("https://klasma.github.io/Logging_1784/klagomål/A 45178-2023 FSC-klagomål.docx", "A 45178-2023")</f>
        <v/>
      </c>
      <c r="AB42">
        <f>HYPERLINK("https://klasma.github.io/Logging_1784/klagomålsmail/A 45178-2023 FSC-klagomål mail.docx", "A 45178-2023")</f>
        <v/>
      </c>
      <c r="AC42">
        <f>HYPERLINK("https://klasma.github.io/Logging_1784/tillsyn/A 45178-2023 tillsynsbegäran.docx", "A 45178-2023")</f>
        <v/>
      </c>
      <c r="AD42">
        <f>HYPERLINK("https://klasma.github.io/Logging_1784/tillsynsmail/A 45178-2023 tillsynsbegäran mail.docx", "A 45178-2023")</f>
        <v/>
      </c>
      <c r="AE42">
        <f>HYPERLINK("https://klasma.github.io/Logging_1784/fåglar/A 45178-2023 prioriterade fågelarter.docx", "A 45178-2023")</f>
        <v/>
      </c>
    </row>
    <row r="43" ht="15" customHeight="1">
      <c r="A43" t="inlineStr">
        <is>
          <t>A 66652-2021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44519</v>
      </c>
      <c r="E43" s="1" t="n">
        <v>46313</v>
      </c>
      <c r="F43" t="inlineStr">
        <is>
          <t>VÄRMLANDS LÄN</t>
        </is>
      </c>
      <c r="G43" t="inlineStr">
        <is>
          <t>ARVIKA</t>
        </is>
      </c>
      <c r="I43" t="n">
        <v>12.3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Garnlav
Korallblylav</t>
        </is>
      </c>
      <c r="W43">
        <f>HYPERLINK("https://klasma.github.io/Logging_1784/artfynd/A 66652-2021 artfynd.xlsx", "A 66652-2021")</f>
        <v/>
      </c>
      <c r="X43">
        <f>HYPERLINK("https://klasma.github.io/Logging_1784/kartor/A 66652-2021 karta.png", "A 66652-2021")</f>
        <v/>
      </c>
      <c r="Y43">
        <f>HYPERLINK("https://klasma.github.io/Logging_1784/kartor_geotiff/A 66652-2021 georefererad karta.tif", "A 66652-2021")</f>
        <v/>
      </c>
      <c r="AA43">
        <f>HYPERLINK("https://klasma.github.io/Logging_1784/klagomål/A 66652-2021 FSC-klagomål.docx", "A 66652-2021")</f>
        <v/>
      </c>
      <c r="AB43">
        <f>HYPERLINK("https://klasma.github.io/Logging_1784/klagomålsmail/A 66652-2021 FSC-klagomål mail.docx", "A 66652-2021")</f>
        <v/>
      </c>
      <c r="AC43">
        <f>HYPERLINK("https://klasma.github.io/Logging_1784/tillsyn/A 66652-2021 tillsynsbegäran.docx", "A 66652-2021")</f>
        <v/>
      </c>
      <c r="AD43">
        <f>HYPERLINK("https://klasma.github.io/Logging_1784/tillsynsmail/A 66652-2021 tillsynsbegäran mail.docx", "A 66652-2021")</f>
        <v/>
      </c>
    </row>
    <row r="44" ht="15" customHeight="1">
      <c r="A44" t="inlineStr">
        <is>
          <t>A 13490-2025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46313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Fiskgjuse
Sångsvan</t>
        </is>
      </c>
      <c r="W44">
        <f>HYPERLINK("https://klasma.github.io/Logging_1784/artfynd/A 13490-2025 artfynd.xlsx", "A 13490-2025")</f>
        <v/>
      </c>
      <c r="X44">
        <f>HYPERLINK("https://klasma.github.io/Logging_1784/kartor/A 13490-2025 karta.png", "A 13490-2025")</f>
        <v/>
      </c>
      <c r="Y44">
        <f>HYPERLINK("https://klasma.github.io/Logging_1784/kartor_geotiff/A 13490-2025 georefererad karta.tif", "A 13490-2025")</f>
        <v/>
      </c>
      <c r="AA44">
        <f>HYPERLINK("https://klasma.github.io/Logging_1784/klagomål/A 13490-2025 FSC-klagomål.docx", "A 13490-2025")</f>
        <v/>
      </c>
      <c r="AB44">
        <f>HYPERLINK("https://klasma.github.io/Logging_1784/klagomålsmail/A 13490-2025 FSC-klagomål mail.docx", "A 13490-2025")</f>
        <v/>
      </c>
      <c r="AC44">
        <f>HYPERLINK("https://klasma.github.io/Logging_1784/tillsyn/A 13490-2025 tillsynsbegäran.docx", "A 13490-2025")</f>
        <v/>
      </c>
      <c r="AD44">
        <f>HYPERLINK("https://klasma.github.io/Logging_1784/tillsynsmail/A 13490-2025 tillsynsbegäran mail.docx", "A 13490-2025")</f>
        <v/>
      </c>
      <c r="AE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46313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Älg
Gröngöling</t>
        </is>
      </c>
      <c r="W45">
        <f>HYPERLINK("https://klasma.github.io/Logging_1784/artfynd/A 35306-2025 artfynd.xlsx", "A 35306-2025")</f>
        <v/>
      </c>
      <c r="X45">
        <f>HYPERLINK("https://klasma.github.io/Logging_1784/kartor/A 35306-2025 karta.png", "A 35306-2025")</f>
        <v/>
      </c>
      <c r="Y45">
        <f>HYPERLINK("https://klasma.github.io/Logging_1784/kartor_geotiff/A 35306-2025 georefererad karta.tif", "A 35306-2025")</f>
        <v/>
      </c>
      <c r="AA45">
        <f>HYPERLINK("https://klasma.github.io/Logging_1784/klagomål/A 35306-2025 FSC-klagomål.docx", "A 35306-2025")</f>
        <v/>
      </c>
      <c r="AB45">
        <f>HYPERLINK("https://klasma.github.io/Logging_1784/klagomålsmail/A 35306-2025 FSC-klagomål mail.docx", "A 35306-2025")</f>
        <v/>
      </c>
      <c r="AC45">
        <f>HYPERLINK("https://klasma.github.io/Logging_1784/tillsyn/A 35306-2025 tillsynsbegäran.docx", "A 35306-2025")</f>
        <v/>
      </c>
      <c r="AD45">
        <f>HYPERLINK("https://klasma.github.io/Logging_1784/tillsynsmail/A 35306-2025 tillsynsbegäran mail.docx", "A 35306-2025")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46313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46313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46313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46313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46313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46313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46313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74218-2021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46313</v>
      </c>
      <c r="F53" t="inlineStr">
        <is>
          <t>VÄRMLANDS LÄN</t>
        </is>
      </c>
      <c r="G53" t="inlineStr">
        <is>
          <t>ARVIKA</t>
        </is>
      </c>
      <c r="I53" t="n">
        <v>10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HYPERLINK("https://klasma.github.io/Logging_1784/artfynd/A 74218-2021 artfynd.xlsx", "A 74218-2021")</f>
        <v/>
      </c>
      <c r="X53">
        <f>HYPERLINK("https://klasma.github.io/Logging_1784/kartor/A 74218-2021 karta.png", "A 74218-2021")</f>
        <v/>
      </c>
      <c r="Y53">
        <f>HYPERLINK("https://klasma.github.io/Logging_1784/kartor_geotiff/A 74218-2021 georefererad karta.tif", "A 74218-2021")</f>
        <v/>
      </c>
      <c r="AA53">
        <f>HYPERLINK("https://klasma.github.io/Logging_1784/klagomål/A 74218-2021 FSC-klagomål.docx", "A 74218-2021")</f>
        <v/>
      </c>
      <c r="AB53">
        <f>HYPERLINK("https://klasma.github.io/Logging_1784/klagomålsmail/A 74218-2021 FSC-klagomål mail.docx", "A 74218-2021")</f>
        <v/>
      </c>
      <c r="AC53">
        <f>HYPERLINK("https://klasma.github.io/Logging_1784/tillsyn/A 74218-2021 tillsynsbegäran.docx", "A 74218-2021")</f>
        <v/>
      </c>
      <c r="AD53">
        <f>HYPERLINK("https://klasma.github.io/Logging_1784/tillsynsmail/A 74218-2021 tillsynsbegäran mail.docx", "A 74218-2021")</f>
        <v/>
      </c>
      <c r="AE53">
        <f>HYPERLINK("https://klasma.github.io/Logging_1784/fåglar/A 74218-2021 prioriterade fågelarter.docx", "A 74218-2021")</f>
        <v/>
      </c>
    </row>
    <row r="54" ht="15" customHeight="1">
      <c r="A54" t="inlineStr">
        <is>
          <t>A 6868-2024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46313</v>
      </c>
      <c r="F54" t="inlineStr">
        <is>
          <t>VÄRMLANDS LÄN</t>
        </is>
      </c>
      <c r="G54" t="inlineStr">
        <is>
          <t>ARVIKA</t>
        </is>
      </c>
      <c r="I54" t="n">
        <v>3.6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HYPERLINK("https://klasma.github.io/Logging_1784/artfynd/A 6868-2024 artfynd.xlsx", "A 6868-2024")</f>
        <v/>
      </c>
      <c r="X54">
        <f>HYPERLINK("https://klasma.github.io/Logging_1784/kartor/A 6868-2024 karta.png", "A 6868-2024")</f>
        <v/>
      </c>
      <c r="Y54">
        <f>HYPERLINK("https://klasma.github.io/Logging_1784/kartor_geotiff/A 6868-2024 georefererad karta.tif", "A 6868-2024")</f>
        <v/>
      </c>
      <c r="AA54">
        <f>HYPERLINK("https://klasma.github.io/Logging_1784/klagomål/A 6868-2024 FSC-klagomål.docx", "A 6868-2024")</f>
        <v/>
      </c>
      <c r="AB54">
        <f>HYPERLINK("https://klasma.github.io/Logging_1784/klagomålsmail/A 6868-2024 FSC-klagomål mail.docx", "A 6868-2024")</f>
        <v/>
      </c>
      <c r="AC54">
        <f>HYPERLINK("https://klasma.github.io/Logging_1784/tillsyn/A 6868-2024 tillsynsbegäran.docx", "A 6868-2024")</f>
        <v/>
      </c>
      <c r="AD54">
        <f>HYPERLINK("https://klasma.github.io/Logging_1784/tillsynsmail/A 6868-2024 tillsynsbegäran mail.docx", "A 6868-2024")</f>
        <v/>
      </c>
    </row>
    <row r="55" ht="15" customHeight="1">
      <c r="A55" t="inlineStr">
        <is>
          <t>A 22934-2023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46313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7</v>
      </c>
      <c r="U55" t="n">
        <v>6</v>
      </c>
      <c r="V55" s="2" t="inlineStr">
        <is>
          <t>Skogsklocka</t>
        </is>
      </c>
      <c r="W55">
        <f>HYPERLINK("https://klasma.github.io/Logging_1784/artfynd/A 22934-2023 artfynd.xlsx", "A 22934-2023")</f>
        <v/>
      </c>
      <c r="X55">
        <f>HYPERLINK("https://klasma.github.io/Logging_1784/kartor/A 22934-2023 karta.png", "A 22934-2023")</f>
        <v/>
      </c>
      <c r="Y55">
        <f>HYPERLINK("https://klasma.github.io/Logging_1784/kartor_geotiff/A 22934-2023 georefererad karta.tif", "A 22934-2023")</f>
        <v/>
      </c>
      <c r="AA55">
        <f>HYPERLINK("https://klasma.github.io/Logging_1784/klagomål/A 22934-2023 FSC-klagomål.docx", "A 22934-2023")</f>
        <v/>
      </c>
      <c r="AB55">
        <f>HYPERLINK("https://klasma.github.io/Logging_1784/klagomålsmail/A 22934-2023 FSC-klagomål mail.docx", "A 22934-2023")</f>
        <v/>
      </c>
      <c r="AC55">
        <f>HYPERLINK("https://klasma.github.io/Logging_1784/tillsyn/A 22934-2023 tillsynsbegäran.docx", "A 22934-2023")</f>
        <v/>
      </c>
      <c r="AD55">
        <f>HYPERLINK("https://klasma.github.io/Logging_1784/tillsynsmail/A 22934-2023 tillsynsbegäran mail.docx", "A 22934-2023")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46313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22519-2022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46313</v>
      </c>
      <c r="F57" t="inlineStr">
        <is>
          <t>VÄRMLANDS LÄN</t>
        </is>
      </c>
      <c r="G57" t="inlineStr">
        <is>
          <t>ARVIKA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22519-2022 artfynd.xlsx", "A 22519-2022")</f>
        <v/>
      </c>
      <c r="X57">
        <f>HYPERLINK("https://klasma.github.io/Logging_1784/kartor/A 22519-2022 karta.png", "A 22519-2022")</f>
        <v/>
      </c>
      <c r="Y57">
        <f>HYPERLINK("https://klasma.github.io/Logging_1784/kartor_geotiff/A 22519-2022 georefererad karta.tif", "A 22519-2022")</f>
        <v/>
      </c>
      <c r="AA57">
        <f>HYPERLINK("https://klasma.github.io/Logging_1784/klagomål/A 22519-2022 FSC-klagomål.docx", "A 22519-2022")</f>
        <v/>
      </c>
      <c r="AB57">
        <f>HYPERLINK("https://klasma.github.io/Logging_1784/klagomålsmail/A 22519-2022 FSC-klagomål mail.docx", "A 22519-2022")</f>
        <v/>
      </c>
      <c r="AC57">
        <f>HYPERLINK("https://klasma.github.io/Logging_1784/tillsyn/A 22519-2022 tillsynsbegäran.docx", "A 22519-2022")</f>
        <v/>
      </c>
      <c r="AD57">
        <f>HYPERLINK("https://klasma.github.io/Logging_1784/tillsynsmail/A 22519-2022 tillsynsbegäran mail.docx", "A 22519-2022")</f>
        <v/>
      </c>
    </row>
    <row r="58" ht="15" customHeight="1">
      <c r="A58" t="inlineStr">
        <is>
          <t>A 42023-2023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45177</v>
      </c>
      <c r="E58" s="1" t="n">
        <v>46313</v>
      </c>
      <c r="F58" t="inlineStr">
        <is>
          <t>VÄRMLANDS LÄN</t>
        </is>
      </c>
      <c r="G58" t="inlineStr">
        <is>
          <t>ARVIKA</t>
        </is>
      </c>
      <c r="I58" t="n">
        <v>1.2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HYPERLINK("https://klasma.github.io/Logging_1784/artfynd/A 42023-2023 artfynd.xlsx", "A 42023-2023")</f>
        <v/>
      </c>
      <c r="X58">
        <f>HYPERLINK("https://klasma.github.io/Logging_1784/kartor/A 42023-2023 karta.png", "A 42023-2023")</f>
        <v/>
      </c>
      <c r="Y58">
        <f>HYPERLINK("https://klasma.github.io/Logging_1784/kartor_geotiff/A 42023-2023 georefererad karta.tif", "A 42023-2023")</f>
        <v/>
      </c>
      <c r="Z58">
        <f>HYPERLINK("https://klasma.github.io/Logging_1784/knärot/A 42023-2023 karta knärot.png", "A 42023-2023")</f>
        <v/>
      </c>
      <c r="AA58">
        <f>HYPERLINK("https://klasma.github.io/Logging_1784/klagomål/A 42023-2023 FSC-klagomål.docx", "A 42023-2023")</f>
        <v/>
      </c>
      <c r="AB58">
        <f>HYPERLINK("https://klasma.github.io/Logging_1784/klagomålsmail/A 42023-2023 FSC-klagomål mail.docx", "A 42023-2023")</f>
        <v/>
      </c>
      <c r="AC58">
        <f>HYPERLINK("https://klasma.github.io/Logging_1784/tillsyn/A 42023-2023 tillsynsbegäran.docx", "A 42023-2023")</f>
        <v/>
      </c>
      <c r="AD58">
        <f>HYPERLINK("https://klasma.github.io/Logging_1784/tillsynsmail/A 42023-2023 tillsynsbegäran mail.docx", "A 42023-2023")</f>
        <v/>
      </c>
    </row>
    <row r="59" ht="15" customHeight="1">
      <c r="A59" t="inlineStr">
        <is>
          <t>A 43388-2023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46313</v>
      </c>
      <c r="F59" t="inlineStr">
        <is>
          <t>VÄRMLANDS LÄN</t>
        </is>
      </c>
      <c r="G59" t="inlineStr">
        <is>
          <t>ARVIKA</t>
        </is>
      </c>
      <c r="I59" t="n">
        <v>0.7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43388-2023 artfynd.xlsx", "A 43388-2023")</f>
        <v/>
      </c>
      <c r="X59">
        <f>HYPERLINK("https://klasma.github.io/Logging_1784/kartor/A 43388-2023 karta.png", "A 43388-2023")</f>
        <v/>
      </c>
      <c r="Y59">
        <f>HYPERLINK("https://klasma.github.io/Logging_1784/kartor_geotiff/A 43388-2023 georefererad karta.tif", "A 43388-2023")</f>
        <v/>
      </c>
      <c r="Z59">
        <f>HYPERLINK("https://klasma.github.io/Logging_1784/knärot/A 43388-2023 karta knärot.png", "A 43388-2023")</f>
        <v/>
      </c>
      <c r="AA59">
        <f>HYPERLINK("https://klasma.github.io/Logging_1784/klagomål/A 43388-2023 FSC-klagomål.docx", "A 43388-2023")</f>
        <v/>
      </c>
      <c r="AB59">
        <f>HYPERLINK("https://klasma.github.io/Logging_1784/klagomålsmail/A 43388-2023 FSC-klagomål mail.docx", "A 43388-2023")</f>
        <v/>
      </c>
      <c r="AC59">
        <f>HYPERLINK("https://klasma.github.io/Logging_1784/tillsyn/A 43388-2023 tillsynsbegäran.docx", "A 43388-2023")</f>
        <v/>
      </c>
      <c r="AD59">
        <f>HYPERLINK("https://klasma.github.io/Logging_1784/tillsynsmail/A 43388-2023 tillsynsbegäran mail.docx", "A 43388-2023")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46313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13475-2025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46313</v>
      </c>
      <c r="F61" t="inlineStr">
        <is>
          <t>VÄRMLANDS LÄN</t>
        </is>
      </c>
      <c r="G61" t="inlineStr">
        <is>
          <t>ARVIKA</t>
        </is>
      </c>
      <c r="I61" t="n">
        <v>2.1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Skogsklocka</t>
        </is>
      </c>
      <c r="W61">
        <f>HYPERLINK("https://klasma.github.io/Logging_1784/artfynd/A 13475-2025 artfynd.xlsx", "A 13475-2025")</f>
        <v/>
      </c>
      <c r="X61">
        <f>HYPERLINK("https://klasma.github.io/Logging_1784/kartor/A 13475-2025 karta.png", "A 13475-2025")</f>
        <v/>
      </c>
      <c r="Y61">
        <f>HYPERLINK("https://klasma.github.io/Logging_1784/kartor_geotiff/A 13475-2025 georefererad karta.tif", "A 13475-2025")</f>
        <v/>
      </c>
      <c r="AA61">
        <f>HYPERLINK("https://klasma.github.io/Logging_1784/klagomål/A 13475-2025 FSC-klagomål.docx", "A 13475-2025")</f>
        <v/>
      </c>
      <c r="AB61">
        <f>HYPERLINK("https://klasma.github.io/Logging_1784/klagomålsmail/A 13475-2025 FSC-klagomål mail.docx", "A 13475-2025")</f>
        <v/>
      </c>
      <c r="AC61">
        <f>HYPERLINK("https://klasma.github.io/Logging_1784/tillsyn/A 13475-2025 tillsynsbegäran.docx", "A 13475-2025")</f>
        <v/>
      </c>
      <c r="AD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46313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HYPERLINK("https://klasma.github.io/Logging_1784/artfynd/A 42329-2024 artfynd.xlsx", "A 42329-2024")</f>
        <v/>
      </c>
      <c r="X62">
        <f>HYPERLINK("https://klasma.github.io/Logging_1784/kartor/A 42329-2024 karta.png", "A 42329-2024")</f>
        <v/>
      </c>
      <c r="Y62">
        <f>HYPERLINK("https://klasma.github.io/Logging_1784/kartor_geotiff/A 42329-2024 georefererad karta.tif", "A 42329-2024")</f>
        <v/>
      </c>
      <c r="AA62">
        <f>HYPERLINK("https://klasma.github.io/Logging_1784/klagomål/A 42329-2024 FSC-klagomål.docx", "A 42329-2024")</f>
        <v/>
      </c>
      <c r="AB62">
        <f>HYPERLINK("https://klasma.github.io/Logging_1784/klagomålsmail/A 42329-2024 FSC-klagomål mail.docx", "A 42329-2024")</f>
        <v/>
      </c>
      <c r="AC62">
        <f>HYPERLINK("https://klasma.github.io/Logging_1784/tillsyn/A 42329-2024 tillsynsbegäran.docx", "A 42329-2024")</f>
        <v/>
      </c>
      <c r="AD62">
        <f>HYPERLINK("https://klasma.github.io/Logging_1784/tillsynsmail/A 42329-2024 tillsynsbegäran mail.docx", "A 42329-2024")</f>
        <v/>
      </c>
    </row>
    <row r="63" ht="15" customHeight="1">
      <c r="A63" t="inlineStr">
        <is>
          <t>A 48010-2024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46313</v>
      </c>
      <c r="F63" t="inlineStr">
        <is>
          <t>VÄRMLANDS LÄN</t>
        </is>
      </c>
      <c r="G63" t="inlineStr">
        <is>
          <t>ARVIKA</t>
        </is>
      </c>
      <c r="I63" t="n">
        <v>6.7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48010-2024 artfynd.xlsx", "A 48010-2024")</f>
        <v/>
      </c>
      <c r="X63">
        <f>HYPERLINK("https://klasma.github.io/Logging_1784/kartor/A 48010-2024 karta.png", "A 48010-2024")</f>
        <v/>
      </c>
      <c r="Y63">
        <f>HYPERLINK("https://klasma.github.io/Logging_1784/kartor_geotiff/A 48010-2024 georefererad karta.tif", "A 48010-2024")</f>
        <v/>
      </c>
      <c r="Z63">
        <f>HYPERLINK("https://klasma.github.io/Logging_1784/knärot/A 48010-2024 karta knärot.png", "A 48010-2024")</f>
        <v/>
      </c>
      <c r="AA63">
        <f>HYPERLINK("https://klasma.github.io/Logging_1784/klagomål/A 48010-2024 FSC-klagomål.docx", "A 48010-2024")</f>
        <v/>
      </c>
      <c r="AB63">
        <f>HYPERLINK("https://klasma.github.io/Logging_1784/klagomålsmail/A 48010-2024 FSC-klagomål mail.docx", "A 48010-2024")</f>
        <v/>
      </c>
      <c r="AC63">
        <f>HYPERLINK("https://klasma.github.io/Logging_1784/tillsyn/A 48010-2024 tillsynsbegäran.docx", "A 48010-2024")</f>
        <v/>
      </c>
      <c r="AD63">
        <f>HYPERLINK("https://klasma.github.io/Logging_1784/tillsynsmail/A 48010-2024 tillsynsbegäran mail.docx", "A 48010-2024")</f>
        <v/>
      </c>
    </row>
    <row r="64" ht="15" customHeight="1">
      <c r="A64" t="inlineStr">
        <is>
          <t>A 49883-2024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46313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4.6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Mönjevaxing</t>
        </is>
      </c>
      <c r="W64">
        <f>HYPERLINK("https://klasma.github.io/Logging_1784/artfynd/A 49883-2024 artfynd.xlsx", "A 49883-2024")</f>
        <v/>
      </c>
      <c r="X64">
        <f>HYPERLINK("https://klasma.github.io/Logging_1784/kartor/A 49883-2024 karta.png", "A 49883-2024")</f>
        <v/>
      </c>
      <c r="Y64">
        <f>HYPERLINK("https://klasma.github.io/Logging_1784/kartor_geotiff/A 49883-2024 georefererad karta.tif", "A 49883-2024")</f>
        <v/>
      </c>
      <c r="AA64">
        <f>HYPERLINK("https://klasma.github.io/Logging_1784/klagomål/A 49883-2024 FSC-klagomål.docx", "A 49883-2024")</f>
        <v/>
      </c>
      <c r="AB64">
        <f>HYPERLINK("https://klasma.github.io/Logging_1784/klagomålsmail/A 49883-2024 FSC-klagomål mail.docx", "A 49883-2024")</f>
        <v/>
      </c>
      <c r="AC64">
        <f>HYPERLINK("https://klasma.github.io/Logging_1784/tillsyn/A 49883-2024 tillsynsbegäran.docx", "A 49883-2024")</f>
        <v/>
      </c>
      <c r="AD64">
        <f>HYPERLINK("https://klasma.github.io/Logging_1784/tillsynsmail/A 49883-2024 tillsynsbegäran mail.docx", "A 49883-2024")</f>
        <v/>
      </c>
    </row>
    <row r="65" ht="15" customHeight="1">
      <c r="A65" t="inlineStr">
        <is>
          <t>A 20722-2026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46313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15.1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HYPERLINK("https://klasma.github.io/Logging_1784/artfynd/A 20722-2026 artfynd.xlsx", "A 20722-2026")</f>
        <v/>
      </c>
      <c r="X65">
        <f>HYPERLINK("https://klasma.github.io/Logging_1784/kartor/A 20722-2026 karta.png", "A 20722-2026")</f>
        <v/>
      </c>
      <c r="Y65">
        <f>HYPERLINK("https://klasma.github.io/Logging_1784/kartor_geotiff/A 20722-2026 georefererad karta.tif", "A 20722-2026")</f>
        <v/>
      </c>
      <c r="AA65">
        <f>HYPERLINK("https://klasma.github.io/Logging_1784/klagomål/A 20722-2026 FSC-klagomål.docx", "A 20722-2026")</f>
        <v/>
      </c>
      <c r="AB65">
        <f>HYPERLINK("https://klasma.github.io/Logging_1784/klagomålsmail/A 20722-2026 FSC-klagomål mail.docx", "A 20722-2026")</f>
        <v/>
      </c>
      <c r="AC65">
        <f>HYPERLINK("https://klasma.github.io/Logging_1784/tillsyn/A 20722-2026 tillsynsbegäran.docx", "A 20722-2026")</f>
        <v/>
      </c>
      <c r="AD65">
        <f>HYPERLINK("https://klasma.github.io/Logging_1784/tillsynsmail/A 20722-2026 tillsynsbegäran mail.docx", "A 20722-2026")</f>
        <v/>
      </c>
      <c r="AE65">
        <f>HYPERLINK("https://klasma.github.io/Logging_1784/fåglar/A 20722-2026 prioriterade fågelarter.docx", "A 20722-2026")</f>
        <v/>
      </c>
    </row>
    <row r="66" ht="15" customHeight="1">
      <c r="A66" t="inlineStr">
        <is>
          <t>A 51537-2025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46313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51537-2025 artfynd.xlsx", "A 51537-2025")</f>
        <v/>
      </c>
      <c r="X66">
        <f>HYPERLINK("https://klasma.github.io/Logging_1784/kartor/A 51537-2025 karta.png", "A 51537-2025")</f>
        <v/>
      </c>
      <c r="Y66">
        <f>HYPERLINK("https://klasma.github.io/Logging_1784/kartor_geotiff/A 51537-2025 georefererad karta.tif", "A 51537-2025")</f>
        <v/>
      </c>
      <c r="Z66">
        <f>HYPERLINK("https://klasma.github.io/Logging_1784/knärot/A 51537-2025 karta knärot.png", "A 51537-2025")</f>
        <v/>
      </c>
      <c r="AA66">
        <f>HYPERLINK("https://klasma.github.io/Logging_1784/klagomål/A 51537-2025 FSC-klagomål.docx", "A 51537-2025")</f>
        <v/>
      </c>
      <c r="AB66">
        <f>HYPERLINK("https://klasma.github.io/Logging_1784/klagomålsmail/A 51537-2025 FSC-klagomål mail.docx", "A 51537-2025")</f>
        <v/>
      </c>
      <c r="AC66">
        <f>HYPERLINK("https://klasma.github.io/Logging_1784/tillsyn/A 51537-2025 tillsynsbegäran.docx", "A 51537-2025")</f>
        <v/>
      </c>
      <c r="AD66">
        <f>HYPERLINK("https://klasma.github.io/Logging_1784/tillsynsmail/A 51537-2025 tillsynsbegäran mail.docx", "A 51537-2025")</f>
        <v/>
      </c>
    </row>
    <row r="67" ht="15" customHeight="1">
      <c r="A67" t="inlineStr">
        <is>
          <t>A 8525-2023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46313</v>
      </c>
      <c r="F67" t="inlineStr">
        <is>
          <t>VÄRMLANDS LÄN</t>
        </is>
      </c>
      <c r="G67" t="inlineStr">
        <is>
          <t>ARVIKA</t>
        </is>
      </c>
      <c r="I67" t="n">
        <v>2.2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8525-2023 artfynd.xlsx", "A 8525-2023")</f>
        <v/>
      </c>
      <c r="X67">
        <f>HYPERLINK("https://klasma.github.io/Logging_1784/kartor/A 8525-2023 karta.png", "A 8525-2023")</f>
        <v/>
      </c>
      <c r="Y67">
        <f>HYPERLINK("https://klasma.github.io/Logging_1784/kartor_geotiff/A 8525-2023 georefererad karta.tif", "A 8525-2023")</f>
        <v/>
      </c>
      <c r="Z67">
        <f>HYPERLINK("https://klasma.github.io/Logging_1784/knärot/A 8525-2023 karta knärot.png", "A 8525-2023")</f>
        <v/>
      </c>
      <c r="AA67">
        <f>HYPERLINK("https://klasma.github.io/Logging_1784/klagomål/A 8525-2023 FSC-klagomål.docx", "A 8525-2023")</f>
        <v/>
      </c>
      <c r="AB67">
        <f>HYPERLINK("https://klasma.github.io/Logging_1784/klagomålsmail/A 8525-2023 FSC-klagomål mail.docx", "A 8525-2023")</f>
        <v/>
      </c>
      <c r="AC67">
        <f>HYPERLINK("https://klasma.github.io/Logging_1784/tillsyn/A 8525-2023 tillsynsbegäran.docx", "A 8525-2023")</f>
        <v/>
      </c>
      <c r="AD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46313</v>
      </c>
      <c r="F68" t="inlineStr">
        <is>
          <t>VÄRMLANDS LÄN</t>
        </is>
      </c>
      <c r="G68" t="inlineStr">
        <is>
          <t>ARVIKA</t>
        </is>
      </c>
      <c r="I68" t="n">
        <v>3.6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61004-2023 artfynd.xlsx", "A 61004-2023")</f>
        <v/>
      </c>
      <c r="X68">
        <f>HYPERLINK("https://klasma.github.io/Logging_1784/kartor/A 61004-2023 karta.png", "A 61004-2023")</f>
        <v/>
      </c>
      <c r="Y68">
        <f>HYPERLINK("https://klasma.github.io/Logging_1784/kartor_geotiff/A 61004-2023 georefererad karta.tif", "A 61004-2023")</f>
        <v/>
      </c>
      <c r="Z68">
        <f>HYPERLINK("https://klasma.github.io/Logging_1784/knärot/A 61004-2023 karta knärot.png", "A 61004-2023")</f>
        <v/>
      </c>
      <c r="AA68">
        <f>HYPERLINK("https://klasma.github.io/Logging_1784/klagomål/A 61004-2023 FSC-klagomål.docx", "A 61004-2023")</f>
        <v/>
      </c>
      <c r="AB68">
        <f>HYPERLINK("https://klasma.github.io/Logging_1784/klagomålsmail/A 61004-2023 FSC-klagomål mail.docx", "A 61004-2023")</f>
        <v/>
      </c>
      <c r="AC68">
        <f>HYPERLINK("https://klasma.github.io/Logging_1784/tillsyn/A 61004-2023 tillsynsbegäran.docx", "A 61004-2023")</f>
        <v/>
      </c>
      <c r="AD68">
        <f>HYPERLINK("https://klasma.github.io/Logging_1784/tillsynsmail/A 61004-2023 tillsynsbegäran mail.docx", "A 61004-2023")</f>
        <v/>
      </c>
    </row>
    <row r="69" ht="15" customHeight="1">
      <c r="A69" t="inlineStr">
        <is>
          <t>A 47699-2022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46313</v>
      </c>
      <c r="F69" t="inlineStr">
        <is>
          <t>VÄRMLANDS LÄN</t>
        </is>
      </c>
      <c r="G69" t="inlineStr">
        <is>
          <t>ARVIKA</t>
        </is>
      </c>
      <c r="I69" t="n">
        <v>20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HYPERLINK("https://klasma.github.io/Logging_1784/artfynd/A 47699-2022 artfynd.xlsx", "A 47699-2022")</f>
        <v/>
      </c>
      <c r="X69">
        <f>HYPERLINK("https://klasma.github.io/Logging_1784/kartor/A 47699-2022 karta.png", "A 47699-2022")</f>
        <v/>
      </c>
      <c r="Y69">
        <f>HYPERLINK("https://klasma.github.io/Logging_1784/kartor_geotiff/A 47699-2022 georefererad karta.tif", "A 47699-2022")</f>
        <v/>
      </c>
      <c r="AA69">
        <f>HYPERLINK("https://klasma.github.io/Logging_1784/klagomål/A 47699-2022 FSC-klagomål.docx", "A 47699-2022")</f>
        <v/>
      </c>
      <c r="AB69">
        <f>HYPERLINK("https://klasma.github.io/Logging_1784/klagomålsmail/A 47699-2022 FSC-klagomål mail.docx", "A 47699-2022")</f>
        <v/>
      </c>
      <c r="AC69">
        <f>HYPERLINK("https://klasma.github.io/Logging_1784/tillsyn/A 47699-2022 tillsynsbegäran.docx", "A 47699-2022")</f>
        <v/>
      </c>
      <c r="AD69">
        <f>HYPERLINK("https://klasma.github.io/Logging_1784/tillsynsmail/A 47699-2022 tillsynsbegäran mail.docx", "A 47699-2022")</f>
        <v/>
      </c>
    </row>
    <row r="70" ht="15" customHeight="1">
      <c r="A70" t="inlineStr">
        <is>
          <t>A 50789-2024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46313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Lunglav</t>
        </is>
      </c>
      <c r="W70">
        <f>HYPERLINK("https://klasma.github.io/Logging_1784/artfynd/A 50789-2024 artfynd.xlsx", "A 50789-2024")</f>
        <v/>
      </c>
      <c r="X70">
        <f>HYPERLINK("https://klasma.github.io/Logging_1784/kartor/A 50789-2024 karta.png", "A 50789-2024")</f>
        <v/>
      </c>
      <c r="Y70">
        <f>HYPERLINK("https://klasma.github.io/Logging_1784/kartor_geotiff/A 50789-2024 georefererad karta.tif", "A 50789-2024")</f>
        <v/>
      </c>
      <c r="AA70">
        <f>HYPERLINK("https://klasma.github.io/Logging_1784/klagomål/A 50789-2024 FSC-klagomål.docx", "A 50789-2024")</f>
        <v/>
      </c>
      <c r="AB70">
        <f>HYPERLINK("https://klasma.github.io/Logging_1784/klagomålsmail/A 50789-2024 FSC-klagomål mail.docx", "A 50789-2024")</f>
        <v/>
      </c>
      <c r="AC70">
        <f>HYPERLINK("https://klasma.github.io/Logging_1784/tillsyn/A 50789-2024 tillsynsbegäran.docx", "A 50789-2024")</f>
        <v/>
      </c>
      <c r="AD70">
        <f>HYPERLINK("https://klasma.github.io/Logging_1784/tillsynsmail/A 50789-2024 tillsynsbegäran mail.docx", "A 50789-2024")</f>
        <v/>
      </c>
    </row>
    <row r="71" ht="15" customHeight="1">
      <c r="A71" t="inlineStr">
        <is>
          <t>A 25957-2026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46313</v>
      </c>
      <c r="F71" t="inlineStr">
        <is>
          <t>VÄRMLANDS LÄN</t>
        </is>
      </c>
      <c r="G71" t="inlineStr">
        <is>
          <t>ARVIKA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HYPERLINK("https://klasma.github.io/Logging_1784/artfynd/A 25957-2026 artfynd.xlsx", "A 25957-2026")</f>
        <v/>
      </c>
      <c r="X71">
        <f>HYPERLINK("https://klasma.github.io/Logging_1784/kartor/A 25957-2026 karta.png", "A 25957-2026")</f>
        <v/>
      </c>
      <c r="Y71">
        <f>HYPERLINK("https://klasma.github.io/Logging_1784/kartor_geotiff/A 25957-2026 georefererad karta.tif", "A 25957-2026")</f>
        <v/>
      </c>
      <c r="AA71">
        <f>HYPERLINK("https://klasma.github.io/Logging_1784/klagomål/A 25957-2026 FSC-klagomål.docx", "A 25957-2026")</f>
        <v/>
      </c>
      <c r="AB71">
        <f>HYPERLINK("https://klasma.github.io/Logging_1784/klagomålsmail/A 25957-2026 FSC-klagomål mail.docx", "A 25957-2026")</f>
        <v/>
      </c>
      <c r="AC71">
        <f>HYPERLINK("https://klasma.github.io/Logging_1784/tillsyn/A 25957-2026 tillsynsbegäran.docx", "A 25957-2026")</f>
        <v/>
      </c>
      <c r="AD71">
        <f>HYPERLINK("https://klasma.github.io/Logging_1784/tillsynsmail/A 25957-2026 tillsynsbegäran mail.docx", "A 25957-2026")</f>
        <v/>
      </c>
    </row>
    <row r="72" ht="15" customHeight="1">
      <c r="A72" t="inlineStr">
        <is>
          <t>A 9761-2026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46313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9761-2026 artfynd.xlsx", "A 9761-2026")</f>
        <v/>
      </c>
      <c r="X72">
        <f>HYPERLINK("https://klasma.github.io/Logging_1784/kartor/A 9761-2026 karta.png", "A 9761-2026")</f>
        <v/>
      </c>
      <c r="Y72">
        <f>HYPERLINK("https://klasma.github.io/Logging_1784/kartor_geotiff/A 9761-2026 georefererad karta.tif", "A 9761-2026")</f>
        <v/>
      </c>
      <c r="AA72">
        <f>HYPERLINK("https://klasma.github.io/Logging_1784/klagomål/A 9761-2026 FSC-klagomål.docx", "A 9761-2026")</f>
        <v/>
      </c>
      <c r="AB72">
        <f>HYPERLINK("https://klasma.github.io/Logging_1784/klagomålsmail/A 9761-2026 FSC-klagomål mail.docx", "A 9761-2026")</f>
        <v/>
      </c>
      <c r="AC72">
        <f>HYPERLINK("https://klasma.github.io/Logging_1784/tillsyn/A 9761-2026 tillsynsbegäran.docx", "A 9761-2026")</f>
        <v/>
      </c>
      <c r="AD72">
        <f>HYPERLINK("https://klasma.github.io/Logging_1784/tillsynsmail/A 9761-2026 tillsynsbegäran mail.docx", "A 9761-2026")</f>
        <v/>
      </c>
    </row>
    <row r="73" ht="15" customHeight="1">
      <c r="A73" t="inlineStr">
        <is>
          <t>A 10061-2026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46313</v>
      </c>
      <c r="F73" t="inlineStr">
        <is>
          <t>VÄRMLANDS LÄN</t>
        </is>
      </c>
      <c r="G73" t="inlineStr">
        <is>
          <t>ARVIKA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HYPERLINK("https://klasma.github.io/Logging_1784/artfynd/A 10061-2026 artfynd.xlsx", "A 10061-2026")</f>
        <v/>
      </c>
      <c r="X73">
        <f>HYPERLINK("https://klasma.github.io/Logging_1784/kartor/A 10061-2026 karta.png", "A 10061-2026")</f>
        <v/>
      </c>
      <c r="Y73">
        <f>HYPERLINK("https://klasma.github.io/Logging_1784/kartor_geotiff/A 10061-2026 georefererad karta.tif", "A 10061-2026")</f>
        <v/>
      </c>
      <c r="AA73">
        <f>HYPERLINK("https://klasma.github.io/Logging_1784/klagomål/A 10061-2026 FSC-klagomål.docx", "A 10061-2026")</f>
        <v/>
      </c>
      <c r="AB73">
        <f>HYPERLINK("https://klasma.github.io/Logging_1784/klagomålsmail/A 10061-2026 FSC-klagomål mail.docx", "A 10061-2026")</f>
        <v/>
      </c>
      <c r="AC73">
        <f>HYPERLINK("https://klasma.github.io/Logging_1784/tillsyn/A 10061-2026 tillsynsbegäran.docx", "A 10061-2026")</f>
        <v/>
      </c>
      <c r="AD73">
        <f>HYPERLINK("https://klasma.github.io/Logging_1784/tillsynsmail/A 10061-2026 tillsynsbegäran mail.docx", "A 10061-2026")</f>
        <v/>
      </c>
      <c r="AE73">
        <f>HYPERLINK("https://klasma.github.io/Logging_1784/fåglar/A 10061-2026 prioriterade fågelarter.docx", "A 10061-2026")</f>
        <v/>
      </c>
    </row>
    <row r="74" ht="15" customHeight="1">
      <c r="A74" t="inlineStr">
        <is>
          <t>A 11416-2026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46083</v>
      </c>
      <c r="E74" s="1" t="n">
        <v>46313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11416-2026 artfynd.xlsx", "A 11416-2026")</f>
        <v/>
      </c>
      <c r="X74">
        <f>HYPERLINK("https://klasma.github.io/Logging_1784/kartor/A 11416-2026 karta.png", "A 11416-2026")</f>
        <v/>
      </c>
      <c r="Y74">
        <f>HYPERLINK("https://klasma.github.io/Logging_1784/kartor_geotiff/A 11416-2026 georefererad karta.tif", "A 11416-2026")</f>
        <v/>
      </c>
      <c r="Z74">
        <f>HYPERLINK("https://klasma.github.io/Logging_1784/knärot/A 11416-2026 karta knärot.png", "A 11416-2026")</f>
        <v/>
      </c>
      <c r="AA74">
        <f>HYPERLINK("https://klasma.github.io/Logging_1784/klagomål/A 11416-2026 FSC-klagomål.docx", "A 11416-2026")</f>
        <v/>
      </c>
      <c r="AB74">
        <f>HYPERLINK("https://klasma.github.io/Logging_1784/klagomålsmail/A 11416-2026 FSC-klagomål mail.docx", "A 11416-2026")</f>
        <v/>
      </c>
      <c r="AC74">
        <f>HYPERLINK("https://klasma.github.io/Logging_1784/tillsyn/A 11416-2026 tillsynsbegäran.docx", "A 11416-2026")</f>
        <v/>
      </c>
      <c r="AD74">
        <f>HYPERLINK("https://klasma.github.io/Logging_1784/tillsynsmail/A 11416-2026 tillsynsbegäran mail.docx", "A 11416-2026")</f>
        <v/>
      </c>
    </row>
    <row r="75" ht="15" customHeight="1">
      <c r="A75" t="inlineStr">
        <is>
          <t>A 28610-2026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46197</v>
      </c>
      <c r="E75" s="1" t="n">
        <v>46313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28610-2026 artfynd.xlsx", "A 28610-2026")</f>
        <v/>
      </c>
      <c r="X75">
        <f>HYPERLINK("https://klasma.github.io/Logging_1784/kartor/A 28610-2026 karta.png", "A 28610-2026")</f>
        <v/>
      </c>
      <c r="Y75">
        <f>HYPERLINK("https://klasma.github.io/Logging_1784/kartor_geotiff/A 28610-2026 georefererad karta.tif", "A 28610-2026")</f>
        <v/>
      </c>
      <c r="AA75">
        <f>HYPERLINK("https://klasma.github.io/Logging_1784/klagomål/A 28610-2026 FSC-klagomål.docx", "A 28610-2026")</f>
        <v/>
      </c>
      <c r="AB75">
        <f>HYPERLINK("https://klasma.github.io/Logging_1784/klagomålsmail/A 28610-2026 FSC-klagomål mail.docx", "A 28610-2026")</f>
        <v/>
      </c>
      <c r="AC75">
        <f>HYPERLINK("https://klasma.github.io/Logging_1784/tillsyn/A 28610-2026 tillsynsbegäran.docx", "A 28610-2026")</f>
        <v/>
      </c>
      <c r="AD75">
        <f>HYPERLINK("https://klasma.github.io/Logging_1784/tillsynsmail/A 28610-2026 tillsynsbegäran mail.docx", "A 28610-2026")</f>
        <v/>
      </c>
    </row>
    <row r="76" ht="15" customHeight="1">
      <c r="A76" t="inlineStr">
        <is>
          <t>A 17088-2026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46313</v>
      </c>
      <c r="F76" t="inlineStr">
        <is>
          <t>VÄRMLANDS LÄN</t>
        </is>
      </c>
      <c r="G76" t="inlineStr">
        <is>
          <t>ARVIKA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Dunmossa</t>
        </is>
      </c>
      <c r="W76">
        <f>HYPERLINK("https://klasma.github.io/Logging_1784/artfynd/A 17088-2026 artfynd.xlsx", "A 17088-2026")</f>
        <v/>
      </c>
      <c r="X76">
        <f>HYPERLINK("https://klasma.github.io/Logging_1784/kartor/A 17088-2026 karta.png", "A 17088-2026")</f>
        <v/>
      </c>
      <c r="Y76">
        <f>HYPERLINK("https://klasma.github.io/Logging_1784/kartor_geotiff/A 17088-2026 georefererad karta.tif", "A 17088-2026")</f>
        <v/>
      </c>
      <c r="AA76">
        <f>HYPERLINK("https://klasma.github.io/Logging_1784/klagomål/A 17088-2026 FSC-klagomål.docx", "A 17088-2026")</f>
        <v/>
      </c>
      <c r="AB76">
        <f>HYPERLINK("https://klasma.github.io/Logging_1784/klagomålsmail/A 17088-2026 FSC-klagomål mail.docx", "A 17088-2026")</f>
        <v/>
      </c>
      <c r="AC76">
        <f>HYPERLINK("https://klasma.github.io/Logging_1784/tillsyn/A 17088-2026 tillsynsbegäran.docx", "A 17088-2026")</f>
        <v/>
      </c>
      <c r="AD76">
        <f>HYPERLINK("https://klasma.github.io/Logging_1784/tillsynsmail/A 17088-2026 tillsynsbegäran mail.docx", "A 17088-2026")</f>
        <v/>
      </c>
    </row>
    <row r="77" ht="15" customHeight="1">
      <c r="A77" t="inlineStr">
        <is>
          <t>A 1511-2025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45670</v>
      </c>
      <c r="E77" s="1" t="n">
        <v>46313</v>
      </c>
      <c r="F77" t="inlineStr">
        <is>
          <t>VÄRMLANDS LÄN</t>
        </is>
      </c>
      <c r="G77" t="inlineStr">
        <is>
          <t>ARVIKA</t>
        </is>
      </c>
      <c r="I77" t="n">
        <v>3.1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HYPERLINK("https://klasma.github.io/Logging_1784/artfynd/A 1511-2025 artfynd.xlsx", "A 1511-2025")</f>
        <v/>
      </c>
      <c r="X77">
        <f>HYPERLINK("https://klasma.github.io/Logging_1784/kartor/A 1511-2025 karta.png", "A 1511-2025")</f>
        <v/>
      </c>
      <c r="Y77">
        <f>HYPERLINK("https://klasma.github.io/Logging_1784/kartor_geotiff/A 1511-2025 georefererad karta.tif", "A 1511-2025")</f>
        <v/>
      </c>
      <c r="AA77">
        <f>HYPERLINK("https://klasma.github.io/Logging_1784/klagomål/A 1511-2025 FSC-klagomål.docx", "A 1511-2025")</f>
        <v/>
      </c>
      <c r="AB77">
        <f>HYPERLINK("https://klasma.github.io/Logging_1784/klagomålsmail/A 1511-2025 FSC-klagomål mail.docx", "A 1511-2025")</f>
        <v/>
      </c>
      <c r="AC77">
        <f>HYPERLINK("https://klasma.github.io/Logging_1784/tillsyn/A 1511-2025 tillsynsbegäran.docx", "A 1511-2025")</f>
        <v/>
      </c>
      <c r="AD77">
        <f>HYPERLINK("https://klasma.github.io/Logging_1784/tillsynsmail/A 1511-2025 tillsynsbegäran mail.docx", "A 1511-2025")</f>
        <v/>
      </c>
    </row>
    <row r="78" ht="15" customHeight="1">
      <c r="A78" t="inlineStr">
        <is>
          <t>A 18062-2026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46313</v>
      </c>
      <c r="F78" t="inlineStr">
        <is>
          <t>VÄRMLANDS LÄN</t>
        </is>
      </c>
      <c r="G78" t="inlineStr">
        <is>
          <t>ARVIKA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HYPERLINK("https://klasma.github.io/Logging_1784/artfynd/A 18062-2026 artfynd.xlsx", "A 18062-2026")</f>
        <v/>
      </c>
      <c r="X78">
        <f>HYPERLINK("https://klasma.github.io/Logging_1784/kartor/A 18062-2026 karta.png", "A 18062-2026")</f>
        <v/>
      </c>
      <c r="Y78">
        <f>HYPERLINK("https://klasma.github.io/Logging_1784/kartor_geotiff/A 18062-2026 georefererad karta.tif", "A 18062-2026")</f>
        <v/>
      </c>
      <c r="AA78">
        <f>HYPERLINK("https://klasma.github.io/Logging_1784/klagomål/A 18062-2026 FSC-klagomål.docx", "A 18062-2026")</f>
        <v/>
      </c>
      <c r="AB78">
        <f>HYPERLINK("https://klasma.github.io/Logging_1784/klagomålsmail/A 18062-2026 FSC-klagomål mail.docx", "A 18062-2026")</f>
        <v/>
      </c>
      <c r="AC78">
        <f>HYPERLINK("https://klasma.github.io/Logging_1784/tillsyn/A 18062-2026 tillsynsbegäran.docx", "A 18062-2026")</f>
        <v/>
      </c>
      <c r="AD78">
        <f>HYPERLINK("https://klasma.github.io/Logging_1784/tillsynsmail/A 18062-2026 tillsynsbegäran mail.docx", "A 18062-2026")</f>
        <v/>
      </c>
      <c r="AE78">
        <f>HYPERLINK("https://klasma.github.io/Logging_1784/fåglar/A 18062-2026 prioriterade fågelarter.docx", "A 18062-2026")</f>
        <v/>
      </c>
    </row>
    <row r="79" ht="15" customHeight="1">
      <c r="A79" t="inlineStr">
        <is>
          <t>A 29662-2026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46313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HYPERLINK("https://klasma.github.io/Logging_1784/artfynd/A 29662-2026 artfynd.xlsx", "A 29662-2026")</f>
        <v/>
      </c>
      <c r="X79">
        <f>HYPERLINK("https://klasma.github.io/Logging_1784/kartor/A 29662-2026 karta.png", "A 29662-2026")</f>
        <v/>
      </c>
      <c r="Y79">
        <f>HYPERLINK("https://klasma.github.io/Logging_1784/kartor_geotiff/A 29662-2026 georefererad karta.tif", "A 29662-2026")</f>
        <v/>
      </c>
      <c r="AA79">
        <f>HYPERLINK("https://klasma.github.io/Logging_1784/klagomål/A 29662-2026 FSC-klagomål.docx", "A 29662-2026")</f>
        <v/>
      </c>
      <c r="AB79">
        <f>HYPERLINK("https://klasma.github.io/Logging_1784/klagomålsmail/A 29662-2026 FSC-klagomål mail.docx", "A 29662-2026")</f>
        <v/>
      </c>
      <c r="AC79">
        <f>HYPERLINK("https://klasma.github.io/Logging_1784/tillsyn/A 29662-2026 tillsynsbegäran.docx", "A 29662-2026")</f>
        <v/>
      </c>
      <c r="AD79">
        <f>HYPERLINK("https://klasma.github.io/Logging_1784/tillsynsmail/A 29662-2026 tillsynsbegäran mail.docx", "A 29662-2026")</f>
        <v/>
      </c>
      <c r="AE79">
        <f>HYPERLINK("https://klasma.github.io/Logging_1784/fåglar/A 29662-2026 prioriterade fågelarter.docx", "A 29662-2026")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46313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30296-2026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46313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Korallvaxing</t>
        </is>
      </c>
      <c r="W81">
        <f>HYPERLINK("https://klasma.github.io/Logging_1784/artfynd/A 30296-2026 artfynd.xlsx", "A 30296-2026")</f>
        <v/>
      </c>
      <c r="X81">
        <f>HYPERLINK("https://klasma.github.io/Logging_1784/kartor/A 30296-2026 karta.png", "A 30296-2026")</f>
        <v/>
      </c>
      <c r="Y81">
        <f>HYPERLINK("https://klasma.github.io/Logging_1784/kartor_geotiff/A 30296-2026 georefererad karta.tif", "A 30296-2026")</f>
        <v/>
      </c>
      <c r="AA81">
        <f>HYPERLINK("https://klasma.github.io/Logging_1784/klagomål/A 30296-2026 FSC-klagomål.docx", "A 30296-2026")</f>
        <v/>
      </c>
      <c r="AB81">
        <f>HYPERLINK("https://klasma.github.io/Logging_1784/klagomålsmail/A 30296-2026 FSC-klagomål mail.docx", "A 30296-2026")</f>
        <v/>
      </c>
      <c r="AC81">
        <f>HYPERLINK("https://klasma.github.io/Logging_1784/tillsyn/A 30296-2026 tillsynsbegäran.docx", "A 30296-2026")</f>
        <v/>
      </c>
      <c r="AD81">
        <f>HYPERLINK("https://klasma.github.io/Logging_1784/tillsynsmail/A 30296-2026 tillsynsbegäran mail.docx", "A 30296-2026")</f>
        <v/>
      </c>
    </row>
    <row r="82" ht="15" customHeight="1">
      <c r="A82" t="inlineStr">
        <is>
          <t>A 48464-2023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45206</v>
      </c>
      <c r="E82" s="1" t="n">
        <v>46313</v>
      </c>
      <c r="F82" t="inlineStr">
        <is>
          <t>VÄRMLANDS LÄN</t>
        </is>
      </c>
      <c r="G82" t="inlineStr">
        <is>
          <t>ARVIKA</t>
        </is>
      </c>
      <c r="I82" t="n">
        <v>7.9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HYPERLINK("https://klasma.github.io/Logging_1784/artfynd/A 48464-2023 artfynd.xlsx", "A 48464-2023")</f>
        <v/>
      </c>
      <c r="X82">
        <f>HYPERLINK("https://klasma.github.io/Logging_1784/kartor/A 48464-2023 karta.png", "A 48464-2023")</f>
        <v/>
      </c>
      <c r="Y82">
        <f>HYPERLINK("https://klasma.github.io/Logging_1784/kartor_geotiff/A 48464-2023 georefererad karta.tif", "A 48464-2023")</f>
        <v/>
      </c>
      <c r="Z82">
        <f>HYPERLINK("https://klasma.github.io/Logging_1784/knärot/A 48464-2023 karta knärot.png", "A 48464-2023")</f>
        <v/>
      </c>
      <c r="AA82">
        <f>HYPERLINK("https://klasma.github.io/Logging_1784/klagomål/A 48464-2023 FSC-klagomål.docx", "A 48464-2023")</f>
        <v/>
      </c>
      <c r="AB82">
        <f>HYPERLINK("https://klasma.github.io/Logging_1784/klagomålsmail/A 48464-2023 FSC-klagomål mail.docx", "A 48464-2023")</f>
        <v/>
      </c>
      <c r="AC82">
        <f>HYPERLINK("https://klasma.github.io/Logging_1784/tillsyn/A 48464-2023 tillsynsbegäran.docx", "A 48464-2023")</f>
        <v/>
      </c>
      <c r="AD82">
        <f>HYPERLINK("https://klasma.github.io/Logging_1784/tillsynsmail/A 48464-2023 tillsynsbegäran mail.docx", "A 48464-2023")</f>
        <v/>
      </c>
    </row>
    <row r="83" ht="15" customHeight="1">
      <c r="A83" t="inlineStr">
        <is>
          <t>A 8846-2022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46313</v>
      </c>
      <c r="F83" t="inlineStr">
        <is>
          <t>VÄRMLANDS LÄN</t>
        </is>
      </c>
      <c r="G83" t="inlineStr">
        <is>
          <t>ARVIKA</t>
        </is>
      </c>
      <c r="I83" t="n">
        <v>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5</v>
      </c>
      <c r="U83" t="n">
        <v>0</v>
      </c>
      <c r="V83" s="2" t="inlineStr">
        <is>
          <t>Tibast</t>
        </is>
      </c>
      <c r="W83">
        <f>HYPERLINK("https://klasma.github.io/Logging_1784/artfynd/A 8846-2022 artfynd.xlsx", "A 8846-2022")</f>
        <v/>
      </c>
      <c r="X83">
        <f>HYPERLINK("https://klasma.github.io/Logging_1784/kartor/A 8846-2022 karta.png", "A 8846-2022")</f>
        <v/>
      </c>
      <c r="Y83">
        <f>HYPERLINK("https://klasma.github.io/Logging_1784/kartor_geotiff/A 8846-2022 georefererad karta.tif", "A 8846-2022")</f>
        <v/>
      </c>
      <c r="AA83">
        <f>HYPERLINK("https://klasma.github.io/Logging_1784/klagomål/A 8846-2022 FSC-klagomål.docx", "A 8846-2022")</f>
        <v/>
      </c>
      <c r="AB83">
        <f>HYPERLINK("https://klasma.github.io/Logging_1784/klagomålsmail/A 8846-2022 FSC-klagomål mail.docx", "A 8846-2022")</f>
        <v/>
      </c>
      <c r="AC83">
        <f>HYPERLINK("https://klasma.github.io/Logging_1784/tillsyn/A 8846-2022 tillsynsbegäran.docx", "A 8846-2022")</f>
        <v/>
      </c>
      <c r="AD83">
        <f>HYPERLINK("https://klasma.github.io/Logging_1784/tillsynsmail/A 8846-2022 tillsynsbegäran mail.docx", "A 8846-2022")</f>
        <v/>
      </c>
    </row>
    <row r="84" ht="15" customHeight="1">
      <c r="A84" t="inlineStr">
        <is>
          <t>A 59105-2022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46313</v>
      </c>
      <c r="F84" t="inlineStr">
        <is>
          <t>VÄRMLANDS LÄN</t>
        </is>
      </c>
      <c r="G84" t="inlineStr">
        <is>
          <t>ARVIKA</t>
        </is>
      </c>
      <c r="H84" t="inlineStr">
        <is>
          <t>Kommuner</t>
        </is>
      </c>
      <c r="I84" t="n">
        <v>0.2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Brun gräsfjäril</t>
        </is>
      </c>
      <c r="W84">
        <f>HYPERLINK("https://klasma.github.io/Logging_1784/artfynd/A 59105-2022 artfynd.xlsx", "A 59105-2022")</f>
        <v/>
      </c>
      <c r="X84">
        <f>HYPERLINK("https://klasma.github.io/Logging_1784/kartor/A 59105-2022 karta.png", "A 59105-2022")</f>
        <v/>
      </c>
      <c r="Y84">
        <f>HYPERLINK("https://klasma.github.io/Logging_1784/kartor_geotiff/A 59105-2022 georefererad karta.tif", "A 59105-2022")</f>
        <v/>
      </c>
      <c r="AA84">
        <f>HYPERLINK("https://klasma.github.io/Logging_1784/klagomål/A 59105-2022 FSC-klagomål.docx", "A 59105-2022")</f>
        <v/>
      </c>
      <c r="AB84">
        <f>HYPERLINK("https://klasma.github.io/Logging_1784/klagomålsmail/A 59105-2022 FSC-klagomål mail.docx", "A 59105-2022")</f>
        <v/>
      </c>
      <c r="AC84">
        <f>HYPERLINK("https://klasma.github.io/Logging_1784/tillsyn/A 59105-2022 tillsynsbegäran.docx", "A 59105-2022")</f>
        <v/>
      </c>
      <c r="AD84">
        <f>HYPERLINK("https://klasma.github.io/Logging_1784/tillsynsmail/A 59105-2022 tillsynsbegäran mail.docx", "A 59105-2022")</f>
        <v/>
      </c>
    </row>
    <row r="85" ht="15" customHeight="1">
      <c r="A85" t="inlineStr">
        <is>
          <t>A 31797-2026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46313</v>
      </c>
      <c r="F85" t="inlineStr">
        <is>
          <t>VÄRMLANDS LÄN</t>
        </is>
      </c>
      <c r="G85" t="inlineStr">
        <is>
          <t>ARVIKA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31797-2026 artfynd.xlsx", "A 31797-2026")</f>
        <v/>
      </c>
      <c r="X85">
        <f>HYPERLINK("https://klasma.github.io/Logging_1784/kartor/A 31797-2026 karta.png", "A 31797-2026")</f>
        <v/>
      </c>
      <c r="Y85">
        <f>HYPERLINK("https://klasma.github.io/Logging_1784/kartor_geotiff/A 31797-2026 georefererad karta.tif", "A 31797-2026")</f>
        <v/>
      </c>
      <c r="AA85">
        <f>HYPERLINK("https://klasma.github.io/Logging_1784/klagomål/A 31797-2026 FSC-klagomål.docx", "A 31797-2026")</f>
        <v/>
      </c>
      <c r="AB85">
        <f>HYPERLINK("https://klasma.github.io/Logging_1784/klagomålsmail/A 31797-2026 FSC-klagomål mail.docx", "A 31797-2026")</f>
        <v/>
      </c>
      <c r="AC85">
        <f>HYPERLINK("https://klasma.github.io/Logging_1784/tillsyn/A 31797-2026 tillsynsbegäran.docx", "A 31797-2026")</f>
        <v/>
      </c>
      <c r="AD85">
        <f>HYPERLINK("https://klasma.github.io/Logging_1784/tillsynsmail/A 31797-2026 tillsynsbegäran mail.docx", "A 31797-2026")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46313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46313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35528-2023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46313</v>
      </c>
      <c r="F88" t="inlineStr">
        <is>
          <t>VÄRMLANDS LÄN</t>
        </is>
      </c>
      <c r="G88" t="inlineStr">
        <is>
          <t>ARVIKA</t>
        </is>
      </c>
      <c r="I88" t="n">
        <v>7.2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Mindre hackspett</t>
        </is>
      </c>
      <c r="W88">
        <f>HYPERLINK("https://klasma.github.io/Logging_1784/artfynd/A 35528-2023 artfynd.xlsx", "A 35528-2023")</f>
        <v/>
      </c>
      <c r="X88">
        <f>HYPERLINK("https://klasma.github.io/Logging_1784/kartor/A 35528-2023 karta.png", "A 35528-2023")</f>
        <v/>
      </c>
      <c r="Y88">
        <f>HYPERLINK("https://klasma.github.io/Logging_1784/kartor_geotiff/A 35528-2023 georefererad karta.tif", "A 35528-2023")</f>
        <v/>
      </c>
      <c r="AA88">
        <f>HYPERLINK("https://klasma.github.io/Logging_1784/klagomål/A 35528-2023 FSC-klagomål.docx", "A 35528-2023")</f>
        <v/>
      </c>
      <c r="AB88">
        <f>HYPERLINK("https://klasma.github.io/Logging_1784/klagomålsmail/A 35528-2023 FSC-klagomål mail.docx", "A 35528-2023")</f>
        <v/>
      </c>
      <c r="AC88">
        <f>HYPERLINK("https://klasma.github.io/Logging_1784/tillsyn/A 35528-2023 tillsynsbegäran.docx", "A 35528-2023")</f>
        <v/>
      </c>
      <c r="AD88">
        <f>HYPERLINK("https://klasma.github.io/Logging_1784/tillsynsmail/A 35528-2023 tillsynsbegäran mail.docx", "A 35528-2023")</f>
        <v/>
      </c>
      <c r="AE88">
        <f>HYPERLINK("https://klasma.github.io/Logging_1784/fåglar/A 35528-2023 prioriterade fågelarter.docx", "A 35528-2023")</f>
        <v/>
      </c>
    </row>
    <row r="89" ht="15" customHeight="1">
      <c r="A89" t="inlineStr">
        <is>
          <t>A 39469-2026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46288</v>
      </c>
      <c r="E89" s="1" t="n">
        <v>46313</v>
      </c>
      <c r="F89" t="inlineStr">
        <is>
          <t>VÄRMLANDS LÄN</t>
        </is>
      </c>
      <c r="G89" t="inlineStr">
        <is>
          <t>ARVIKA</t>
        </is>
      </c>
      <c r="H89" t="inlineStr">
        <is>
          <t>Kyrkan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HYPERLINK("https://klasma.github.io/Logging_1784/artfynd/A 39469-2026 artfynd.xlsx", "A 39469-2026")</f>
        <v/>
      </c>
      <c r="X89">
        <f>HYPERLINK("https://klasma.github.io/Logging_1784/kartor/A 39469-2026 karta.png", "A 39469-2026")</f>
        <v/>
      </c>
      <c r="Y89">
        <f>HYPERLINK("https://klasma.github.io/Logging_1784/kartor_geotiff/A 39469-2026 georefererad karta.tif", "A 39469-2026")</f>
        <v/>
      </c>
      <c r="AA89">
        <f>HYPERLINK("https://klasma.github.io/Logging_1784/klagomål/A 39469-2026 FSC-klagomål.docx", "A 39469-2026")</f>
        <v/>
      </c>
      <c r="AB89">
        <f>HYPERLINK("https://klasma.github.io/Logging_1784/klagomålsmail/A 39469-2026 FSC-klagomål mail.docx", "A 39469-2026")</f>
        <v/>
      </c>
      <c r="AC89">
        <f>HYPERLINK("https://klasma.github.io/Logging_1784/tillsyn/A 39469-2026 tillsynsbegäran.docx", "A 39469-2026")</f>
        <v/>
      </c>
      <c r="AD89">
        <f>HYPERLINK("https://klasma.github.io/Logging_1784/tillsynsmail/A 39469-2026 tillsynsbegäran mail.docx", "A 39469-2026")</f>
        <v/>
      </c>
    </row>
    <row r="90" ht="15" customHeight="1">
      <c r="A90" t="inlineStr">
        <is>
          <t>A 33435-2026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46313</v>
      </c>
      <c r="F90" t="inlineStr">
        <is>
          <t>VÄRMLANDS LÄN</t>
        </is>
      </c>
      <c r="G90" t="inlineStr">
        <is>
          <t>ARVIKA</t>
        </is>
      </c>
      <c r="I90" t="n">
        <v>7.4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HYPERLINK("https://klasma.github.io/Logging_1784/artfynd/A 33435-2026 artfynd.xlsx", "A 33435-2026")</f>
        <v/>
      </c>
      <c r="X90">
        <f>HYPERLINK("https://klasma.github.io/Logging_1784/kartor/A 33435-2026 karta.png", "A 33435-2026")</f>
        <v/>
      </c>
      <c r="Y90">
        <f>HYPERLINK("https://klasma.github.io/Logging_1784/kartor_geotiff/A 33435-2026 georefererad karta.tif", "A 33435-2026")</f>
        <v/>
      </c>
      <c r="AA90">
        <f>HYPERLINK("https://klasma.github.io/Logging_1784/klagomål/A 33435-2026 FSC-klagomål.docx", "A 33435-2026")</f>
        <v/>
      </c>
      <c r="AB90">
        <f>HYPERLINK("https://klasma.github.io/Logging_1784/klagomålsmail/A 33435-2026 FSC-klagomål mail.docx", "A 33435-2026")</f>
        <v/>
      </c>
      <c r="AC90">
        <f>HYPERLINK("https://klasma.github.io/Logging_1784/tillsyn/A 33435-2026 tillsynsbegäran.docx", "A 33435-2026")</f>
        <v/>
      </c>
      <c r="AD90">
        <f>HYPERLINK("https://klasma.github.io/Logging_1784/tillsynsmail/A 33435-2026 tillsynsbegäran mail.docx", "A 33435-2026")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46313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39797-2026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46313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13.5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HYPERLINK("https://klasma.github.io/Logging_1784/artfynd/A 39797-2026 artfynd.xlsx", "A 39797-2026")</f>
        <v/>
      </c>
      <c r="X92">
        <f>HYPERLINK("https://klasma.github.io/Logging_1784/kartor/A 39797-2026 karta.png", "A 39797-2026")</f>
        <v/>
      </c>
      <c r="Y92">
        <f>HYPERLINK("https://klasma.github.io/Logging_1784/kartor_geotiff/A 39797-2026 georefererad karta.tif", "A 39797-2026")</f>
        <v/>
      </c>
      <c r="AA92">
        <f>HYPERLINK("https://klasma.github.io/Logging_1784/klagomål/A 39797-2026 FSC-klagomål.docx", "A 39797-2026")</f>
        <v/>
      </c>
      <c r="AB92">
        <f>HYPERLINK("https://klasma.github.io/Logging_1784/klagomålsmail/A 39797-2026 FSC-klagomål mail.docx", "A 39797-2026")</f>
        <v/>
      </c>
      <c r="AC92">
        <f>HYPERLINK("https://klasma.github.io/Logging_1784/tillsyn/A 39797-2026 tillsynsbegäran.docx", "A 39797-2026")</f>
        <v/>
      </c>
      <c r="AD92">
        <f>HYPERLINK("https://klasma.github.io/Logging_1784/tillsynsmail/A 39797-2026 tillsynsbegäran mail.docx", "A 39797-2026")</f>
        <v/>
      </c>
    </row>
    <row r="93" ht="15" customHeight="1">
      <c r="A93" t="inlineStr">
        <is>
          <t>A 37561-2024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46313</v>
      </c>
      <c r="F93" t="inlineStr">
        <is>
          <t>VÄRMLANDS LÄN</t>
        </is>
      </c>
      <c r="G93" t="inlineStr">
        <is>
          <t>ARVIKA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Sparvuggla</t>
        </is>
      </c>
      <c r="W93">
        <f>HYPERLINK("https://klasma.github.io/Logging_1784/artfynd/A 37561-2024 artfynd.xlsx", "A 37561-2024")</f>
        <v/>
      </c>
      <c r="X93">
        <f>HYPERLINK("https://klasma.github.io/Logging_1784/kartor/A 37561-2024 karta.png", "A 37561-2024")</f>
        <v/>
      </c>
      <c r="Y93">
        <f>HYPERLINK("https://klasma.github.io/Logging_1784/kartor_geotiff/A 37561-2024 georefererad karta.tif", "A 37561-2024")</f>
        <v/>
      </c>
      <c r="AA93">
        <f>HYPERLINK("https://klasma.github.io/Logging_1784/klagomål/A 37561-2024 FSC-klagomål.docx", "A 37561-2024")</f>
        <v/>
      </c>
      <c r="AB93">
        <f>HYPERLINK("https://klasma.github.io/Logging_1784/klagomålsmail/A 37561-2024 FSC-klagomål mail.docx", "A 37561-2024")</f>
        <v/>
      </c>
      <c r="AC93">
        <f>HYPERLINK("https://klasma.github.io/Logging_1784/tillsyn/A 37561-2024 tillsynsbegäran.docx", "A 37561-2024")</f>
        <v/>
      </c>
      <c r="AD93">
        <f>HYPERLINK("https://klasma.github.io/Logging_1784/tillsynsmail/A 37561-2024 tillsynsbegäran mail.docx", "A 37561-2024")</f>
        <v/>
      </c>
      <c r="AE93">
        <f>HYPERLINK("https://klasma.github.io/Logging_1784/fåglar/A 37561-2024 prioriterade fågelarter.docx", "A 37561-2024")</f>
        <v/>
      </c>
    </row>
    <row r="94" ht="15" customHeight="1">
      <c r="A94" t="inlineStr">
        <is>
          <t>A 40307-2026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46294</v>
      </c>
      <c r="E94" s="1" t="n">
        <v>46313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Dysterfibbla</t>
        </is>
      </c>
      <c r="W94">
        <f>HYPERLINK("https://klasma.github.io/Logging_1784/artfynd/A 40307-2026 artfynd.xlsx", "A 40307-2026")</f>
        <v/>
      </c>
      <c r="X94">
        <f>HYPERLINK("https://klasma.github.io/Logging_1784/kartor/A 40307-2026 karta.png", "A 40307-2026")</f>
        <v/>
      </c>
      <c r="Y94">
        <f>HYPERLINK("https://klasma.github.io/Logging_1784/kartor_geotiff/A 40307-2026 georefererad karta.tif", "A 40307-2026")</f>
        <v/>
      </c>
      <c r="AA94">
        <f>HYPERLINK("https://klasma.github.io/Logging_1784/klagomål/A 40307-2026 FSC-klagomål.docx", "A 40307-2026")</f>
        <v/>
      </c>
      <c r="AB94">
        <f>HYPERLINK("https://klasma.github.io/Logging_1784/klagomålsmail/A 40307-2026 FSC-klagomål mail.docx", "A 40307-2026")</f>
        <v/>
      </c>
      <c r="AC94">
        <f>HYPERLINK("https://klasma.github.io/Logging_1784/tillsyn/A 40307-2026 tillsynsbegäran.docx", "A 40307-2026")</f>
        <v/>
      </c>
      <c r="AD94">
        <f>HYPERLINK("https://klasma.github.io/Logging_1784/tillsynsmail/A 40307-2026 tillsynsbegäran mail.docx", "A 40307-2026")</f>
        <v/>
      </c>
    </row>
    <row r="95" ht="15" customHeight="1">
      <c r="A95" t="inlineStr">
        <is>
          <t>A 40325-2026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46294</v>
      </c>
      <c r="E95" s="1" t="n">
        <v>46313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40325-2026 artfynd.xlsx", "A 40325-2026")</f>
        <v/>
      </c>
      <c r="X95">
        <f>HYPERLINK("https://klasma.github.io/Logging_1784/kartor/A 40325-2026 karta.png", "A 40325-2026")</f>
        <v/>
      </c>
      <c r="Y95">
        <f>HYPERLINK("https://klasma.github.io/Logging_1784/kartor_geotiff/A 40325-2026 georefererad karta.tif", "A 40325-2026")</f>
        <v/>
      </c>
      <c r="Z95">
        <f>HYPERLINK("https://klasma.github.io/Logging_1784/knärot/A 40325-2026 karta knärot.png", "A 40325-2026")</f>
        <v/>
      </c>
      <c r="AA95">
        <f>HYPERLINK("https://klasma.github.io/Logging_1784/klagomål/A 40325-2026 FSC-klagomål.docx", "A 40325-2026")</f>
        <v/>
      </c>
      <c r="AB95">
        <f>HYPERLINK("https://klasma.github.io/Logging_1784/klagomålsmail/A 40325-2026 FSC-klagomål mail.docx", "A 40325-2026")</f>
        <v/>
      </c>
      <c r="AC95">
        <f>HYPERLINK("https://klasma.github.io/Logging_1784/tillsyn/A 40325-2026 tillsynsbegäran.docx", "A 40325-2026")</f>
        <v/>
      </c>
      <c r="AD95">
        <f>HYPERLINK("https://klasma.github.io/Logging_1784/tillsynsmail/A 40325-2026 tillsynsbegäran mail.docx", "A 40325-2026")</f>
        <v/>
      </c>
    </row>
    <row r="96" ht="15" customHeight="1">
      <c r="A96" t="inlineStr">
        <is>
          <t>A 19137-2022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46313</v>
      </c>
      <c r="F96" t="inlineStr">
        <is>
          <t>VÄRMLANDS LÄN</t>
        </is>
      </c>
      <c r="G96" t="inlineStr">
        <is>
          <t>ARVIKA</t>
        </is>
      </c>
      <c r="I96" t="n">
        <v>9.5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HYPERLINK("https://klasma.github.io/Logging_1784/artfynd/A 19137-2022 artfynd.xlsx", "A 19137-2022")</f>
        <v/>
      </c>
      <c r="X96">
        <f>HYPERLINK("https://klasma.github.io/Logging_1784/kartor/A 19137-2022 karta.png", "A 19137-2022")</f>
        <v/>
      </c>
      <c r="Y96">
        <f>HYPERLINK("https://klasma.github.io/Logging_1784/kartor_geotiff/A 19137-2022 georefererad karta.tif", "A 19137-2022")</f>
        <v/>
      </c>
      <c r="AA96">
        <f>HYPERLINK("https://klasma.github.io/Logging_1784/klagomål/A 19137-2022 FSC-klagomål.docx", "A 19137-2022")</f>
        <v/>
      </c>
      <c r="AB96">
        <f>HYPERLINK("https://klasma.github.io/Logging_1784/klagomålsmail/A 19137-2022 FSC-klagomål mail.docx", "A 19137-2022")</f>
        <v/>
      </c>
      <c r="AC96">
        <f>HYPERLINK("https://klasma.github.io/Logging_1784/tillsyn/A 19137-2022 tillsynsbegäran.docx", "A 19137-2022")</f>
        <v/>
      </c>
      <c r="AD96">
        <f>HYPERLINK("https://klasma.github.io/Logging_1784/tillsynsmail/A 19137-2022 tillsynsbegäran mail.docx", "A 19137-2022")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46313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47141-2023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46313</v>
      </c>
      <c r="F98" t="inlineStr">
        <is>
          <t>VÄRMLANDS LÄN</t>
        </is>
      </c>
      <c r="G98" t="inlineStr">
        <is>
          <t>ARVIKA</t>
        </is>
      </c>
      <c r="I98" t="n">
        <v>3.7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47141-2023 artfynd.xlsx", "A 47141-2023")</f>
        <v/>
      </c>
      <c r="X98">
        <f>HYPERLINK("https://klasma.github.io/Logging_1784/kartor/A 47141-2023 karta.png", "A 47141-2023")</f>
        <v/>
      </c>
      <c r="Y98">
        <f>HYPERLINK("https://klasma.github.io/Logging_1784/kartor_geotiff/A 47141-2023 georefererad karta.tif", "A 47141-2023")</f>
        <v/>
      </c>
      <c r="Z98">
        <f>HYPERLINK("https://klasma.github.io/Logging_1784/knärot/A 47141-2023 karta knärot.png", "A 47141-2023")</f>
        <v/>
      </c>
      <c r="AA98">
        <f>HYPERLINK("https://klasma.github.io/Logging_1784/klagomål/A 47141-2023 FSC-klagomål.docx", "A 47141-2023")</f>
        <v/>
      </c>
      <c r="AB98">
        <f>HYPERLINK("https://klasma.github.io/Logging_1784/klagomålsmail/A 47141-2023 FSC-klagomål mail.docx", "A 47141-2023")</f>
        <v/>
      </c>
      <c r="AC98">
        <f>HYPERLINK("https://klasma.github.io/Logging_1784/tillsyn/A 47141-2023 tillsynsbegäran.docx", "A 47141-2023")</f>
        <v/>
      </c>
      <c r="AD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45644</v>
      </c>
      <c r="E99" s="1" t="n">
        <v>46313</v>
      </c>
      <c r="F99" t="inlineStr">
        <is>
          <t>VÄRMLANDS LÄN</t>
        </is>
      </c>
      <c r="G99" t="inlineStr">
        <is>
          <t>ARVIKA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Fiskgjuse</t>
        </is>
      </c>
      <c r="W99">
        <f>HYPERLINK("https://klasma.github.io/Logging_1784/artfynd/A 60844-2024 artfynd.xlsx", "A 60844-2024")</f>
        <v/>
      </c>
      <c r="X99">
        <f>HYPERLINK("https://klasma.github.io/Logging_1784/kartor/A 60844-2024 karta.png", "A 60844-2024")</f>
        <v/>
      </c>
      <c r="Y99">
        <f>HYPERLINK("https://klasma.github.io/Logging_1784/kartor_geotiff/A 60844-2024 georefererad karta.tif", "A 60844-2024")</f>
        <v/>
      </c>
      <c r="AA99">
        <f>HYPERLINK("https://klasma.github.io/Logging_1784/klagomål/A 60844-2024 FSC-klagomål.docx", "A 60844-2024")</f>
        <v/>
      </c>
      <c r="AB99">
        <f>HYPERLINK("https://klasma.github.io/Logging_1784/klagomålsmail/A 60844-2024 FSC-klagomål mail.docx", "A 60844-2024")</f>
        <v/>
      </c>
      <c r="AC99">
        <f>HYPERLINK("https://klasma.github.io/Logging_1784/tillsyn/A 60844-2024 tillsynsbegäran.docx", "A 60844-2024")</f>
        <v/>
      </c>
      <c r="AD99">
        <f>HYPERLINK("https://klasma.github.io/Logging_1784/tillsynsmail/A 60844-2024 tillsynsbegäran mail.docx", "A 60844-2024")</f>
        <v/>
      </c>
      <c r="AE99">
        <f>HYPERLINK("https://klasma.github.io/Logging_1784/fåglar/A 60844-2024 prioriterade fågelarter.docx", "A 60844-2024")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46313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13761-2025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46313</v>
      </c>
      <c r="F101" t="inlineStr">
        <is>
          <t>VÄRMLANDS LÄN</t>
        </is>
      </c>
      <c r="G101" t="inlineStr">
        <is>
          <t>ARVIKA</t>
        </is>
      </c>
      <c r="I101" t="n">
        <v>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Hjeltfibbla</t>
        </is>
      </c>
      <c r="W101">
        <f>HYPERLINK("https://klasma.github.io/Logging_1784/artfynd/A 13761-2025 artfynd.xlsx", "A 13761-2025")</f>
        <v/>
      </c>
      <c r="X101">
        <f>HYPERLINK("https://klasma.github.io/Logging_1784/kartor/A 13761-2025 karta.png", "A 13761-2025")</f>
        <v/>
      </c>
      <c r="Y101">
        <f>HYPERLINK("https://klasma.github.io/Logging_1784/kartor_geotiff/A 13761-2025 georefererad karta.tif", "A 13761-2025")</f>
        <v/>
      </c>
      <c r="AA101">
        <f>HYPERLINK("https://klasma.github.io/Logging_1784/klagomål/A 13761-2025 FSC-klagomål.docx", "A 13761-2025")</f>
        <v/>
      </c>
      <c r="AB101">
        <f>HYPERLINK("https://klasma.github.io/Logging_1784/klagomålsmail/A 13761-2025 FSC-klagomål mail.docx", "A 13761-2025")</f>
        <v/>
      </c>
      <c r="AC101">
        <f>HYPERLINK("https://klasma.github.io/Logging_1784/tillsyn/A 13761-2025 tillsynsbegäran.docx", "A 13761-2025")</f>
        <v/>
      </c>
      <c r="AD101">
        <f>HYPERLINK("https://klasma.github.io/Logging_1784/tillsynsmail/A 13761-2025 tillsynsbegäran mail.docx", "A 13761-2025")</f>
        <v/>
      </c>
    </row>
    <row r="102" ht="15" customHeight="1">
      <c r="A102" t="inlineStr">
        <is>
          <t>A 36475-2024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46313</v>
      </c>
      <c r="F102" t="inlineStr">
        <is>
          <t>VÄRMLANDS LÄN</t>
        </is>
      </c>
      <c r="G102" t="inlineStr">
        <is>
          <t>ARVIKA</t>
        </is>
      </c>
      <c r="H102" t="inlineStr">
        <is>
          <t>Kommuner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Slåttergubbemal</t>
        </is>
      </c>
      <c r="W102">
        <f>HYPERLINK("https://klasma.github.io/Logging_1784/artfynd/A 36475-2024 artfynd.xlsx", "A 36475-2024")</f>
        <v/>
      </c>
      <c r="X102">
        <f>HYPERLINK("https://klasma.github.io/Logging_1784/kartor/A 36475-2024 karta.png", "A 36475-2024")</f>
        <v/>
      </c>
      <c r="Y102">
        <f>HYPERLINK("https://klasma.github.io/Logging_1784/kartor_geotiff/A 36475-2024 georefererad karta.tif", "A 36475-2024")</f>
        <v/>
      </c>
      <c r="AA102">
        <f>HYPERLINK("https://klasma.github.io/Logging_1784/klagomål/A 36475-2024 FSC-klagomål.docx", "A 36475-2024")</f>
        <v/>
      </c>
      <c r="AB102">
        <f>HYPERLINK("https://klasma.github.io/Logging_1784/klagomålsmail/A 36475-2024 FSC-klagomål mail.docx", "A 36475-2024")</f>
        <v/>
      </c>
      <c r="AC102">
        <f>HYPERLINK("https://klasma.github.io/Logging_1784/tillsyn/A 36475-2024 tillsynsbegäran.docx", "A 36475-2024")</f>
        <v/>
      </c>
      <c r="AD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29937-2025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46313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Duvhök</t>
        </is>
      </c>
      <c r="W103">
        <f>HYPERLINK("https://klasma.github.io/Logging_1784/artfynd/A 29937-2025 artfynd.xlsx", "A 29937-2025")</f>
        <v/>
      </c>
      <c r="X103">
        <f>HYPERLINK("https://klasma.github.io/Logging_1784/kartor/A 29937-2025 karta.png", "A 29937-2025")</f>
        <v/>
      </c>
      <c r="Y103">
        <f>HYPERLINK("https://klasma.github.io/Logging_1784/kartor_geotiff/A 29937-2025 georefererad karta.tif", "A 29937-2025")</f>
        <v/>
      </c>
      <c r="AA103">
        <f>HYPERLINK("https://klasma.github.io/Logging_1784/klagomål/A 29937-2025 FSC-klagomål.docx", "A 29937-2025")</f>
        <v/>
      </c>
      <c r="AB103">
        <f>HYPERLINK("https://klasma.github.io/Logging_1784/klagomålsmail/A 29937-2025 FSC-klagomål mail.docx", "A 29937-2025")</f>
        <v/>
      </c>
      <c r="AC103">
        <f>HYPERLINK("https://klasma.github.io/Logging_1784/tillsyn/A 29937-2025 tillsynsbegäran.docx", "A 29937-2025")</f>
        <v/>
      </c>
      <c r="AD103">
        <f>HYPERLINK("https://klasma.github.io/Logging_1784/tillsynsmail/A 29937-2025 tillsynsbegäran mail.docx", "A 29937-2025")</f>
        <v/>
      </c>
      <c r="AE103">
        <f>HYPERLINK("https://klasma.github.io/Logging_1784/fåglar/A 29937-2025 prioriterade fågelarter.docx", "A 29937-2025")</f>
        <v/>
      </c>
    </row>
    <row r="104" ht="15" customHeight="1">
      <c r="A104" t="inlineStr">
        <is>
          <t>A 30777-2025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46313</v>
      </c>
      <c r="F104" t="inlineStr">
        <is>
          <t>VÄRMLANDS LÄN</t>
        </is>
      </c>
      <c r="G104" t="inlineStr">
        <is>
          <t>ARVIKA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HYPERLINK("https://klasma.github.io/Logging_1784/artfynd/A 30777-2025 artfynd.xlsx", "A 30777-2025")</f>
        <v/>
      </c>
      <c r="X104">
        <f>HYPERLINK("https://klasma.github.io/Logging_1784/kartor/A 30777-2025 karta.png", "A 30777-2025")</f>
        <v/>
      </c>
      <c r="Y104">
        <f>HYPERLINK("https://klasma.github.io/Logging_1784/kartor_geotiff/A 30777-2025 georefererad karta.tif", "A 30777-2025")</f>
        <v/>
      </c>
      <c r="AA104">
        <f>HYPERLINK("https://klasma.github.io/Logging_1784/klagomål/A 30777-2025 FSC-klagomål.docx", "A 30777-2025")</f>
        <v/>
      </c>
      <c r="AB104">
        <f>HYPERLINK("https://klasma.github.io/Logging_1784/klagomålsmail/A 30777-2025 FSC-klagomål mail.docx", "A 30777-2025")</f>
        <v/>
      </c>
      <c r="AC104">
        <f>HYPERLINK("https://klasma.github.io/Logging_1784/tillsyn/A 30777-2025 tillsynsbegäran.docx", "A 30777-2025")</f>
        <v/>
      </c>
      <c r="AD104">
        <f>HYPERLINK("https://klasma.github.io/Logging_1784/tillsynsmail/A 30777-2025 tillsynsbegäran mail.docx", "A 30777-2025")</f>
        <v/>
      </c>
      <c r="AE104">
        <f>HYPERLINK("https://klasma.github.io/Logging_1784/fåglar/A 30777-2025 prioriterade fågelarter.docx", "A 30777-2025")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46313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46313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16391-2023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46313</v>
      </c>
      <c r="F107" t="inlineStr">
        <is>
          <t>VÄRMLANDS LÄN</t>
        </is>
      </c>
      <c r="G107" t="inlineStr">
        <is>
          <t>ARVIKA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Kulfibbla</t>
        </is>
      </c>
      <c r="W107">
        <f>HYPERLINK("https://klasma.github.io/Logging_1784/artfynd/A 16391-2023 artfynd.xlsx", "A 16391-2023")</f>
        <v/>
      </c>
      <c r="X107">
        <f>HYPERLINK("https://klasma.github.io/Logging_1784/kartor/A 16391-2023 karta.png", "A 16391-2023")</f>
        <v/>
      </c>
      <c r="Y107">
        <f>HYPERLINK("https://klasma.github.io/Logging_1784/kartor_geotiff/A 16391-2023 georefererad karta.tif", "A 16391-2023")</f>
        <v/>
      </c>
      <c r="AA107">
        <f>HYPERLINK("https://klasma.github.io/Logging_1784/klagomål/A 16391-2023 FSC-klagomål.docx", "A 16391-2023")</f>
        <v/>
      </c>
      <c r="AB107">
        <f>HYPERLINK("https://klasma.github.io/Logging_1784/klagomålsmail/A 16391-2023 FSC-klagomål mail.docx", "A 16391-2023")</f>
        <v/>
      </c>
      <c r="AC107">
        <f>HYPERLINK("https://klasma.github.io/Logging_1784/tillsyn/A 16391-2023 tillsynsbegäran.docx", "A 16391-2023")</f>
        <v/>
      </c>
      <c r="AD107">
        <f>HYPERLINK("https://klasma.github.io/Logging_1784/tillsynsmail/A 16391-2023 tillsynsbegäran mail.docx", "A 16391-2023")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46313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46313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46313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46313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46313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46313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46313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46313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46313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46313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46313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46313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46313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46313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46313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46313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46313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46313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46313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46313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46313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46313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46313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46313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46313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46313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46313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46313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46313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46313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46313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46313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46313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46313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46313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46313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46313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46313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46313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46313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46313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46313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46313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46313</v>
      </c>
      <c r="F157" t="inlineStr">
        <is>
          <t>VÄRMLANDS LÄN</t>
        </is>
      </c>
      <c r="G157" t="inlineStr">
        <is>
          <t>ARVIKA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46313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46313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46313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46313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46313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46313</v>
      </c>
      <c r="F163" t="inlineStr">
        <is>
          <t>VÄRMLANDS LÄN</t>
        </is>
      </c>
      <c r="G163" t="inlineStr">
        <is>
          <t>ARVIKA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46313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46313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46313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46313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46313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46313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46313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46313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46313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44714</v>
      </c>
      <c r="E173" s="1" t="n">
        <v>46313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46313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46313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44655</v>
      </c>
      <c r="E176" s="1" t="n">
        <v>46313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44718</v>
      </c>
      <c r="E177" s="1" t="n">
        <v>46313</v>
      </c>
      <c r="F177" t="inlineStr">
        <is>
          <t>VÄRMLANDS LÄN</t>
        </is>
      </c>
      <c r="G177" t="inlineStr">
        <is>
          <t>ARVIKA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46313</v>
      </c>
      <c r="F178" t="inlineStr">
        <is>
          <t>VÄRMLANDS LÄN</t>
        </is>
      </c>
      <c r="G178" t="inlineStr">
        <is>
          <t>ARVIKA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46313</v>
      </c>
      <c r="F179" t="inlineStr">
        <is>
          <t>VÄRMLANDS LÄN</t>
        </is>
      </c>
      <c r="G179" t="inlineStr">
        <is>
          <t>ARVIKA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46313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46313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64331-2021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44510</v>
      </c>
      <c r="E182" s="1" t="n">
        <v>46313</v>
      </c>
      <c r="F182" t="inlineStr">
        <is>
          <t>VÄRMLANDS LÄN</t>
        </is>
      </c>
      <c r="G182" t="inlineStr">
        <is>
          <t>ARVIKA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46313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46313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71130-2021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46313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46313</v>
      </c>
      <c r="F186" t="inlineStr">
        <is>
          <t>VÄRMLANDS LÄN</t>
        </is>
      </c>
      <c r="G186" t="inlineStr">
        <is>
          <t>ARVIKA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46313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46313</v>
      </c>
      <c r="F188" t="inlineStr">
        <is>
          <t>VÄRMLANDS LÄN</t>
        </is>
      </c>
      <c r="G188" t="inlineStr">
        <is>
          <t>ARVIKA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46313</v>
      </c>
      <c r="F189" t="inlineStr">
        <is>
          <t>VÄRMLANDS LÄN</t>
        </is>
      </c>
      <c r="G189" t="inlineStr">
        <is>
          <t>ARVIKA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46313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46313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46313</v>
      </c>
      <c r="F192" t="inlineStr">
        <is>
          <t>VÄRMLANDS LÄN</t>
        </is>
      </c>
      <c r="G192" t="inlineStr">
        <is>
          <t>ARVIKA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46313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46313</v>
      </c>
      <c r="F194" t="inlineStr">
        <is>
          <t>VÄRMLANDS LÄN</t>
        </is>
      </c>
      <c r="G194" t="inlineStr">
        <is>
          <t>ARVIKA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44493</v>
      </c>
      <c r="E195" s="1" t="n">
        <v>46313</v>
      </c>
      <c r="F195" t="inlineStr">
        <is>
          <t>VÄRMLANDS LÄN</t>
        </is>
      </c>
      <c r="G195" t="inlineStr">
        <is>
          <t>ARVIKA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53892-2022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44880</v>
      </c>
      <c r="E196" s="1" t="n">
        <v>46313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46313</v>
      </c>
      <c r="F197" t="inlineStr">
        <is>
          <t>VÄRMLANDS LÄN</t>
        </is>
      </c>
      <c r="G197" t="inlineStr">
        <is>
          <t>ARVIKA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45131</v>
      </c>
      <c r="E198" s="1" t="n">
        <v>46313</v>
      </c>
      <c r="F198" t="inlineStr">
        <is>
          <t>VÄRMLANDS LÄN</t>
        </is>
      </c>
      <c r="G198" t="inlineStr">
        <is>
          <t>ARVIKA</t>
        </is>
      </c>
      <c r="H198" t="inlineStr">
        <is>
          <t>Övriga Aktiebolag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46313</v>
      </c>
      <c r="F199" t="inlineStr">
        <is>
          <t>VÄRMLANDS LÄN</t>
        </is>
      </c>
      <c r="G199" t="inlineStr">
        <is>
          <t>ARVIKA</t>
        </is>
      </c>
      <c r="I199" t="n">
        <v>10.5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46313</v>
      </c>
      <c r="F200" t="inlineStr">
        <is>
          <t>VÄRMLANDS LÄN</t>
        </is>
      </c>
      <c r="G200" t="inlineStr">
        <is>
          <t>ARVIKA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46313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46313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46313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46313</v>
      </c>
      <c r="F204" t="inlineStr">
        <is>
          <t>VÄRMLANDS LÄN</t>
        </is>
      </c>
      <c r="G204" t="inlineStr">
        <is>
          <t>ARVIKA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46313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46313</v>
      </c>
      <c r="F206" t="inlineStr">
        <is>
          <t>VÄRMLANDS LÄN</t>
        </is>
      </c>
      <c r="G206" t="inlineStr">
        <is>
          <t>ARVIKA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46313</v>
      </c>
      <c r="F207" t="inlineStr">
        <is>
          <t>VÄRMLANDS LÄN</t>
        </is>
      </c>
      <c r="G207" t="inlineStr">
        <is>
          <t>ARVIKA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46313</v>
      </c>
      <c r="F208" t="inlineStr">
        <is>
          <t>VÄRMLANDS LÄN</t>
        </is>
      </c>
      <c r="G208" t="inlineStr">
        <is>
          <t>ARVIKA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44706</v>
      </c>
      <c r="E209" s="1" t="n">
        <v>46313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45259</v>
      </c>
      <c r="E210" s="1" t="n">
        <v>46313</v>
      </c>
      <c r="F210" t="inlineStr">
        <is>
          <t>VÄRMLANDS LÄN</t>
        </is>
      </c>
      <c r="G210" t="inlineStr">
        <is>
          <t>ARVIKA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46313</v>
      </c>
      <c r="F211" t="inlineStr">
        <is>
          <t>VÄRMLANDS LÄN</t>
        </is>
      </c>
      <c r="G211" t="inlineStr">
        <is>
          <t>ARVIKA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46313</v>
      </c>
      <c r="F212" t="inlineStr">
        <is>
          <t>VÄRMLANDS LÄN</t>
        </is>
      </c>
      <c r="G212" t="inlineStr">
        <is>
          <t>ARVIKA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46313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46313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46313</v>
      </c>
      <c r="F215" t="inlineStr">
        <is>
          <t>VÄRMLANDS LÄN</t>
        </is>
      </c>
      <c r="G215" t="inlineStr">
        <is>
          <t>ARVIKA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46313</v>
      </c>
      <c r="F216" t="inlineStr">
        <is>
          <t>VÄRMLANDS LÄN</t>
        </is>
      </c>
      <c r="G216" t="inlineStr">
        <is>
          <t>ARVIKA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HYPERLINK("https://klasma.github.io/Logging_1784/knärot/A 6241-2025 karta knärot.png", "A 6241-2025")</f>
        <v/>
      </c>
      <c r="AA216">
        <f>HYPERLINK("https://klasma.github.io/Logging_1784/klagomål/A 6241-2025 FSC-klagomål.docx", "A 6241-2025")</f>
        <v/>
      </c>
      <c r="AB216">
        <f>HYPERLINK("https://klasma.github.io/Logging_1784/klagomålsmail/A 6241-2025 FSC-klagomål mail.docx", "A 6241-2025")</f>
        <v/>
      </c>
      <c r="AC216">
        <f>HYPERLINK("https://klasma.github.io/Logging_1784/tillsyn/A 6241-2025 tillsynsbegäran.docx", "A 6241-2025")</f>
        <v/>
      </c>
      <c r="AD216">
        <f>HYPERLINK("https://klasma.github.io/Logging_1784/tillsynsmail/A 6241-2025 tillsynsbegäran mail.docx", "A 6241-2025")</f>
        <v/>
      </c>
    </row>
    <row r="217" ht="15" customHeight="1">
      <c r="A217" t="inlineStr">
        <is>
          <t>A 9690-2025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45716</v>
      </c>
      <c r="E217" s="1" t="n">
        <v>46313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46313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46313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46313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46313</v>
      </c>
      <c r="F221" t="inlineStr">
        <is>
          <t>VÄRMLANDS LÄN</t>
        </is>
      </c>
      <c r="G221" t="inlineStr">
        <is>
          <t>ARVIKA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46313</v>
      </c>
      <c r="F222" t="inlineStr">
        <is>
          <t>VÄRMLANDS LÄN</t>
        </is>
      </c>
      <c r="G222" t="inlineStr">
        <is>
          <t>ARVIKA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46313</v>
      </c>
      <c r="F223" t="inlineStr">
        <is>
          <t>VÄRMLANDS LÄN</t>
        </is>
      </c>
      <c r="G223" t="inlineStr">
        <is>
          <t>ARVIKA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46313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46313</v>
      </c>
      <c r="F225" t="inlineStr">
        <is>
          <t>VÄRMLANDS LÄN</t>
        </is>
      </c>
      <c r="G225" t="inlineStr">
        <is>
          <t>ARVIKA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27170-2024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45471</v>
      </c>
      <c r="E226" s="1" t="n">
        <v>46313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46313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46313</v>
      </c>
      <c r="F228" t="inlineStr">
        <is>
          <t>VÄRMLANDS LÄN</t>
        </is>
      </c>
      <c r="G228" t="inlineStr">
        <is>
          <t>ARVIKA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46313</v>
      </c>
      <c r="F229" t="inlineStr">
        <is>
          <t>VÄRMLANDS LÄN</t>
        </is>
      </c>
      <c r="G229" t="inlineStr">
        <is>
          <t>ARVIKA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46313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46313</v>
      </c>
      <c r="F231" t="inlineStr">
        <is>
          <t>VÄRMLANDS LÄN</t>
        </is>
      </c>
      <c r="G231" t="inlineStr">
        <is>
          <t>ARVIKA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46313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45587</v>
      </c>
      <c r="E233" s="1" t="n">
        <v>46313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46313</v>
      </c>
      <c r="F234" t="inlineStr">
        <is>
          <t>VÄRMLANDS LÄN</t>
        </is>
      </c>
      <c r="G234" t="inlineStr">
        <is>
          <t>ARVIKA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46313</v>
      </c>
      <c r="F235" t="inlineStr">
        <is>
          <t>VÄRMLANDS LÄN</t>
        </is>
      </c>
      <c r="G235" t="inlineStr">
        <is>
          <t>ARVIKA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45483</v>
      </c>
      <c r="E236" s="1" t="n">
        <v>46313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46313</v>
      </c>
      <c r="F237" t="inlineStr">
        <is>
          <t>VÄRMLANDS LÄN</t>
        </is>
      </c>
      <c r="G237" t="inlineStr">
        <is>
          <t>ARVIKA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46313</v>
      </c>
      <c r="F238" t="inlineStr">
        <is>
          <t>VÄRMLANDS LÄN</t>
        </is>
      </c>
      <c r="G238" t="inlineStr">
        <is>
          <t>ARVIKA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46313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45692</v>
      </c>
      <c r="E240" s="1" t="n">
        <v>46313</v>
      </c>
      <c r="F240" t="inlineStr">
        <is>
          <t>VÄRMLANDS LÄN</t>
        </is>
      </c>
      <c r="G240" t="inlineStr">
        <is>
          <t>ARVIKA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46313</v>
      </c>
      <c r="F241" t="inlineStr">
        <is>
          <t>VÄRMLANDS LÄN</t>
        </is>
      </c>
      <c r="G241" t="inlineStr">
        <is>
          <t>ARVIKA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45663</v>
      </c>
      <c r="E242" s="1" t="n">
        <v>46313</v>
      </c>
      <c r="F242" t="inlineStr">
        <is>
          <t>VÄRMLANDS LÄN</t>
        </is>
      </c>
      <c r="G242" t="inlineStr">
        <is>
          <t>ARVIKA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46313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46313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45536</v>
      </c>
      <c r="E245" s="1" t="n">
        <v>46313</v>
      </c>
      <c r="F245" t="inlineStr">
        <is>
          <t>VÄRMLANDS LÄN</t>
        </is>
      </c>
      <c r="G245" t="inlineStr">
        <is>
          <t>ARVIKA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46313</v>
      </c>
      <c r="F246" t="inlineStr">
        <is>
          <t>VÄRMLANDS LÄN</t>
        </is>
      </c>
      <c r="G246" t="inlineStr">
        <is>
          <t>ARVIKA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46313</v>
      </c>
      <c r="F247" t="inlineStr">
        <is>
          <t>VÄRMLANDS LÄN</t>
        </is>
      </c>
      <c r="G247" t="inlineStr">
        <is>
          <t>ARVIKA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46313</v>
      </c>
      <c r="F248" t="inlineStr">
        <is>
          <t>VÄRMLANDS LÄN</t>
        </is>
      </c>
      <c r="G248" t="inlineStr">
        <is>
          <t>ARVIKA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46313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46313</v>
      </c>
      <c r="F250" t="inlineStr">
        <is>
          <t>VÄRMLANDS LÄN</t>
        </is>
      </c>
      <c r="G250" t="inlineStr">
        <is>
          <t>ARVIKA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46313</v>
      </c>
      <c r="F251" t="inlineStr">
        <is>
          <t>VÄRMLANDS LÄN</t>
        </is>
      </c>
      <c r="G251" t="inlineStr">
        <is>
          <t>ARVIKA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17704-2023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45035</v>
      </c>
      <c r="E252" s="1" t="n">
        <v>46313</v>
      </c>
      <c r="F252" t="inlineStr">
        <is>
          <t>VÄRMLANDS LÄN</t>
        </is>
      </c>
      <c r="G252" t="inlineStr">
        <is>
          <t>ARVIKA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18349-2024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45422</v>
      </c>
      <c r="E253" s="1" t="n">
        <v>46313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46313</v>
      </c>
      <c r="F254" t="inlineStr">
        <is>
          <t>VÄRMLANDS LÄN</t>
        </is>
      </c>
      <c r="G254" t="inlineStr">
        <is>
          <t>ARVIKA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46313</v>
      </c>
      <c r="F255" t="inlineStr">
        <is>
          <t>VÄRMLANDS LÄN</t>
        </is>
      </c>
      <c r="G255" t="inlineStr">
        <is>
          <t>ARVIKA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45116</v>
      </c>
      <c r="E256" s="1" t="n">
        <v>46313</v>
      </c>
      <c r="F256" t="inlineStr">
        <is>
          <t>VÄRMLANDS LÄN</t>
        </is>
      </c>
      <c r="G256" t="inlineStr">
        <is>
          <t>ARVIKA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46313</v>
      </c>
      <c r="F257" t="inlineStr">
        <is>
          <t>VÄRMLANDS LÄN</t>
        </is>
      </c>
      <c r="G257" t="inlineStr">
        <is>
          <t>ARVIKA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46313</v>
      </c>
      <c r="F258" t="inlineStr">
        <is>
          <t>VÄRMLANDS LÄN</t>
        </is>
      </c>
      <c r="G258" t="inlineStr">
        <is>
          <t>ARVIKA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46313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46313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46313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46313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45216</v>
      </c>
      <c r="E263" s="1" t="n">
        <v>46313</v>
      </c>
      <c r="F263" t="inlineStr">
        <is>
          <t>VÄRMLANDS LÄN</t>
        </is>
      </c>
      <c r="G263" t="inlineStr">
        <is>
          <t>ARVIKA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46313</v>
      </c>
      <c r="F264" t="inlineStr">
        <is>
          <t>VÄRMLANDS LÄN</t>
        </is>
      </c>
      <c r="G264" t="inlineStr">
        <is>
          <t>ARVIKA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39980-2022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44820</v>
      </c>
      <c r="E265" s="1" t="n">
        <v>46313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46313</v>
      </c>
      <c r="F266" t="inlineStr">
        <is>
          <t>VÄRMLANDS LÄN</t>
        </is>
      </c>
      <c r="G266" t="inlineStr">
        <is>
          <t>ARVIKA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24986-2024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45461</v>
      </c>
      <c r="E267" s="1" t="n">
        <v>46313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46313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46313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46313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46313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46313</v>
      </c>
      <c r="F272" t="inlineStr">
        <is>
          <t>VÄRMLANDS LÄN</t>
        </is>
      </c>
      <c r="G272" t="inlineStr">
        <is>
          <t>ARVIKA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46313</v>
      </c>
      <c r="F273" t="inlineStr">
        <is>
          <t>VÄRMLANDS LÄN</t>
        </is>
      </c>
      <c r="G273" t="inlineStr">
        <is>
          <t>ARVIKA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46313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46313</v>
      </c>
      <c r="F275" t="inlineStr">
        <is>
          <t>VÄRMLANDS LÄN</t>
        </is>
      </c>
      <c r="G275" t="inlineStr">
        <is>
          <t>ARVIKA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46313</v>
      </c>
      <c r="F276" t="inlineStr">
        <is>
          <t>VÄRMLANDS LÄN</t>
        </is>
      </c>
      <c r="G276" t="inlineStr">
        <is>
          <t>ARVIKA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46313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46313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46313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46313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46313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46313</v>
      </c>
      <c r="F282" t="inlineStr">
        <is>
          <t>VÄRMLANDS LÄN</t>
        </is>
      </c>
      <c r="G282" t="inlineStr">
        <is>
          <t>ARVIKA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46313</v>
      </c>
      <c r="F283" t="inlineStr">
        <is>
          <t>VÄRMLANDS LÄN</t>
        </is>
      </c>
      <c r="G283" t="inlineStr">
        <is>
          <t>ARVIKA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44950</v>
      </c>
      <c r="E284" s="1" t="n">
        <v>46313</v>
      </c>
      <c r="F284" t="inlineStr">
        <is>
          <t>VÄRMLANDS LÄN</t>
        </is>
      </c>
      <c r="G284" t="inlineStr">
        <is>
          <t>ARVIKA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46313</v>
      </c>
      <c r="F285" t="inlineStr">
        <is>
          <t>VÄRMLANDS LÄN</t>
        </is>
      </c>
      <c r="G285" t="inlineStr">
        <is>
          <t>ARVIKA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46313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46313</v>
      </c>
      <c r="F287" t="inlineStr">
        <is>
          <t>VÄRMLANDS LÄN</t>
        </is>
      </c>
      <c r="G287" t="inlineStr">
        <is>
          <t>ARVIKA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46313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46313</v>
      </c>
      <c r="F289" t="inlineStr">
        <is>
          <t>VÄRMLANDS LÄN</t>
        </is>
      </c>
      <c r="G289" t="inlineStr">
        <is>
          <t>ARVIKA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46313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46313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46313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45711</v>
      </c>
      <c r="E293" s="1" t="n">
        <v>46313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44754</v>
      </c>
      <c r="E294" s="1" t="n">
        <v>46313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46313</v>
      </c>
      <c r="F295" t="inlineStr">
        <is>
          <t>VÄRMLANDS LÄN</t>
        </is>
      </c>
      <c r="G295" t="inlineStr">
        <is>
          <t>ARVIKA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46313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46313</v>
      </c>
      <c r="F297" t="inlineStr">
        <is>
          <t>VÄRMLANDS LÄN</t>
        </is>
      </c>
      <c r="G297" t="inlineStr">
        <is>
          <t>ARVIKA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46313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46313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46313</v>
      </c>
      <c r="F300" t="inlineStr">
        <is>
          <t>VÄRMLANDS LÄN</t>
        </is>
      </c>
      <c r="G300" t="inlineStr">
        <is>
          <t>ARVIKA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25186-2022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44729</v>
      </c>
      <c r="E301" s="1" t="n">
        <v>46313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46313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46313</v>
      </c>
      <c r="F303" t="inlineStr">
        <is>
          <t>VÄRMLANDS LÄN</t>
        </is>
      </c>
      <c r="G303" t="inlineStr">
        <is>
          <t>ARVIKA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46313</v>
      </c>
      <c r="F304" t="inlineStr">
        <is>
          <t>VÄRMLANDS LÄN</t>
        </is>
      </c>
      <c r="G304" t="inlineStr">
        <is>
          <t>ARVIKA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46313</v>
      </c>
      <c r="F305" t="inlineStr">
        <is>
          <t>VÄRMLANDS LÄN</t>
        </is>
      </c>
      <c r="G305" t="inlineStr">
        <is>
          <t>ARVIKA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46313</v>
      </c>
      <c r="F306" t="inlineStr">
        <is>
          <t>VÄRMLANDS LÄN</t>
        </is>
      </c>
      <c r="G306" t="inlineStr">
        <is>
          <t>ARVIKA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44642</v>
      </c>
      <c r="E307" s="1" t="n">
        <v>46313</v>
      </c>
      <c r="F307" t="inlineStr">
        <is>
          <t>VÄRMLANDS LÄN</t>
        </is>
      </c>
      <c r="G307" t="inlineStr">
        <is>
          <t>ARVIKA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48510-2023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45207</v>
      </c>
      <c r="E308" s="1" t="n">
        <v>46313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46313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46313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46313</v>
      </c>
      <c r="F311" t="inlineStr">
        <is>
          <t>VÄRMLANDS LÄN</t>
        </is>
      </c>
      <c r="G311" t="inlineStr">
        <is>
          <t>ARVIKA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44931</v>
      </c>
      <c r="E312" s="1" t="n">
        <v>46313</v>
      </c>
      <c r="F312" t="inlineStr">
        <is>
          <t>VÄRMLANDS LÄN</t>
        </is>
      </c>
      <c r="G312" t="inlineStr">
        <is>
          <t>ARVIKA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46313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46313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45264</v>
      </c>
      <c r="E315" s="1" t="n">
        <v>46313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46313</v>
      </c>
      <c r="F316" t="inlineStr">
        <is>
          <t>VÄRMLANDS LÄN</t>
        </is>
      </c>
      <c r="G316" t="inlineStr">
        <is>
          <t>ARVIKA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46313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46313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44715</v>
      </c>
      <c r="E319" s="1" t="n">
        <v>46313</v>
      </c>
      <c r="F319" t="inlineStr">
        <is>
          <t>VÄRMLANDS LÄN</t>
        </is>
      </c>
      <c r="G319" t="inlineStr">
        <is>
          <t>ARVIKA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46313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45497</v>
      </c>
      <c r="E321" s="1" t="n">
        <v>46313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46313</v>
      </c>
      <c r="F322" t="inlineStr">
        <is>
          <t>VÄRMLANDS LÄN</t>
        </is>
      </c>
      <c r="G322" t="inlineStr">
        <is>
          <t>ARVIKA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45680</v>
      </c>
      <c r="E323" s="1" t="n">
        <v>46313</v>
      </c>
      <c r="F323" t="inlineStr">
        <is>
          <t>VÄRMLANDS LÄN</t>
        </is>
      </c>
      <c r="G323" t="inlineStr">
        <is>
          <t>ARVIKA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46313</v>
      </c>
      <c r="F324" t="inlineStr">
        <is>
          <t>VÄRMLANDS LÄN</t>
        </is>
      </c>
      <c r="G324" t="inlineStr">
        <is>
          <t>ARVIKA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36717-2023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45153</v>
      </c>
      <c r="E325" s="1" t="n">
        <v>46313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45519</v>
      </c>
      <c r="E326" s="1" t="n">
        <v>46313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46313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45541</v>
      </c>
      <c r="E328" s="1" t="n">
        <v>46313</v>
      </c>
      <c r="F328" t="inlineStr">
        <is>
          <t>VÄRMLANDS LÄN</t>
        </is>
      </c>
      <c r="G328" t="inlineStr">
        <is>
          <t>ARVIKA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46313</v>
      </c>
      <c r="F329" t="inlineStr">
        <is>
          <t>VÄRMLANDS LÄN</t>
        </is>
      </c>
      <c r="G329" t="inlineStr">
        <is>
          <t>ARVIKA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46313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45295</v>
      </c>
      <c r="E331" s="1" t="n">
        <v>46313</v>
      </c>
      <c r="F331" t="inlineStr">
        <is>
          <t>VÄRMLANDS LÄN</t>
        </is>
      </c>
      <c r="G331" t="inlineStr">
        <is>
          <t>ARVIKA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46313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46313</v>
      </c>
      <c r="F333" t="inlineStr">
        <is>
          <t>VÄRMLANDS LÄN</t>
        </is>
      </c>
      <c r="G333" t="inlineStr">
        <is>
          <t>ARVIKA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45086</v>
      </c>
      <c r="E334" s="1" t="n">
        <v>46313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46313</v>
      </c>
      <c r="F335" t="inlineStr">
        <is>
          <t>VÄRMLANDS LÄN</t>
        </is>
      </c>
      <c r="G335" t="inlineStr">
        <is>
          <t>ARVIKA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45124</v>
      </c>
      <c r="E336" s="1" t="n">
        <v>46313</v>
      </c>
      <c r="F336" t="inlineStr">
        <is>
          <t>VÄRMLANDS LÄN</t>
        </is>
      </c>
      <c r="G336" t="inlineStr">
        <is>
          <t>ARVIKA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46313</v>
      </c>
      <c r="F337" t="inlineStr">
        <is>
          <t>VÄRMLANDS LÄN</t>
        </is>
      </c>
      <c r="G337" t="inlineStr">
        <is>
          <t>ARVIKA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45083</v>
      </c>
      <c r="E338" s="1" t="n">
        <v>46313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45033</v>
      </c>
      <c r="E339" s="1" t="n">
        <v>46313</v>
      </c>
      <c r="F339" t="inlineStr">
        <is>
          <t>VÄRMLANDS LÄN</t>
        </is>
      </c>
      <c r="G339" t="inlineStr">
        <is>
          <t>ARVIKA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46313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46313</v>
      </c>
      <c r="F341" t="inlineStr">
        <is>
          <t>VÄRMLANDS LÄN</t>
        </is>
      </c>
      <c r="G341" t="inlineStr">
        <is>
          <t>ARVIKA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58408-2022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46313</v>
      </c>
      <c r="F342" t="inlineStr">
        <is>
          <t>VÄRMLANDS LÄN</t>
        </is>
      </c>
      <c r="G342" t="inlineStr">
        <is>
          <t>ARVIKA</t>
        </is>
      </c>
      <c r="I342" t="n">
        <v>16.4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46313</v>
      </c>
      <c r="F343" t="inlineStr">
        <is>
          <t>VÄRMLANDS LÄN</t>
        </is>
      </c>
      <c r="G343" t="inlineStr">
        <is>
          <t>ARVIKA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45611</v>
      </c>
      <c r="E344" s="1" t="n">
        <v>46313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50857-2023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45218</v>
      </c>
      <c r="E345" s="1" t="n">
        <v>46313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46313</v>
      </c>
      <c r="F346" t="inlineStr">
        <is>
          <t>VÄRMLANDS LÄN</t>
        </is>
      </c>
      <c r="G346" t="inlineStr">
        <is>
          <t>ARVIKA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46313</v>
      </c>
      <c r="F347" t="inlineStr">
        <is>
          <t>VÄRMLANDS LÄN</t>
        </is>
      </c>
      <c r="G347" t="inlineStr">
        <is>
          <t>ARVIKA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46313</v>
      </c>
      <c r="F348" t="inlineStr">
        <is>
          <t>VÄRMLANDS LÄN</t>
        </is>
      </c>
      <c r="G348" t="inlineStr">
        <is>
          <t>ARVIKA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46313</v>
      </c>
      <c r="F349" t="inlineStr">
        <is>
          <t>VÄRMLANDS LÄN</t>
        </is>
      </c>
      <c r="G349" t="inlineStr">
        <is>
          <t>ARVIKA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46313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46313</v>
      </c>
      <c r="F351" t="inlineStr">
        <is>
          <t>VÄRMLANDS LÄN</t>
        </is>
      </c>
      <c r="G351" t="inlineStr">
        <is>
          <t>ARVIKA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46313</v>
      </c>
      <c r="F352" t="inlineStr">
        <is>
          <t>VÄRMLANDS LÄN</t>
        </is>
      </c>
      <c r="G352" t="inlineStr">
        <is>
          <t>ARVIKA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46313</v>
      </c>
      <c r="F353" t="inlineStr">
        <is>
          <t>VÄRMLANDS LÄN</t>
        </is>
      </c>
      <c r="G353" t="inlineStr">
        <is>
          <t>ARVIKA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46313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44718</v>
      </c>
      <c r="E355" s="1" t="n">
        <v>46313</v>
      </c>
      <c r="F355" t="inlineStr">
        <is>
          <t>VÄRMLANDS LÄN</t>
        </is>
      </c>
      <c r="G355" t="inlineStr">
        <is>
          <t>ARVIKA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46313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46313</v>
      </c>
      <c r="F357" t="inlineStr">
        <is>
          <t>VÄRMLANDS LÄN</t>
        </is>
      </c>
      <c r="G357" t="inlineStr">
        <is>
          <t>ARVIKA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46313</v>
      </c>
      <c r="F358" t="inlineStr">
        <is>
          <t>VÄRMLANDS LÄN</t>
        </is>
      </c>
      <c r="G358" t="inlineStr">
        <is>
          <t>ARVIKA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54041-2025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45963</v>
      </c>
      <c r="E359" s="1" t="n">
        <v>46313</v>
      </c>
      <c r="F359" t="inlineStr">
        <is>
          <t>VÄRMLANDS LÄN</t>
        </is>
      </c>
      <c r="G359" t="inlineStr">
        <is>
          <t>ARVIKA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46313</v>
      </c>
      <c r="F360" t="inlineStr">
        <is>
          <t>VÄRMLANDS LÄN</t>
        </is>
      </c>
      <c r="G360" t="inlineStr">
        <is>
          <t>ARVIKA</t>
        </is>
      </c>
      <c r="H360" t="inlineStr">
        <is>
          <t>Kommuner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46313</v>
      </c>
      <c r="F361" t="inlineStr">
        <is>
          <t>VÄRMLANDS LÄN</t>
        </is>
      </c>
      <c r="G361" t="inlineStr">
        <is>
          <t>ARVIKA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45788</v>
      </c>
      <c r="E362" s="1" t="n">
        <v>46313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46313</v>
      </c>
      <c r="F363" t="inlineStr">
        <is>
          <t>VÄRMLANDS LÄN</t>
        </is>
      </c>
      <c r="G363" t="inlineStr">
        <is>
          <t>ARVIKA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46313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46313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45651</v>
      </c>
      <c r="E366" s="1" t="n">
        <v>46313</v>
      </c>
      <c r="F366" t="inlineStr">
        <is>
          <t>VÄRMLANDS LÄN</t>
        </is>
      </c>
      <c r="G366" t="inlineStr">
        <is>
          <t>ARVIKA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45651</v>
      </c>
      <c r="E367" s="1" t="n">
        <v>46313</v>
      </c>
      <c r="F367" t="inlineStr">
        <is>
          <t>VÄRMLANDS LÄN</t>
        </is>
      </c>
      <c r="G367" t="inlineStr">
        <is>
          <t>ARVIKA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46313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46313</v>
      </c>
      <c r="F369" t="inlineStr">
        <is>
          <t>VÄRMLANDS LÄN</t>
        </is>
      </c>
      <c r="G369" t="inlineStr">
        <is>
          <t>ARVIKA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45559</v>
      </c>
      <c r="E370" s="1" t="n">
        <v>46313</v>
      </c>
      <c r="F370" t="inlineStr">
        <is>
          <t>VÄRMLANDS LÄN</t>
        </is>
      </c>
      <c r="G370" t="inlineStr">
        <is>
          <t>ARVIKA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58220-2023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45245</v>
      </c>
      <c r="E371" s="1" t="n">
        <v>46313</v>
      </c>
      <c r="F371" t="inlineStr">
        <is>
          <t>VÄRMLANDS LÄN</t>
        </is>
      </c>
      <c r="G371" t="inlineStr">
        <is>
          <t>ARVIKA</t>
        </is>
      </c>
      <c r="H371" t="inlineStr">
        <is>
          <t>Övriga Aktiebolag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46313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7980-2025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45707</v>
      </c>
      <c r="E373" s="1" t="n">
        <v>46313</v>
      </c>
      <c r="F373" t="inlineStr">
        <is>
          <t>VÄRMLANDS LÄN</t>
        </is>
      </c>
      <c r="G373" t="inlineStr">
        <is>
          <t>ARVIKA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45794</v>
      </c>
      <c r="E374" s="1" t="n">
        <v>46313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46313</v>
      </c>
      <c r="F375" t="inlineStr">
        <is>
          <t>VÄRMLANDS LÄN</t>
        </is>
      </c>
      <c r="G375" t="inlineStr">
        <is>
          <t>ARVIKA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46313</v>
      </c>
      <c r="F376" t="inlineStr">
        <is>
          <t>VÄRMLANDS LÄN</t>
        </is>
      </c>
      <c r="G376" t="inlineStr">
        <is>
          <t>ARVIKA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45812</v>
      </c>
      <c r="E377" s="1" t="n">
        <v>46313</v>
      </c>
      <c r="F377" t="inlineStr">
        <is>
          <t>VÄRMLANDS LÄN</t>
        </is>
      </c>
      <c r="G377" t="inlineStr">
        <is>
          <t>ARVIKA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46313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46313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46313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46313</v>
      </c>
      <c r="F381" t="inlineStr">
        <is>
          <t>VÄRMLANDS LÄN</t>
        </is>
      </c>
      <c r="G381" t="inlineStr">
        <is>
          <t>ARVIKA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46313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44741</v>
      </c>
      <c r="E383" s="1" t="n">
        <v>46313</v>
      </c>
      <c r="F383" t="inlineStr">
        <is>
          <t>VÄRMLANDS LÄN</t>
        </is>
      </c>
      <c r="G383" t="inlineStr">
        <is>
          <t>ARVIKA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46313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46313</v>
      </c>
      <c r="F385" t="inlineStr">
        <is>
          <t>VÄRMLANDS LÄN</t>
        </is>
      </c>
      <c r="G385" t="inlineStr">
        <is>
          <t>ARVIKA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46313</v>
      </c>
      <c r="F386" t="inlineStr">
        <is>
          <t>VÄRMLANDS LÄN</t>
        </is>
      </c>
      <c r="G386" t="inlineStr">
        <is>
          <t>ARVIKA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46313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45849</v>
      </c>
      <c r="E388" s="1" t="n">
        <v>46313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45888</v>
      </c>
      <c r="E389" s="1" t="n">
        <v>46313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46313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46313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45890</v>
      </c>
      <c r="E392" s="1" t="n">
        <v>46313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46313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46313</v>
      </c>
      <c r="F394" t="inlineStr">
        <is>
          <t>VÄRMLANDS LÄN</t>
        </is>
      </c>
      <c r="G394" t="inlineStr">
        <is>
          <t>ARVIKA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46313</v>
      </c>
      <c r="F395" t="inlineStr">
        <is>
          <t>VÄRMLANDS LÄN</t>
        </is>
      </c>
      <c r="G395" t="inlineStr">
        <is>
          <t>ARVIKA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46313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45051</v>
      </c>
      <c r="E397" s="1" t="n">
        <v>46313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45895</v>
      </c>
      <c r="E398" s="1" t="n">
        <v>46313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39835-2022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44819</v>
      </c>
      <c r="E399" s="1" t="n">
        <v>46313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46313</v>
      </c>
      <c r="F400" t="inlineStr">
        <is>
          <t>VÄRMLANDS LÄN</t>
        </is>
      </c>
      <c r="G400" t="inlineStr">
        <is>
          <t>ARVIKA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46313</v>
      </c>
      <c r="F401" t="inlineStr">
        <is>
          <t>VÄRMLANDS LÄN</t>
        </is>
      </c>
      <c r="G401" t="inlineStr">
        <is>
          <t>ARVIKA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45007</v>
      </c>
      <c r="E402" s="1" t="n">
        <v>46313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46313</v>
      </c>
      <c r="F403" t="inlineStr">
        <is>
          <t>VÄRMLANDS LÄN</t>
        </is>
      </c>
      <c r="G403" t="inlineStr">
        <is>
          <t>ARVIKA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45711</v>
      </c>
      <c r="E404" s="1" t="n">
        <v>46313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46313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45821</v>
      </c>
      <c r="E406" s="1" t="n">
        <v>46313</v>
      </c>
      <c r="F406" t="inlineStr">
        <is>
          <t>VÄRMLANDS LÄN</t>
        </is>
      </c>
      <c r="G406" t="inlineStr">
        <is>
          <t>ARVIKA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46313</v>
      </c>
      <c r="F407" t="inlineStr">
        <is>
          <t>VÄRMLANDS LÄN</t>
        </is>
      </c>
      <c r="G407" t="inlineStr">
        <is>
          <t>ARVIKA</t>
        </is>
      </c>
      <c r="I407" t="n">
        <v>38.7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45616</v>
      </c>
      <c r="E408" s="1" t="n">
        <v>46313</v>
      </c>
      <c r="F408" t="inlineStr">
        <is>
          <t>VÄRMLANDS LÄN</t>
        </is>
      </c>
      <c r="G408" t="inlineStr">
        <is>
          <t>ARVIKA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46313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41434-2025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45901</v>
      </c>
      <c r="E410" s="1" t="n">
        <v>46313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45853</v>
      </c>
      <c r="E411" s="1" t="n">
        <v>46313</v>
      </c>
      <c r="F411" t="inlineStr">
        <is>
          <t>VÄRMLANDS LÄN</t>
        </is>
      </c>
      <c r="G411" t="inlineStr">
        <is>
          <t>ARVIKA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46313</v>
      </c>
      <c r="F412" t="inlineStr">
        <is>
          <t>VÄRMLANDS LÄN</t>
        </is>
      </c>
      <c r="G412" t="inlineStr">
        <is>
          <t>ARVIKA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46313</v>
      </c>
      <c r="F413" t="inlineStr">
        <is>
          <t>VÄRMLANDS LÄN</t>
        </is>
      </c>
      <c r="G413" t="inlineStr">
        <is>
          <t>ARVIKA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46313</v>
      </c>
      <c r="F414" t="inlineStr">
        <is>
          <t>VÄRMLANDS LÄN</t>
        </is>
      </c>
      <c r="G414" t="inlineStr">
        <is>
          <t>ARVIKA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46313</v>
      </c>
      <c r="F415" t="inlineStr">
        <is>
          <t>VÄRMLANDS LÄN</t>
        </is>
      </c>
      <c r="G415" t="inlineStr">
        <is>
          <t>ARVIKA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46313</v>
      </c>
      <c r="F416" t="inlineStr">
        <is>
          <t>VÄRMLANDS LÄN</t>
        </is>
      </c>
      <c r="G416" t="inlineStr">
        <is>
          <t>ARVIKA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45786</v>
      </c>
      <c r="E417" s="1" t="n">
        <v>46313</v>
      </c>
      <c r="F417" t="inlineStr">
        <is>
          <t>VÄRMLANDS LÄN</t>
        </is>
      </c>
      <c r="G417" t="inlineStr">
        <is>
          <t>ARVIKA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45901</v>
      </c>
      <c r="E418" s="1" t="n">
        <v>46313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35806-2025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45861</v>
      </c>
      <c r="E419" s="1" t="n">
        <v>46313</v>
      </c>
      <c r="F419" t="inlineStr">
        <is>
          <t>VÄRMLANDS LÄN</t>
        </is>
      </c>
      <c r="G419" t="inlineStr">
        <is>
          <t>ARVIKA</t>
        </is>
      </c>
      <c r="H419" t="inlineStr">
        <is>
          <t>Övriga Aktiebolag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46313</v>
      </c>
      <c r="F420" t="inlineStr">
        <is>
          <t>VÄRMLANDS LÄN</t>
        </is>
      </c>
      <c r="G420" t="inlineStr">
        <is>
          <t>ARVIKA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46313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45077</v>
      </c>
      <c r="E422" s="1" t="n">
        <v>46313</v>
      </c>
      <c r="F422" t="inlineStr">
        <is>
          <t>VÄRMLANDS LÄN</t>
        </is>
      </c>
      <c r="G422" t="inlineStr">
        <is>
          <t>ARVIKA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46313</v>
      </c>
      <c r="F423" t="inlineStr">
        <is>
          <t>VÄRMLANDS LÄN</t>
        </is>
      </c>
      <c r="G423" t="inlineStr">
        <is>
          <t>ARVIKA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46313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46313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46313</v>
      </c>
      <c r="F426" t="inlineStr">
        <is>
          <t>VÄRMLANDS LÄN</t>
        </is>
      </c>
      <c r="G426" t="inlineStr">
        <is>
          <t>ARVIKA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46313</v>
      </c>
      <c r="F427" t="inlineStr">
        <is>
          <t>VÄRMLANDS LÄN</t>
        </is>
      </c>
      <c r="G427" t="inlineStr">
        <is>
          <t>ARVIKA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46313</v>
      </c>
      <c r="F428" t="inlineStr">
        <is>
          <t>VÄRMLANDS LÄN</t>
        </is>
      </c>
      <c r="G428" t="inlineStr">
        <is>
          <t>ARVIKA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59100-2024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45637</v>
      </c>
      <c r="E429" s="1" t="n">
        <v>46313</v>
      </c>
      <c r="F429" t="inlineStr">
        <is>
          <t>VÄRMLANDS LÄN</t>
        </is>
      </c>
      <c r="G429" t="inlineStr">
        <is>
          <t>ARVIKA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45513</v>
      </c>
      <c r="E430" s="1" t="n">
        <v>46313</v>
      </c>
      <c r="F430" t="inlineStr">
        <is>
          <t>VÄRMLANDS LÄN</t>
        </is>
      </c>
      <c r="G430" t="inlineStr">
        <is>
          <t>ARVIKA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45901</v>
      </c>
      <c r="E431" s="1" t="n">
        <v>46313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46313</v>
      </c>
      <c r="F432" t="inlineStr">
        <is>
          <t>VÄRMLANDS LÄN</t>
        </is>
      </c>
      <c r="G432" t="inlineStr">
        <is>
          <t>ARVIKA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46313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46313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45559</v>
      </c>
      <c r="E435" s="1" t="n">
        <v>46313</v>
      </c>
      <c r="F435" t="inlineStr">
        <is>
          <t>VÄRMLANDS LÄN</t>
        </is>
      </c>
      <c r="G435" t="inlineStr">
        <is>
          <t>ARVIKA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46313</v>
      </c>
      <c r="F436" t="inlineStr">
        <is>
          <t>VÄRMLANDS LÄN</t>
        </is>
      </c>
      <c r="G436" t="inlineStr">
        <is>
          <t>ARVIKA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46313</v>
      </c>
      <c r="F437" t="inlineStr">
        <is>
          <t>VÄRMLANDS LÄN</t>
        </is>
      </c>
      <c r="G437" t="inlineStr">
        <is>
          <t>ARVIKA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46313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46313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46313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46313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45360</v>
      </c>
      <c r="E442" s="1" t="n">
        <v>46313</v>
      </c>
      <c r="F442" t="inlineStr">
        <is>
          <t>VÄRMLANDS LÄN</t>
        </is>
      </c>
      <c r="G442" t="inlineStr">
        <is>
          <t>ARVIKA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46313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46313</v>
      </c>
      <c r="F444" t="inlineStr">
        <is>
          <t>VÄRMLANDS LÄN</t>
        </is>
      </c>
      <c r="G444" t="inlineStr">
        <is>
          <t>ARVIKA</t>
        </is>
      </c>
      <c r="I444" t="n">
        <v>14.4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46313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44671</v>
      </c>
      <c r="E446" s="1" t="n">
        <v>46313</v>
      </c>
      <c r="F446" t="inlineStr">
        <is>
          <t>VÄRMLANDS LÄN</t>
        </is>
      </c>
      <c r="G446" t="inlineStr">
        <is>
          <t>ARVIKA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46313</v>
      </c>
      <c r="F447" t="inlineStr">
        <is>
          <t>VÄRMLANDS LÄN</t>
        </is>
      </c>
      <c r="G447" t="inlineStr">
        <is>
          <t>ARVIKA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45484</v>
      </c>
      <c r="E448" s="1" t="n">
        <v>46313</v>
      </c>
      <c r="F448" t="inlineStr">
        <is>
          <t>VÄRMLANDS LÄN</t>
        </is>
      </c>
      <c r="G448" t="inlineStr">
        <is>
          <t>ARVIKA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46313</v>
      </c>
      <c r="F449" t="inlineStr">
        <is>
          <t>VÄRMLANDS LÄN</t>
        </is>
      </c>
      <c r="G449" t="inlineStr">
        <is>
          <t>ARVIKA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45232</v>
      </c>
      <c r="E450" s="1" t="n">
        <v>46313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46313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45911</v>
      </c>
      <c r="E452" s="1" t="n">
        <v>46313</v>
      </c>
      <c r="F452" t="inlineStr">
        <is>
          <t>VÄRMLANDS LÄN</t>
        </is>
      </c>
      <c r="G452" t="inlineStr">
        <is>
          <t>ARVIKA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46313</v>
      </c>
      <c r="F453" t="inlineStr">
        <is>
          <t>VÄRMLANDS LÄN</t>
        </is>
      </c>
      <c r="G453" t="inlineStr">
        <is>
          <t>ARVIKA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46313</v>
      </c>
      <c r="F454" t="inlineStr">
        <is>
          <t>VÄRMLANDS LÄN</t>
        </is>
      </c>
      <c r="G454" t="inlineStr">
        <is>
          <t>ARVIKA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45547</v>
      </c>
      <c r="E455" s="1" t="n">
        <v>46313</v>
      </c>
      <c r="F455" t="inlineStr">
        <is>
          <t>VÄRMLANDS LÄN</t>
        </is>
      </c>
      <c r="G455" t="inlineStr">
        <is>
          <t>ARVIKA</t>
        </is>
      </c>
      <c r="H455" t="inlineStr">
        <is>
          <t>Kommuner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46313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45672</v>
      </c>
      <c r="E457" s="1" t="n">
        <v>46313</v>
      </c>
      <c r="F457" t="inlineStr">
        <is>
          <t>VÄRMLANDS LÄN</t>
        </is>
      </c>
      <c r="G457" t="inlineStr">
        <is>
          <t>ARVIKA</t>
        </is>
      </c>
      <c r="I457" t="n">
        <v>16.2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45411</v>
      </c>
      <c r="E458" s="1" t="n">
        <v>46313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46313</v>
      </c>
      <c r="F459" t="inlineStr">
        <is>
          <t>VÄRMLANDS LÄN</t>
        </is>
      </c>
      <c r="G459" t="inlineStr">
        <is>
          <t>ARVIKA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46313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45206</v>
      </c>
      <c r="E461" s="1" t="n">
        <v>46313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44270-2022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46313</v>
      </c>
      <c r="F462" t="inlineStr">
        <is>
          <t>VÄRMLANDS LÄN</t>
        </is>
      </c>
      <c r="G462" t="inlineStr">
        <is>
          <t>ARVIKA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46313</v>
      </c>
      <c r="F463" t="inlineStr">
        <is>
          <t>VÄRMLANDS LÄN</t>
        </is>
      </c>
      <c r="G463" t="inlineStr">
        <is>
          <t>ARVIKA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46313</v>
      </c>
      <c r="F464" t="inlineStr">
        <is>
          <t>VÄRMLANDS LÄN</t>
        </is>
      </c>
      <c r="G464" t="inlineStr">
        <is>
          <t>ARVIKA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46313</v>
      </c>
      <c r="F465" t="inlineStr">
        <is>
          <t>VÄRMLANDS LÄN</t>
        </is>
      </c>
      <c r="G465" t="inlineStr">
        <is>
          <t>ARVIKA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46313</v>
      </c>
      <c r="F466" t="inlineStr">
        <is>
          <t>VÄRMLANDS LÄN</t>
        </is>
      </c>
      <c r="G466" t="inlineStr">
        <is>
          <t>ARVIKA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45433</v>
      </c>
      <c r="E467" s="1" t="n">
        <v>46313</v>
      </c>
      <c r="F467" t="inlineStr">
        <is>
          <t>VÄRMLANDS LÄN</t>
        </is>
      </c>
      <c r="G467" t="inlineStr">
        <is>
          <t>ARVIKA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46313</v>
      </c>
      <c r="F468" t="inlineStr">
        <is>
          <t>VÄRMLANDS LÄN</t>
        </is>
      </c>
      <c r="G468" t="inlineStr">
        <is>
          <t>ARVIKA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46313</v>
      </c>
      <c r="F469" t="inlineStr">
        <is>
          <t>VÄRMLANDS LÄN</t>
        </is>
      </c>
      <c r="G469" t="inlineStr">
        <is>
          <t>ARVIKA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45921</v>
      </c>
      <c r="E470" s="1" t="n">
        <v>46313</v>
      </c>
      <c r="F470" t="inlineStr">
        <is>
          <t>VÄRMLANDS LÄN</t>
        </is>
      </c>
      <c r="G470" t="inlineStr">
        <is>
          <t>ARVIKA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46313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45762</v>
      </c>
      <c r="E472" s="1" t="n">
        <v>46313</v>
      </c>
      <c r="F472" t="inlineStr">
        <is>
          <t>VÄRMLANDS LÄN</t>
        </is>
      </c>
      <c r="G472" t="inlineStr">
        <is>
          <t>ARVIKA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46313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46313</v>
      </c>
      <c r="F474" t="inlineStr">
        <is>
          <t>VÄRMLANDS LÄN</t>
        </is>
      </c>
      <c r="G474" t="inlineStr">
        <is>
          <t>ARVIKA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46313</v>
      </c>
      <c r="F475" t="inlineStr">
        <is>
          <t>VÄRMLANDS LÄN</t>
        </is>
      </c>
      <c r="G475" t="inlineStr">
        <is>
          <t>ARVIKA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46313</v>
      </c>
      <c r="F476" t="inlineStr">
        <is>
          <t>VÄRMLANDS LÄN</t>
        </is>
      </c>
      <c r="G476" t="inlineStr">
        <is>
          <t>ARVIKA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46313</v>
      </c>
      <c r="F477" t="inlineStr">
        <is>
          <t>VÄRMLANDS LÄN</t>
        </is>
      </c>
      <c r="G477" t="inlineStr">
        <is>
          <t>ARVIKA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13982-2024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46313</v>
      </c>
      <c r="F478" t="inlineStr">
        <is>
          <t>VÄRMLANDS LÄN</t>
        </is>
      </c>
      <c r="G478" t="inlineStr">
        <is>
          <t>ARVIKA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46313</v>
      </c>
      <c r="F479" t="inlineStr">
        <is>
          <t>VÄRMLANDS LÄN</t>
        </is>
      </c>
      <c r="G479" t="inlineStr">
        <is>
          <t>ARVIKA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46889-2025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46313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10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46313</v>
      </c>
      <c r="F481" t="inlineStr">
        <is>
          <t>VÄRMLANDS LÄN</t>
        </is>
      </c>
      <c r="G481" t="inlineStr">
        <is>
          <t>ARVIKA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46313</v>
      </c>
      <c r="F482" t="inlineStr">
        <is>
          <t>VÄRMLANDS LÄN</t>
        </is>
      </c>
      <c r="G482" t="inlineStr">
        <is>
          <t>ARVIKA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46313</v>
      </c>
      <c r="F483" t="inlineStr">
        <is>
          <t>VÄRMLANDS LÄN</t>
        </is>
      </c>
      <c r="G483" t="inlineStr">
        <is>
          <t>ARVIKA</t>
        </is>
      </c>
      <c r="H483" t="inlineStr">
        <is>
          <t>Kyrkan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46313</v>
      </c>
      <c r="F484" t="inlineStr">
        <is>
          <t>VÄRMLANDS LÄN</t>
        </is>
      </c>
      <c r="G484" t="inlineStr">
        <is>
          <t>ARVIKA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46313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46313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46313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46313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44817</v>
      </c>
      <c r="E489" s="1" t="n">
        <v>46313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45206</v>
      </c>
      <c r="E490" s="1" t="n">
        <v>46313</v>
      </c>
      <c r="F490" t="inlineStr">
        <is>
          <t>VÄRMLANDS LÄN</t>
        </is>
      </c>
      <c r="G490" t="inlineStr">
        <is>
          <t>ARVIKA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46313</v>
      </c>
      <c r="F491" t="inlineStr">
        <is>
          <t>VÄRMLANDS LÄN</t>
        </is>
      </c>
      <c r="G491" t="inlineStr">
        <is>
          <t>ARVIKA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46313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46313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46313</v>
      </c>
      <c r="F494" t="inlineStr">
        <is>
          <t>VÄRMLANDS LÄN</t>
        </is>
      </c>
      <c r="G494" t="inlineStr">
        <is>
          <t>ARVIKA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46313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48064-2025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46313</v>
      </c>
      <c r="F496" t="inlineStr">
        <is>
          <t>VÄRMLANDS LÄN</t>
        </is>
      </c>
      <c r="G496" t="inlineStr">
        <is>
          <t>ARVIKA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46313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45932</v>
      </c>
      <c r="E498" s="1" t="n">
        <v>46313</v>
      </c>
      <c r="F498" t="inlineStr">
        <is>
          <t>VÄRMLANDS LÄN</t>
        </is>
      </c>
      <c r="G498" t="inlineStr">
        <is>
          <t>ARVIKA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45936</v>
      </c>
      <c r="E499" s="1" t="n">
        <v>46313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54929-2025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45967</v>
      </c>
      <c r="E500" s="1" t="n">
        <v>46313</v>
      </c>
      <c r="F500" t="inlineStr">
        <is>
          <t>VÄRMLANDS LÄN</t>
        </is>
      </c>
      <c r="G500" t="inlineStr">
        <is>
          <t>ARVIKA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45324</v>
      </c>
      <c r="E501" s="1" t="n">
        <v>46313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45939</v>
      </c>
      <c r="E502" s="1" t="n">
        <v>46313</v>
      </c>
      <c r="F502" t="inlineStr">
        <is>
          <t>VÄRMLANDS LÄN</t>
        </is>
      </c>
      <c r="G502" t="inlineStr">
        <is>
          <t>ARVIKA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44985</v>
      </c>
      <c r="E503" s="1" t="n">
        <v>46313</v>
      </c>
      <c r="F503" t="inlineStr">
        <is>
          <t>VÄRMLANDS LÄN</t>
        </is>
      </c>
      <c r="G503" t="inlineStr">
        <is>
          <t>ARVIKA</t>
        </is>
      </c>
      <c r="I503" t="n">
        <v>10.8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44778</v>
      </c>
      <c r="E504" s="1" t="n">
        <v>46313</v>
      </c>
      <c r="F504" t="inlineStr">
        <is>
          <t>VÄRMLANDS LÄN</t>
        </is>
      </c>
      <c r="G504" t="inlineStr">
        <is>
          <t>ARVIKA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46313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14829-2022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46313</v>
      </c>
      <c r="F506" t="inlineStr">
        <is>
          <t>VÄRMLANDS LÄN</t>
        </is>
      </c>
      <c r="G506" t="inlineStr">
        <is>
          <t>ARVIKA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46313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46313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44917</v>
      </c>
      <c r="E509" s="1" t="n">
        <v>46313</v>
      </c>
      <c r="F509" t="inlineStr">
        <is>
          <t>VÄRMLANDS LÄN</t>
        </is>
      </c>
      <c r="G509" t="inlineStr">
        <is>
          <t>ARVIKA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46313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49296-2025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46313</v>
      </c>
      <c r="F511" t="inlineStr">
        <is>
          <t>VÄRMLANDS LÄN</t>
        </is>
      </c>
      <c r="G511" t="inlineStr">
        <is>
          <t>ARVIKA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7347-2025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45703</v>
      </c>
      <c r="E512" s="1" t="n">
        <v>46313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46313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45188</v>
      </c>
      <c r="E514" s="1" t="n">
        <v>46313</v>
      </c>
      <c r="F514" t="inlineStr">
        <is>
          <t>VÄRMLANDS LÄN</t>
        </is>
      </c>
      <c r="G514" t="inlineStr">
        <is>
          <t>ARVIKA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50451-2025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45945</v>
      </c>
      <c r="E515" s="1" t="n">
        <v>46313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46313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46313</v>
      </c>
      <c r="F517" t="inlineStr">
        <is>
          <t>VÄRMLANDS LÄN</t>
        </is>
      </c>
      <c r="G517" t="inlineStr">
        <is>
          <t>ARVIKA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45720</v>
      </c>
      <c r="E518" s="1" t="n">
        <v>46313</v>
      </c>
      <c r="F518" t="inlineStr">
        <is>
          <t>VÄRMLANDS LÄN</t>
        </is>
      </c>
      <c r="G518" t="inlineStr">
        <is>
          <t>ARVIKA</t>
        </is>
      </c>
      <c r="H518" t="inlineStr">
        <is>
          <t>Kyrkan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46313</v>
      </c>
      <c r="F519" t="inlineStr">
        <is>
          <t>VÄRMLANDS LÄN</t>
        </is>
      </c>
      <c r="G519" t="inlineStr">
        <is>
          <t>ARVIKA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46313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46313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46313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46313</v>
      </c>
      <c r="F523" t="inlineStr">
        <is>
          <t>VÄRMLANDS LÄN</t>
        </is>
      </c>
      <c r="G523" t="inlineStr">
        <is>
          <t>ARVIKA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45947</v>
      </c>
      <c r="E524" s="1" t="n">
        <v>46313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46313</v>
      </c>
      <c r="F525" t="inlineStr">
        <is>
          <t>VÄRMLANDS LÄN</t>
        </is>
      </c>
      <c r="G525" t="inlineStr">
        <is>
          <t>ARVIKA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45433</v>
      </c>
      <c r="E526" s="1" t="n">
        <v>46313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19930-2024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45433</v>
      </c>
      <c r="E527" s="1" t="n">
        <v>46313</v>
      </c>
      <c r="F527" t="inlineStr">
        <is>
          <t>VÄRMLANDS LÄN</t>
        </is>
      </c>
      <c r="G527" t="inlineStr">
        <is>
          <t>ARVIKA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44256-2025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46313</v>
      </c>
      <c r="F528" t="inlineStr">
        <is>
          <t>VÄRMLANDS LÄN</t>
        </is>
      </c>
      <c r="G528" t="inlineStr">
        <is>
          <t>ARVIKA</t>
        </is>
      </c>
      <c r="H528" t="inlineStr">
        <is>
          <t>Kyrkan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74330-2021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44559</v>
      </c>
      <c r="E529" s="1" t="n">
        <v>46313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45950</v>
      </c>
      <c r="E530" s="1" t="n">
        <v>46313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46313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45613</v>
      </c>
      <c r="E532" s="1" t="n">
        <v>46313</v>
      </c>
      <c r="F532" t="inlineStr">
        <is>
          <t>VÄRMLANDS LÄN</t>
        </is>
      </c>
      <c r="G532" t="inlineStr">
        <is>
          <t>ARVIKA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46313</v>
      </c>
      <c r="F533" t="inlineStr">
        <is>
          <t>VÄRMLANDS LÄN</t>
        </is>
      </c>
      <c r="G533" t="inlineStr">
        <is>
          <t>ARVIKA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45922</v>
      </c>
      <c r="E534" s="1" t="n">
        <v>46313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51917-2025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45952</v>
      </c>
      <c r="E535" s="1" t="n">
        <v>46313</v>
      </c>
      <c r="F535" t="inlineStr">
        <is>
          <t>VÄRMLANDS LÄN</t>
        </is>
      </c>
      <c r="G535" t="inlineStr">
        <is>
          <t>ARVIKA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58059-2024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46313</v>
      </c>
      <c r="F536" t="inlineStr">
        <is>
          <t>VÄRMLANDS LÄN</t>
        </is>
      </c>
      <c r="G536" t="inlineStr">
        <is>
          <t>ARVIKA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46313</v>
      </c>
      <c r="F537" t="inlineStr">
        <is>
          <t>VÄRMLANDS LÄN</t>
        </is>
      </c>
      <c r="G537" t="inlineStr">
        <is>
          <t>ARVIKA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45344</v>
      </c>
      <c r="E538" s="1" t="n">
        <v>46313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46313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46313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44734</v>
      </c>
      <c r="E541" s="1" t="n">
        <v>46313</v>
      </c>
      <c r="F541" t="inlineStr">
        <is>
          <t>VÄRMLANDS LÄN</t>
        </is>
      </c>
      <c r="G541" t="inlineStr">
        <is>
          <t>ARVIKA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46313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14780-2024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45397</v>
      </c>
      <c r="E543" s="1" t="n">
        <v>46313</v>
      </c>
      <c r="F543" t="inlineStr">
        <is>
          <t>VÄRMLANDS LÄN</t>
        </is>
      </c>
      <c r="G543" t="inlineStr">
        <is>
          <t>ARVIKA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46313</v>
      </c>
      <c r="F544" t="inlineStr">
        <is>
          <t>VÄRMLANDS LÄN</t>
        </is>
      </c>
      <c r="G544" t="inlineStr">
        <is>
          <t>ARVIKA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53430-2025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45959</v>
      </c>
      <c r="E545" s="1" t="n">
        <v>46313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45618</v>
      </c>
      <c r="E546" s="1" t="n">
        <v>46313</v>
      </c>
      <c r="F546" t="inlineStr">
        <is>
          <t>VÄRMLANDS LÄN</t>
        </is>
      </c>
      <c r="G546" t="inlineStr">
        <is>
          <t>ARVIKA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46313</v>
      </c>
      <c r="F547" t="inlineStr">
        <is>
          <t>VÄRMLANDS LÄN</t>
        </is>
      </c>
      <c r="G547" t="inlineStr">
        <is>
          <t>ARVIKA</t>
        </is>
      </c>
      <c r="H547" t="inlineStr">
        <is>
          <t>Kommuner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46313</v>
      </c>
      <c r="F548" t="inlineStr">
        <is>
          <t>VÄRMLANDS LÄN</t>
        </is>
      </c>
      <c r="G548" t="inlineStr">
        <is>
          <t>ARVIKA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46313</v>
      </c>
      <c r="F549" t="inlineStr">
        <is>
          <t>VÄRMLANDS LÄN</t>
        </is>
      </c>
      <c r="G549" t="inlineStr">
        <is>
          <t>ARVIKA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45168</v>
      </c>
      <c r="E550" s="1" t="n">
        <v>46313</v>
      </c>
      <c r="F550" t="inlineStr">
        <is>
          <t>VÄRMLANDS LÄN</t>
        </is>
      </c>
      <c r="G550" t="inlineStr">
        <is>
          <t>ARVIKA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46313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46313</v>
      </c>
      <c r="F552" t="inlineStr">
        <is>
          <t>VÄRMLANDS LÄN</t>
        </is>
      </c>
      <c r="G552" t="inlineStr">
        <is>
          <t>ARVIKA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45962</v>
      </c>
      <c r="E553" s="1" t="n">
        <v>46313</v>
      </c>
      <c r="F553" t="inlineStr">
        <is>
          <t>VÄRMLANDS LÄN</t>
        </is>
      </c>
      <c r="G553" t="inlineStr">
        <is>
          <t>ARVIKA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46313</v>
      </c>
      <c r="F554" t="inlineStr">
        <is>
          <t>VÄRMLANDS LÄN</t>
        </is>
      </c>
      <c r="G554" t="inlineStr">
        <is>
          <t>ARVIKA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54029-2025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45962</v>
      </c>
      <c r="E555" s="1" t="n">
        <v>46313</v>
      </c>
      <c r="F555" t="inlineStr">
        <is>
          <t>VÄRMLANDS LÄN</t>
        </is>
      </c>
      <c r="G555" t="inlineStr">
        <is>
          <t>ARVIKA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45296</v>
      </c>
      <c r="E556" s="1" t="n">
        <v>46313</v>
      </c>
      <c r="F556" t="inlineStr">
        <is>
          <t>VÄRMLANDS LÄN</t>
        </is>
      </c>
      <c r="G556" t="inlineStr">
        <is>
          <t>ARVIKA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45971-2024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45580</v>
      </c>
      <c r="E557" s="1" t="n">
        <v>46313</v>
      </c>
      <c r="F557" t="inlineStr">
        <is>
          <t>VÄRMLANDS LÄN</t>
        </is>
      </c>
      <c r="G557" t="inlineStr">
        <is>
          <t>ARVIKA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46313</v>
      </c>
      <c r="F558" t="inlineStr">
        <is>
          <t>VÄRMLANDS LÄN</t>
        </is>
      </c>
      <c r="G558" t="inlineStr">
        <is>
          <t>ARVIKA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45966</v>
      </c>
      <c r="E559" s="1" t="n">
        <v>46313</v>
      </c>
      <c r="F559" t="inlineStr">
        <is>
          <t>VÄRMLANDS LÄN</t>
        </is>
      </c>
      <c r="G559" t="inlineStr">
        <is>
          <t>ARVIKA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46313</v>
      </c>
      <c r="F560" t="inlineStr">
        <is>
          <t>VÄRMLANDS LÄN</t>
        </is>
      </c>
      <c r="G560" t="inlineStr">
        <is>
          <t>ARVIKA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58153-2022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46313</v>
      </c>
      <c r="F561" t="inlineStr">
        <is>
          <t>VÄRMLANDS LÄN</t>
        </is>
      </c>
      <c r="G561" t="inlineStr">
        <is>
          <t>ARVIKA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46313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46313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46313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46313</v>
      </c>
      <c r="F565" t="inlineStr">
        <is>
          <t>VÄRMLANDS LÄN</t>
        </is>
      </c>
      <c r="G565" t="inlineStr">
        <is>
          <t>ARVIKA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45523</v>
      </c>
      <c r="E566" s="1" t="n">
        <v>46313</v>
      </c>
      <c r="F566" t="inlineStr">
        <is>
          <t>VÄRMLANDS LÄN</t>
        </is>
      </c>
      <c r="G566" t="inlineStr">
        <is>
          <t>ARVIKA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46313</v>
      </c>
      <c r="F567" t="inlineStr">
        <is>
          <t>VÄRMLANDS LÄN</t>
        </is>
      </c>
      <c r="G567" t="inlineStr">
        <is>
          <t>ARVIKA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27153-2024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45471</v>
      </c>
      <c r="E568" s="1" t="n">
        <v>46313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45798</v>
      </c>
      <c r="E569" s="1" t="n">
        <v>46313</v>
      </c>
      <c r="F569" t="inlineStr">
        <is>
          <t>VÄRMLANDS LÄN</t>
        </is>
      </c>
      <c r="G569" t="inlineStr">
        <is>
          <t>ARVIKA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46313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45420</v>
      </c>
      <c r="E571" s="1" t="n">
        <v>46313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46313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8789-2023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44978</v>
      </c>
      <c r="E573" s="1" t="n">
        <v>46313</v>
      </c>
      <c r="F573" t="inlineStr">
        <is>
          <t>VÄRMLANDS LÄN</t>
        </is>
      </c>
      <c r="G573" t="inlineStr">
        <is>
          <t>ARVIKA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46313</v>
      </c>
      <c r="F574" t="inlineStr">
        <is>
          <t>VÄRMLANDS LÄN</t>
        </is>
      </c>
      <c r="G574" t="inlineStr">
        <is>
          <t>ARVIKA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45329</v>
      </c>
      <c r="E575" s="1" t="n">
        <v>46313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46313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46313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46313</v>
      </c>
      <c r="F578" t="inlineStr">
        <is>
          <t>VÄRMLANDS LÄN</t>
        </is>
      </c>
      <c r="G578" t="inlineStr">
        <is>
          <t>ARVIKA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46313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9.199999999999999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56746-2025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46313</v>
      </c>
      <c r="F580" t="inlineStr">
        <is>
          <t>VÄRMLANDS LÄN</t>
        </is>
      </c>
      <c r="G580" t="inlineStr">
        <is>
          <t>ARVIKA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23279-2026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46162</v>
      </c>
      <c r="E581" s="1" t="n">
        <v>46313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46313</v>
      </c>
      <c r="F582" t="inlineStr">
        <is>
          <t>VÄRMLANDS LÄN</t>
        </is>
      </c>
      <c r="G582" t="inlineStr">
        <is>
          <t>ARVIKA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45607</v>
      </c>
      <c r="E583" s="1" t="n">
        <v>46313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45590</v>
      </c>
      <c r="E584" s="1" t="n">
        <v>46313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46313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46313</v>
      </c>
      <c r="F586" t="inlineStr">
        <is>
          <t>VÄRMLANDS LÄN</t>
        </is>
      </c>
      <c r="G586" t="inlineStr">
        <is>
          <t>ARVIKA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46313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29578-2022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44754</v>
      </c>
      <c r="E588" s="1" t="n">
        <v>46313</v>
      </c>
      <c r="F588" t="inlineStr">
        <is>
          <t>VÄRMLANDS LÄN</t>
        </is>
      </c>
      <c r="G588" t="inlineStr">
        <is>
          <t>ARVIKA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15917-2023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45022</v>
      </c>
      <c r="E589" s="1" t="n">
        <v>46313</v>
      </c>
      <c r="F589" t="inlineStr">
        <is>
          <t>VÄRMLANDS LÄN</t>
        </is>
      </c>
      <c r="G589" t="inlineStr">
        <is>
          <t>ARVIKA</t>
        </is>
      </c>
      <c r="I589" t="n">
        <v>18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46313</v>
      </c>
      <c r="F590" t="inlineStr">
        <is>
          <t>VÄRMLANDS LÄN</t>
        </is>
      </c>
      <c r="G590" t="inlineStr">
        <is>
          <t>ARVIKA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46313</v>
      </c>
      <c r="F591" t="inlineStr">
        <is>
          <t>VÄRMLANDS LÄN</t>
        </is>
      </c>
      <c r="G591" t="inlineStr">
        <is>
          <t>ARVIKA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46313</v>
      </c>
      <c r="F592" t="inlineStr">
        <is>
          <t>VÄRMLANDS LÄN</t>
        </is>
      </c>
      <c r="G592" t="inlineStr">
        <is>
          <t>ARVIKA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46313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45414</v>
      </c>
      <c r="E594" s="1" t="n">
        <v>46313</v>
      </c>
      <c r="F594" t="inlineStr">
        <is>
          <t>VÄRMLANDS LÄN</t>
        </is>
      </c>
      <c r="G594" t="inlineStr">
        <is>
          <t>ARVIKA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46313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46313</v>
      </c>
      <c r="F596" t="inlineStr">
        <is>
          <t>VÄRMLANDS LÄN</t>
        </is>
      </c>
      <c r="G596" t="inlineStr">
        <is>
          <t>ARVIKA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58135-2025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46313</v>
      </c>
      <c r="F597" t="inlineStr">
        <is>
          <t>VÄRMLANDS LÄN</t>
        </is>
      </c>
      <c r="G597" t="inlineStr">
        <is>
          <t>ARVIKA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45597</v>
      </c>
      <c r="E598" s="1" t="n">
        <v>46313</v>
      </c>
      <c r="F598" t="inlineStr">
        <is>
          <t>VÄRMLANDS LÄN</t>
        </is>
      </c>
      <c r="G598" t="inlineStr">
        <is>
          <t>ARVIKA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46313</v>
      </c>
      <c r="F599" t="inlineStr">
        <is>
          <t>VÄRMLANDS LÄN</t>
        </is>
      </c>
      <c r="G599" t="inlineStr">
        <is>
          <t>ARVIKA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46313</v>
      </c>
      <c r="F600" t="inlineStr">
        <is>
          <t>VÄRMLANDS LÄN</t>
        </is>
      </c>
      <c r="G600" t="inlineStr">
        <is>
          <t>ARVIKA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59195-2025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45988</v>
      </c>
      <c r="E601" s="1" t="n">
        <v>46313</v>
      </c>
      <c r="F601" t="inlineStr">
        <is>
          <t>VÄRMLANDS LÄN</t>
        </is>
      </c>
      <c r="G601" t="inlineStr">
        <is>
          <t>ARVIKA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44588</v>
      </c>
      <c r="E602" s="1" t="n">
        <v>46313</v>
      </c>
      <c r="F602" t="inlineStr">
        <is>
          <t>VÄRMLANDS LÄN</t>
        </is>
      </c>
      <c r="G602" t="inlineStr">
        <is>
          <t>ARVIKA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46313</v>
      </c>
      <c r="F603" t="inlineStr">
        <is>
          <t>VÄRMLANDS LÄN</t>
        </is>
      </c>
      <c r="G603" t="inlineStr">
        <is>
          <t>ARVIKA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46313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60046-2025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46313</v>
      </c>
      <c r="F605" t="inlineStr">
        <is>
          <t>VÄRMLANDS LÄN</t>
        </is>
      </c>
      <c r="G605" t="inlineStr">
        <is>
          <t>ARVIKA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46313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46379-2023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46313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46313</v>
      </c>
      <c r="F608" t="inlineStr">
        <is>
          <t>VÄRMLANDS LÄN</t>
        </is>
      </c>
      <c r="G608" t="inlineStr">
        <is>
          <t>ARVIKA</t>
        </is>
      </c>
      <c r="I608" t="n">
        <v>9.800000000000001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46313</v>
      </c>
      <c r="F609" t="inlineStr">
        <is>
          <t>VÄRMLANDS LÄN</t>
        </is>
      </c>
      <c r="G609" t="inlineStr">
        <is>
          <t>ARVIKA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74129-2021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44557</v>
      </c>
      <c r="E610" s="1" t="n">
        <v>46313</v>
      </c>
      <c r="F610" t="inlineStr">
        <is>
          <t>VÄRMLANDS LÄN</t>
        </is>
      </c>
      <c r="G610" t="inlineStr">
        <is>
          <t>ARVIKA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45572</v>
      </c>
      <c r="E611" s="1" t="n">
        <v>46313</v>
      </c>
      <c r="F611" t="inlineStr">
        <is>
          <t>VÄRMLANDS LÄN</t>
        </is>
      </c>
      <c r="G611" t="inlineStr">
        <is>
          <t>ARVIKA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46313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46313</v>
      </c>
      <c r="F613" t="inlineStr">
        <is>
          <t>VÄRMLANDS LÄN</t>
        </is>
      </c>
      <c r="G613" t="inlineStr">
        <is>
          <t>ARVIKA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45120</v>
      </c>
      <c r="E614" s="1" t="n">
        <v>46313</v>
      </c>
      <c r="F614" t="inlineStr">
        <is>
          <t>VÄRMLANDS LÄN</t>
        </is>
      </c>
      <c r="G614" t="inlineStr">
        <is>
          <t>ARVIKA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69354-2021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46313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60627-2025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45996</v>
      </c>
      <c r="E616" s="1" t="n">
        <v>46313</v>
      </c>
      <c r="F616" t="inlineStr">
        <is>
          <t>VÄRMLANDS LÄN</t>
        </is>
      </c>
      <c r="G616" t="inlineStr">
        <is>
          <t>ARVIKA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45698</v>
      </c>
      <c r="E617" s="1" t="n">
        <v>46313</v>
      </c>
      <c r="F617" t="inlineStr">
        <is>
          <t>VÄRMLANDS LÄN</t>
        </is>
      </c>
      <c r="G617" t="inlineStr">
        <is>
          <t>ARVIKA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29067-2022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44750</v>
      </c>
      <c r="E618" s="1" t="n">
        <v>46313</v>
      </c>
      <c r="F618" t="inlineStr">
        <is>
          <t>VÄRMLANDS LÄN</t>
        </is>
      </c>
      <c r="G618" t="inlineStr">
        <is>
          <t>ARVIKA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46313</v>
      </c>
      <c r="F619" t="inlineStr">
        <is>
          <t>VÄRMLANDS LÄN</t>
        </is>
      </c>
      <c r="G619" t="inlineStr">
        <is>
          <t>ARVIKA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46313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46313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20106-2022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44697</v>
      </c>
      <c r="E622" s="1" t="n">
        <v>46313</v>
      </c>
      <c r="F622" t="inlineStr">
        <is>
          <t>VÄRMLANDS LÄN</t>
        </is>
      </c>
      <c r="G622" t="inlineStr">
        <is>
          <t>ARVIKA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9721-2025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45716</v>
      </c>
      <c r="E623" s="1" t="n">
        <v>46313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46313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46313</v>
      </c>
      <c r="F625" t="inlineStr">
        <is>
          <t>VÄRMLANDS LÄN</t>
        </is>
      </c>
      <c r="G625" t="inlineStr">
        <is>
          <t>ARVIKA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45468</v>
      </c>
      <c r="E626" s="1" t="n">
        <v>46313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46313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45869</v>
      </c>
      <c r="E628" s="1" t="n">
        <v>46313</v>
      </c>
      <c r="F628" t="inlineStr">
        <is>
          <t>VÄRMLANDS LÄN</t>
        </is>
      </c>
      <c r="G628" t="inlineStr">
        <is>
          <t>ARVIKA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62030-2025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46003</v>
      </c>
      <c r="E629" s="1" t="n">
        <v>46313</v>
      </c>
      <c r="F629" t="inlineStr">
        <is>
          <t>VÄRMLANDS LÄN</t>
        </is>
      </c>
      <c r="G629" t="inlineStr">
        <is>
          <t>ARVIKA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51602-2025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46313</v>
      </c>
      <c r="F630" t="inlineStr">
        <is>
          <t>VÄRMLANDS LÄN</t>
        </is>
      </c>
      <c r="G630" t="inlineStr">
        <is>
          <t>ARVIKA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46313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46313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62051-2025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46313</v>
      </c>
      <c r="F633" t="inlineStr">
        <is>
          <t>VÄRMLANDS LÄN</t>
        </is>
      </c>
      <c r="G633" t="inlineStr">
        <is>
          <t>ARVIKA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46313</v>
      </c>
      <c r="F634" t="inlineStr">
        <is>
          <t>VÄRMLANDS LÄN</t>
        </is>
      </c>
      <c r="G634" t="inlineStr">
        <is>
          <t>ARVIKA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46313</v>
      </c>
      <c r="F635" t="inlineStr">
        <is>
          <t>VÄRMLANDS LÄN</t>
        </is>
      </c>
      <c r="G635" t="inlineStr">
        <is>
          <t>ARVIKA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44859-2025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45918</v>
      </c>
      <c r="E636" s="1" t="n">
        <v>46313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45918</v>
      </c>
      <c r="E637" s="1" t="n">
        <v>46313</v>
      </c>
      <c r="F637" t="inlineStr">
        <is>
          <t>VÄRMLANDS LÄN</t>
        </is>
      </c>
      <c r="G637" t="inlineStr">
        <is>
          <t>ARVIKA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48449-2024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45590</v>
      </c>
      <c r="E638" s="1" t="n">
        <v>46313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45012</v>
      </c>
      <c r="E639" s="1" t="n">
        <v>46313</v>
      </c>
      <c r="F639" t="inlineStr">
        <is>
          <t>VÄRMLANDS LÄN</t>
        </is>
      </c>
      <c r="G639" t="inlineStr">
        <is>
          <t>ARVIKA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44992</v>
      </c>
      <c r="E640" s="1" t="n">
        <v>46313</v>
      </c>
      <c r="F640" t="inlineStr">
        <is>
          <t>VÄRMLANDS LÄN</t>
        </is>
      </c>
      <c r="G640" t="inlineStr">
        <is>
          <t>ARVIKA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46313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20349-2025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46313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18344-2024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45422</v>
      </c>
      <c r="E643" s="1" t="n">
        <v>46313</v>
      </c>
      <c r="F643" t="inlineStr">
        <is>
          <t>VÄRMLANDS LÄN</t>
        </is>
      </c>
      <c r="G643" t="inlineStr">
        <is>
          <t>ARVIKA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46013</v>
      </c>
      <c r="E644" s="1" t="n">
        <v>46313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46313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63124-2025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46313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24913-2026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46174</v>
      </c>
      <c r="E647" s="1" t="n">
        <v>46313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63721-2025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46014</v>
      </c>
      <c r="E648" s="1" t="n">
        <v>46313</v>
      </c>
      <c r="F648" t="inlineStr">
        <is>
          <t>VÄRMLANDS LÄN</t>
        </is>
      </c>
      <c r="G648" t="inlineStr">
        <is>
          <t>ARVIKA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50847-2024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45602</v>
      </c>
      <c r="E649" s="1" t="n">
        <v>46313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45674</v>
      </c>
      <c r="E650" s="1" t="n">
        <v>46313</v>
      </c>
      <c r="F650" t="inlineStr">
        <is>
          <t>VÄRMLANDS LÄN</t>
        </is>
      </c>
      <c r="G650" t="inlineStr">
        <is>
          <t>ARVIKA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42050-2024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45561</v>
      </c>
      <c r="E651" s="1" t="n">
        <v>46313</v>
      </c>
      <c r="F651" t="inlineStr">
        <is>
          <t>VÄRMLANDS LÄN</t>
        </is>
      </c>
      <c r="G651" t="inlineStr">
        <is>
          <t>ARVIKA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44922</v>
      </c>
      <c r="E652" s="1" t="n">
        <v>46313</v>
      </c>
      <c r="F652" t="inlineStr">
        <is>
          <t>VÄRMLANDS LÄN</t>
        </is>
      </c>
      <c r="G652" t="inlineStr">
        <is>
          <t>ARVIKA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44941</v>
      </c>
      <c r="E653" s="1" t="n">
        <v>46313</v>
      </c>
      <c r="F653" t="inlineStr">
        <is>
          <t>VÄRMLANDS LÄN</t>
        </is>
      </c>
      <c r="G653" t="inlineStr">
        <is>
          <t>ARVIKA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19425-2024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46313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46313</v>
      </c>
      <c r="F655" t="inlineStr">
        <is>
          <t>VÄRMLANDS LÄN</t>
        </is>
      </c>
      <c r="G655" t="inlineStr">
        <is>
          <t>ARVIKA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44780</v>
      </c>
      <c r="E656" s="1" t="n">
        <v>46313</v>
      </c>
      <c r="F656" t="inlineStr">
        <is>
          <t>VÄRMLANDS LÄN</t>
        </is>
      </c>
      <c r="G656" t="inlineStr">
        <is>
          <t>ARVIKA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46313</v>
      </c>
      <c r="F657" t="inlineStr">
        <is>
          <t>VÄRMLANDS LÄN</t>
        </is>
      </c>
      <c r="G657" t="inlineStr">
        <is>
          <t>ARVIKA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46313</v>
      </c>
      <c r="F658" t="inlineStr">
        <is>
          <t>VÄRMLANDS LÄN</t>
        </is>
      </c>
      <c r="G658" t="inlineStr">
        <is>
          <t>ARVIKA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46313</v>
      </c>
      <c r="F659" t="inlineStr">
        <is>
          <t>VÄRMLANDS LÄN</t>
        </is>
      </c>
      <c r="G659" t="inlineStr">
        <is>
          <t>ARVIKA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46313</v>
      </c>
      <c r="F660" t="inlineStr">
        <is>
          <t>VÄRMLANDS LÄN</t>
        </is>
      </c>
      <c r="G660" t="inlineStr">
        <is>
          <t>ARVIKA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771-2026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46027</v>
      </c>
      <c r="E661" s="1" t="n">
        <v>46313</v>
      </c>
      <c r="F661" t="inlineStr">
        <is>
          <t>VÄRMLANDS LÄN</t>
        </is>
      </c>
      <c r="G661" t="inlineStr">
        <is>
          <t>ARVIKA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25813-2026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46178</v>
      </c>
      <c r="E662" s="1" t="n">
        <v>46313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45159</v>
      </c>
      <c r="E663" s="1" t="n">
        <v>46313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58133-2022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44900</v>
      </c>
      <c r="E664" s="1" t="n">
        <v>46313</v>
      </c>
      <c r="F664" t="inlineStr">
        <is>
          <t>VÄRMLANDS LÄN</t>
        </is>
      </c>
      <c r="G664" t="inlineStr">
        <is>
          <t>ARVIKA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46313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46313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25802-2026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46178</v>
      </c>
      <c r="E667" s="1" t="n">
        <v>46313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45299</v>
      </c>
      <c r="E668" s="1" t="n">
        <v>46313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46313</v>
      </c>
      <c r="F669" t="inlineStr">
        <is>
          <t>VÄRMLANDS LÄN</t>
        </is>
      </c>
      <c r="G669" t="inlineStr">
        <is>
          <t>ARVIKA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44941</v>
      </c>
      <c r="E670" s="1" t="n">
        <v>46313</v>
      </c>
      <c r="F670" t="inlineStr">
        <is>
          <t>VÄRMLANDS LÄN</t>
        </is>
      </c>
      <c r="G670" t="inlineStr">
        <is>
          <t>ARVIKA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46313</v>
      </c>
      <c r="F671" t="inlineStr">
        <is>
          <t>VÄRMLANDS LÄN</t>
        </is>
      </c>
      <c r="G671" t="inlineStr">
        <is>
          <t>ARVIKA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46313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46313</v>
      </c>
      <c r="F673" t="inlineStr">
        <is>
          <t>VÄRMLANDS LÄN</t>
        </is>
      </c>
      <c r="G673" t="inlineStr">
        <is>
          <t>ARVIKA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6978-2025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45701</v>
      </c>
      <c r="E674" s="1" t="n">
        <v>46313</v>
      </c>
      <c r="F674" t="inlineStr">
        <is>
          <t>VÄRMLANDS LÄN</t>
        </is>
      </c>
      <c r="G674" t="inlineStr">
        <is>
          <t>ARVIKA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50678-2024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46313</v>
      </c>
      <c r="F675" t="inlineStr">
        <is>
          <t>VÄRMLANDS LÄN</t>
        </is>
      </c>
      <c r="G675" t="inlineStr">
        <is>
          <t>ARVIKA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46313</v>
      </c>
      <c r="F676" t="inlineStr">
        <is>
          <t>VÄRMLANDS LÄN</t>
        </is>
      </c>
      <c r="G676" t="inlineStr">
        <is>
          <t>ARVIKA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44694</v>
      </c>
      <c r="E677" s="1" t="n">
        <v>46313</v>
      </c>
      <c r="F677" t="inlineStr">
        <is>
          <t>VÄRMLANDS LÄN</t>
        </is>
      </c>
      <c r="G677" t="inlineStr">
        <is>
          <t>ARVIKA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64664-2021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44512</v>
      </c>
      <c r="E678" s="1" t="n">
        <v>46313</v>
      </c>
      <c r="F678" t="inlineStr">
        <is>
          <t>VÄRMLANDS LÄN</t>
        </is>
      </c>
      <c r="G678" t="inlineStr">
        <is>
          <t>ARVIKA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37854-2023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45158</v>
      </c>
      <c r="E679" s="1" t="n">
        <v>46313</v>
      </c>
      <c r="F679" t="inlineStr">
        <is>
          <t>VÄRMLANDS LÄN</t>
        </is>
      </c>
      <c r="G679" t="inlineStr">
        <is>
          <t>ARVIKA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45483</v>
      </c>
      <c r="E680" s="1" t="n">
        <v>46313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45681</v>
      </c>
      <c r="E681" s="1" t="n">
        <v>46313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13.4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46313</v>
      </c>
      <c r="F682" t="inlineStr">
        <is>
          <t>VÄRMLANDS LÄN</t>
        </is>
      </c>
      <c r="G682" t="inlineStr">
        <is>
          <t>ARVIKA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45678</v>
      </c>
      <c r="E683" s="1" t="n">
        <v>46313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45935</v>
      </c>
      <c r="E684" s="1" t="n">
        <v>46313</v>
      </c>
      <c r="F684" t="inlineStr">
        <is>
          <t>VÄRMLANDS LÄN</t>
        </is>
      </c>
      <c r="G684" t="inlineStr">
        <is>
          <t>ARVIKA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49295-2023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46313</v>
      </c>
      <c r="F685" t="inlineStr">
        <is>
          <t>VÄRMLANDS LÄN</t>
        </is>
      </c>
      <c r="G685" t="inlineStr">
        <is>
          <t>ARVIKA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46313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45036</v>
      </c>
      <c r="E687" s="1" t="n">
        <v>46313</v>
      </c>
      <c r="F687" t="inlineStr">
        <is>
          <t>VÄRMLANDS LÄN</t>
        </is>
      </c>
      <c r="G687" t="inlineStr">
        <is>
          <t>ARVIKA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46313</v>
      </c>
      <c r="F688" t="inlineStr">
        <is>
          <t>VÄRMLANDS LÄN</t>
        </is>
      </c>
      <c r="G688" t="inlineStr">
        <is>
          <t>ARVIKA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6981-2026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46057</v>
      </c>
      <c r="E689" s="1" t="n">
        <v>46313</v>
      </c>
      <c r="F689" t="inlineStr">
        <is>
          <t>VÄRMLANDS LÄN</t>
        </is>
      </c>
      <c r="G689" t="inlineStr">
        <is>
          <t>ARVIKA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45132-2023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45191</v>
      </c>
      <c r="E690" s="1" t="n">
        <v>46313</v>
      </c>
      <c r="F690" t="inlineStr">
        <is>
          <t>VÄRMLANDS LÄN</t>
        </is>
      </c>
      <c r="G690" t="inlineStr">
        <is>
          <t>ARVIKA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46313</v>
      </c>
      <c r="F691" t="inlineStr">
        <is>
          <t>VÄRMLANDS LÄN</t>
        </is>
      </c>
      <c r="G691" t="inlineStr">
        <is>
          <t>ARVIKA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46313</v>
      </c>
      <c r="F692" t="inlineStr">
        <is>
          <t>VÄRMLANDS LÄN</t>
        </is>
      </c>
      <c r="G692" t="inlineStr">
        <is>
          <t>ARVIKA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46058</v>
      </c>
      <c r="E693" s="1" t="n">
        <v>46313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45293</v>
      </c>
      <c r="E694" s="1" t="n">
        <v>46313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46313</v>
      </c>
      <c r="F695" t="inlineStr">
        <is>
          <t>VÄRMLANDS LÄN</t>
        </is>
      </c>
      <c r="G695" t="inlineStr">
        <is>
          <t>ARVIKA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46313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44922</v>
      </c>
      <c r="E697" s="1" t="n">
        <v>46313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46313</v>
      </c>
      <c r="F698" t="inlineStr">
        <is>
          <t>VÄRMLANDS LÄN</t>
        </is>
      </c>
      <c r="G698" t="inlineStr">
        <is>
          <t>ARVIKA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46183</v>
      </c>
      <c r="E699" s="1" t="n">
        <v>46313</v>
      </c>
      <c r="F699" t="inlineStr">
        <is>
          <t>VÄRMLANDS LÄN</t>
        </is>
      </c>
      <c r="G699" t="inlineStr">
        <is>
          <t>ARVIKA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6961-2026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46313</v>
      </c>
      <c r="F700" t="inlineStr">
        <is>
          <t>VÄRMLANDS LÄN</t>
        </is>
      </c>
      <c r="G700" t="inlineStr">
        <is>
          <t>ARVIKA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45742</v>
      </c>
      <c r="E701" s="1" t="n">
        <v>46313</v>
      </c>
      <c r="F701" t="inlineStr">
        <is>
          <t>VÄRMLANDS LÄN</t>
        </is>
      </c>
      <c r="G701" t="inlineStr">
        <is>
          <t>ARVIKA</t>
        </is>
      </c>
      <c r="I701" t="n">
        <v>14.9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44956</v>
      </c>
      <c r="E702" s="1" t="n">
        <v>46313</v>
      </c>
      <c r="F702" t="inlineStr">
        <is>
          <t>VÄRMLANDS LÄN</t>
        </is>
      </c>
      <c r="G702" t="inlineStr">
        <is>
          <t>ARVIKA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46056</v>
      </c>
      <c r="E703" s="1" t="n">
        <v>46313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46313</v>
      </c>
      <c r="F704" t="inlineStr">
        <is>
          <t>VÄRMLANDS LÄN</t>
        </is>
      </c>
      <c r="G704" t="inlineStr">
        <is>
          <t>ARVIKA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59014-2022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44903</v>
      </c>
      <c r="E705" s="1" t="n">
        <v>46313</v>
      </c>
      <c r="F705" t="inlineStr">
        <is>
          <t>VÄRMLANDS LÄN</t>
        </is>
      </c>
      <c r="G705" t="inlineStr">
        <is>
          <t>ARVIKA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13074-2023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45001</v>
      </c>
      <c r="E706" s="1" t="n">
        <v>46313</v>
      </c>
      <c r="F706" t="inlineStr">
        <is>
          <t>VÄRMLANDS LÄN</t>
        </is>
      </c>
      <c r="G706" t="inlineStr">
        <is>
          <t>ARVIKA</t>
        </is>
      </c>
      <c r="I706" t="n">
        <v>21.1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11178-2022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44629</v>
      </c>
      <c r="E707" s="1" t="n">
        <v>46313</v>
      </c>
      <c r="F707" t="inlineStr">
        <is>
          <t>VÄRMLANDS LÄN</t>
        </is>
      </c>
      <c r="G707" t="inlineStr">
        <is>
          <t>ARVIKA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46313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44588</v>
      </c>
      <c r="E709" s="1" t="n">
        <v>46313</v>
      </c>
      <c r="F709" t="inlineStr">
        <is>
          <t>VÄRMLANDS LÄN</t>
        </is>
      </c>
      <c r="G709" t="inlineStr">
        <is>
          <t>ARVIKA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46313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46313</v>
      </c>
      <c r="F711" t="inlineStr">
        <is>
          <t>VÄRMLANDS LÄN</t>
        </is>
      </c>
      <c r="G711" t="inlineStr">
        <is>
          <t>ARVIKA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46313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46313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46313</v>
      </c>
      <c r="F714" t="inlineStr">
        <is>
          <t>VÄRMLANDS LÄN</t>
        </is>
      </c>
      <c r="G714" t="inlineStr">
        <is>
          <t>ARVIKA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46313</v>
      </c>
      <c r="F715" t="inlineStr">
        <is>
          <t>VÄRMLANDS LÄN</t>
        </is>
      </c>
      <c r="G715" t="inlineStr">
        <is>
          <t>ARVIKA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10050-2026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46313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46313</v>
      </c>
      <c r="F717" t="inlineStr">
        <is>
          <t>VÄRMLANDS LÄN</t>
        </is>
      </c>
      <c r="G717" t="inlineStr">
        <is>
          <t>ARVIKA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46313</v>
      </c>
      <c r="F718" t="inlineStr">
        <is>
          <t>VÄRMLANDS LÄN</t>
        </is>
      </c>
      <c r="G718" t="inlineStr">
        <is>
          <t>ARVIKA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46313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10105-2026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46073</v>
      </c>
      <c r="E720" s="1" t="n">
        <v>46313</v>
      </c>
      <c r="F720" t="inlineStr">
        <is>
          <t>VÄRMLANDS LÄN</t>
        </is>
      </c>
      <c r="G720" t="inlineStr">
        <is>
          <t>ARVIKA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46313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47239-2022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44852</v>
      </c>
      <c r="E722" s="1" t="n">
        <v>46313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10104-2026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46313</v>
      </c>
      <c r="F723" t="inlineStr">
        <is>
          <t>VÄRMLANDS LÄN</t>
        </is>
      </c>
      <c r="G723" t="inlineStr">
        <is>
          <t>ARVIKA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25520-2024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45463</v>
      </c>
      <c r="E724" s="1" t="n">
        <v>46313</v>
      </c>
      <c r="F724" t="inlineStr">
        <is>
          <t>VÄRMLANDS LÄN</t>
        </is>
      </c>
      <c r="G724" t="inlineStr">
        <is>
          <t>ARVIKA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10603-2026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46077</v>
      </c>
      <c r="E725" s="1" t="n">
        <v>46313</v>
      </c>
      <c r="F725" t="inlineStr">
        <is>
          <t>VÄRMLANDS LÄN</t>
        </is>
      </c>
      <c r="G725" t="inlineStr">
        <is>
          <t>ARVIKA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23496-2026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46313</v>
      </c>
      <c r="F726" t="inlineStr">
        <is>
          <t>VÄRMLANDS LÄN</t>
        </is>
      </c>
      <c r="G726" t="inlineStr">
        <is>
          <t>ARVIKA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60593-2023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45260</v>
      </c>
      <c r="E727" s="1" t="n">
        <v>46313</v>
      </c>
      <c r="F727" t="inlineStr">
        <is>
          <t>VÄRMLANDS LÄN</t>
        </is>
      </c>
      <c r="G727" t="inlineStr">
        <is>
          <t>ARVIKA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46313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46313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45460</v>
      </c>
      <c r="E730" s="1" t="n">
        <v>46313</v>
      </c>
      <c r="F730" t="inlineStr">
        <is>
          <t>VÄRMLANDS LÄN</t>
        </is>
      </c>
      <c r="G730" t="inlineStr">
        <is>
          <t>ARVIKA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50263-2022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46313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52943-2024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45610</v>
      </c>
      <c r="E732" s="1" t="n">
        <v>46313</v>
      </c>
      <c r="F732" t="inlineStr">
        <is>
          <t>VÄRMLANDS LÄN</t>
        </is>
      </c>
      <c r="G732" t="inlineStr">
        <is>
          <t>ARVIKA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45665</v>
      </c>
      <c r="E733" s="1" t="n">
        <v>46313</v>
      </c>
      <c r="F733" t="inlineStr">
        <is>
          <t>VÄRMLANDS LÄN</t>
        </is>
      </c>
      <c r="G733" t="inlineStr">
        <is>
          <t>ARVIKA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46313</v>
      </c>
      <c r="F734" t="inlineStr">
        <is>
          <t>VÄRMLANDS LÄN</t>
        </is>
      </c>
      <c r="G734" t="inlineStr">
        <is>
          <t>ARVIKA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46313</v>
      </c>
      <c r="F735" t="inlineStr">
        <is>
          <t>VÄRMLANDS LÄN</t>
        </is>
      </c>
      <c r="G735" t="inlineStr">
        <is>
          <t>ARVIKA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58586-2023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45251</v>
      </c>
      <c r="E736" s="1" t="n">
        <v>46313</v>
      </c>
      <c r="F736" t="inlineStr">
        <is>
          <t>VÄRMLANDS LÄN</t>
        </is>
      </c>
      <c r="G736" t="inlineStr">
        <is>
          <t>ARVIKA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11190-2026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46313</v>
      </c>
      <c r="F737" t="inlineStr">
        <is>
          <t>VÄRMLANDS LÄN</t>
        </is>
      </c>
      <c r="G737" t="inlineStr">
        <is>
          <t>ARVIKA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46313</v>
      </c>
      <c r="F738" t="inlineStr">
        <is>
          <t>VÄRMLANDS LÄN</t>
        </is>
      </c>
      <c r="G738" t="inlineStr">
        <is>
          <t>ARVIKA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44893</v>
      </c>
      <c r="E739" s="1" t="n">
        <v>46313</v>
      </c>
      <c r="F739" t="inlineStr">
        <is>
          <t>VÄRMLANDS LÄN</t>
        </is>
      </c>
      <c r="G739" t="inlineStr">
        <is>
          <t>ARVIKA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46313</v>
      </c>
      <c r="F740" t="inlineStr">
        <is>
          <t>VÄRMLANDS LÄN</t>
        </is>
      </c>
      <c r="G740" t="inlineStr">
        <is>
          <t>ARVIKA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45081</v>
      </c>
      <c r="E741" s="1" t="n">
        <v>46313</v>
      </c>
      <c r="F741" t="inlineStr">
        <is>
          <t>VÄRMLANDS LÄN</t>
        </is>
      </c>
      <c r="G741" t="inlineStr">
        <is>
          <t>ARVIKA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44952</v>
      </c>
      <c r="E742" s="1" t="n">
        <v>46313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46313</v>
      </c>
      <c r="F743" t="inlineStr">
        <is>
          <t>VÄRMLANDS LÄN</t>
        </is>
      </c>
      <c r="G743" t="inlineStr">
        <is>
          <t>ARVIKA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46127</v>
      </c>
      <c r="E744" s="1" t="n">
        <v>46313</v>
      </c>
      <c r="F744" t="inlineStr">
        <is>
          <t>VÄRMLANDS LÄN</t>
        </is>
      </c>
      <c r="G744" t="inlineStr">
        <is>
          <t>ARVIKA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37852-2023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45158</v>
      </c>
      <c r="E745" s="1" t="n">
        <v>46313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19586-2025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46313</v>
      </c>
      <c r="F746" t="inlineStr">
        <is>
          <t>VÄRMLANDS LÄN</t>
        </is>
      </c>
      <c r="G746" t="inlineStr">
        <is>
          <t>ARVIKA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46313</v>
      </c>
      <c r="F747" t="inlineStr">
        <is>
          <t>VÄRMLANDS LÄN</t>
        </is>
      </c>
      <c r="G747" t="inlineStr">
        <is>
          <t>ARVIKA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60343-2025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45994</v>
      </c>
      <c r="E748" s="1" t="n">
        <v>46313</v>
      </c>
      <c r="F748" t="inlineStr">
        <is>
          <t>VÄRMLANDS LÄN</t>
        </is>
      </c>
      <c r="G748" t="inlineStr">
        <is>
          <t>ARVIKA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46313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12331-2026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46313</v>
      </c>
      <c r="F750" t="inlineStr">
        <is>
          <t>VÄRMLANDS LÄN</t>
        </is>
      </c>
      <c r="G750" t="inlineStr">
        <is>
          <t>ARVIKA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46313</v>
      </c>
      <c r="F751" t="inlineStr">
        <is>
          <t>VÄRMLANDS LÄN</t>
        </is>
      </c>
      <c r="G751" t="inlineStr">
        <is>
          <t>ARVIKA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44945</v>
      </c>
      <c r="E752" s="1" t="n">
        <v>46313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46313</v>
      </c>
      <c r="F753" t="inlineStr">
        <is>
          <t>VÄRMLANDS LÄN</t>
        </is>
      </c>
      <c r="G753" t="inlineStr">
        <is>
          <t>ARVIKA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46313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46313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4466-2025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45686</v>
      </c>
      <c r="E756" s="1" t="n">
        <v>46313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46313</v>
      </c>
      <c r="F757" t="inlineStr">
        <is>
          <t>VÄRMLANDS LÄN</t>
        </is>
      </c>
      <c r="G757" t="inlineStr">
        <is>
          <t>ARVIKA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60595-2022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44906</v>
      </c>
      <c r="E758" s="1" t="n">
        <v>46313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44906</v>
      </c>
      <c r="E759" s="1" t="n">
        <v>46313</v>
      </c>
      <c r="F759" t="inlineStr">
        <is>
          <t>VÄRMLANDS LÄN</t>
        </is>
      </c>
      <c r="G759" t="inlineStr">
        <is>
          <t>ARVIKA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71399-2021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44540</v>
      </c>
      <c r="E760" s="1" t="n">
        <v>46313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45908-2022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44846</v>
      </c>
      <c r="E761" s="1" t="n">
        <v>46313</v>
      </c>
      <c r="F761" t="inlineStr">
        <is>
          <t>VÄRMLANDS LÄN</t>
        </is>
      </c>
      <c r="G761" t="inlineStr">
        <is>
          <t>ARVIKA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46313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71886-2021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44543</v>
      </c>
      <c r="E763" s="1" t="n">
        <v>46313</v>
      </c>
      <c r="F763" t="inlineStr">
        <is>
          <t>VÄRMLANDS LÄN</t>
        </is>
      </c>
      <c r="G763" t="inlineStr">
        <is>
          <t>ARVIKA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45587</v>
      </c>
      <c r="E764" s="1" t="n">
        <v>46313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45736</v>
      </c>
      <c r="E765" s="1" t="n">
        <v>46313</v>
      </c>
      <c r="F765" t="inlineStr">
        <is>
          <t>VÄRMLANDS LÄN</t>
        </is>
      </c>
      <c r="G765" t="inlineStr">
        <is>
          <t>ARVIKA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46313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47383-2023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45202</v>
      </c>
      <c r="E767" s="1" t="n">
        <v>46313</v>
      </c>
      <c r="F767" t="inlineStr">
        <is>
          <t>VÄRMLANDS LÄN</t>
        </is>
      </c>
      <c r="G767" t="inlineStr">
        <is>
          <t>ARVIKA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44519-2023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45189</v>
      </c>
      <c r="E768" s="1" t="n">
        <v>46313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28111-2026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46195</v>
      </c>
      <c r="E769" s="1" t="n">
        <v>46313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12020-2023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46313</v>
      </c>
      <c r="F770" t="inlineStr">
        <is>
          <t>VÄRMLANDS LÄN</t>
        </is>
      </c>
      <c r="G770" t="inlineStr">
        <is>
          <t>ARVIKA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21464-2023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45063</v>
      </c>
      <c r="E771" s="1" t="n">
        <v>46313</v>
      </c>
      <c r="F771" t="inlineStr">
        <is>
          <t>VÄRMLANDS LÄN</t>
        </is>
      </c>
      <c r="G771" t="inlineStr">
        <is>
          <t>ARVIKA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46313</v>
      </c>
      <c r="F772" t="inlineStr">
        <is>
          <t>VÄRMLANDS LÄN</t>
        </is>
      </c>
      <c r="G772" t="inlineStr">
        <is>
          <t>ARVIKA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28084-2026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46313</v>
      </c>
      <c r="F773" t="inlineStr">
        <is>
          <t>VÄRMLANDS LÄN</t>
        </is>
      </c>
      <c r="G773" t="inlineStr">
        <is>
          <t>ARVIKA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46687-2023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45198</v>
      </c>
      <c r="E774" s="1" t="n">
        <v>46313</v>
      </c>
      <c r="F774" t="inlineStr">
        <is>
          <t>VÄRMLANDS LÄN</t>
        </is>
      </c>
      <c r="G774" t="inlineStr">
        <is>
          <t>ARVIKA</t>
        </is>
      </c>
      <c r="I774" t="n">
        <v>14.9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10513-2024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45366</v>
      </c>
      <c r="E775" s="1" t="n">
        <v>46313</v>
      </c>
      <c r="F775" t="inlineStr">
        <is>
          <t>VÄRMLANDS LÄN</t>
        </is>
      </c>
      <c r="G775" t="inlineStr">
        <is>
          <t>ARVIKA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46313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28209-2026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46196</v>
      </c>
      <c r="E777" s="1" t="n">
        <v>46313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45448</v>
      </c>
      <c r="E778" s="1" t="n">
        <v>46313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46313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15291-2026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46105</v>
      </c>
      <c r="E780" s="1" t="n">
        <v>46313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26698-2023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45093</v>
      </c>
      <c r="E781" s="1" t="n">
        <v>46313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15615-2026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46106</v>
      </c>
      <c r="E782" s="1" t="n">
        <v>46313</v>
      </c>
      <c r="F782" t="inlineStr">
        <is>
          <t>VÄRMLANDS LÄN</t>
        </is>
      </c>
      <c r="G782" t="inlineStr">
        <is>
          <t>ARVIKA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46313</v>
      </c>
      <c r="F783" t="inlineStr">
        <is>
          <t>VÄRMLANDS LÄN</t>
        </is>
      </c>
      <c r="G783" t="inlineStr">
        <is>
          <t>ARVIKA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8165-2024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45351</v>
      </c>
      <c r="E784" s="1" t="n">
        <v>46313</v>
      </c>
      <c r="F784" t="inlineStr">
        <is>
          <t>VÄRMLANDS LÄN</t>
        </is>
      </c>
      <c r="G784" t="inlineStr">
        <is>
          <t>ARVIKA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31703-2024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45508</v>
      </c>
      <c r="E785" s="1" t="n">
        <v>46313</v>
      </c>
      <c r="F785" t="inlineStr">
        <is>
          <t>VÄRMLANDS LÄN</t>
        </is>
      </c>
      <c r="G785" t="inlineStr">
        <is>
          <t>ARVIKA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46313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44592</v>
      </c>
      <c r="E787" s="1" t="n">
        <v>46313</v>
      </c>
      <c r="F787" t="inlineStr">
        <is>
          <t>VÄRMLANDS LÄN</t>
        </is>
      </c>
      <c r="G787" t="inlineStr">
        <is>
          <t>ARVIKA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54756-2022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44883</v>
      </c>
      <c r="E788" s="1" t="n">
        <v>46313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50530-2023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46313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46313</v>
      </c>
      <c r="F790" t="inlineStr">
        <is>
          <t>VÄRMLANDS LÄN</t>
        </is>
      </c>
      <c r="G790" t="inlineStr">
        <is>
          <t>ARVIKA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46313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46313</v>
      </c>
      <c r="F792" t="inlineStr">
        <is>
          <t>VÄRMLANDS LÄN</t>
        </is>
      </c>
      <c r="G792" t="inlineStr">
        <is>
          <t>ARVIKA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46197</v>
      </c>
      <c r="E793" s="1" t="n">
        <v>46313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46313</v>
      </c>
      <c r="F794" t="inlineStr">
        <is>
          <t>VÄRMLANDS LÄN</t>
        </is>
      </c>
      <c r="G794" t="inlineStr">
        <is>
          <t>ARVIKA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46313</v>
      </c>
      <c r="F795" t="inlineStr">
        <is>
          <t>VÄRMLANDS LÄN</t>
        </is>
      </c>
      <c r="G795" t="inlineStr">
        <is>
          <t>ARVIKA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46313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29392-2023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46313</v>
      </c>
      <c r="F797" t="inlineStr">
        <is>
          <t>VÄRMLANDS LÄN</t>
        </is>
      </c>
      <c r="G797" t="inlineStr">
        <is>
          <t>ARVIKA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45707</v>
      </c>
      <c r="E798" s="1" t="n">
        <v>46313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28779-2026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46313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16734-2026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46113</v>
      </c>
      <c r="E800" s="1" t="n">
        <v>46313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65036-2023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45287</v>
      </c>
      <c r="E801" s="1" t="n">
        <v>46313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46313</v>
      </c>
      <c r="F802" t="inlineStr">
        <is>
          <t>VÄRMLANDS LÄN</t>
        </is>
      </c>
      <c r="G802" t="inlineStr">
        <is>
          <t>ARVIKA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46313</v>
      </c>
      <c r="F803" t="inlineStr">
        <is>
          <t>VÄRMLANDS LÄN</t>
        </is>
      </c>
      <c r="G803" t="inlineStr">
        <is>
          <t>ARVIKA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51400-2022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46313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46313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46313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28554-2026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46313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47191-2023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46313</v>
      </c>
      <c r="F808" t="inlineStr">
        <is>
          <t>VÄRMLANDS LÄN</t>
        </is>
      </c>
      <c r="G808" t="inlineStr">
        <is>
          <t>ARVIKA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42051-2024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45561</v>
      </c>
      <c r="E809" s="1" t="n">
        <v>46313</v>
      </c>
      <c r="F809" t="inlineStr">
        <is>
          <t>VÄRMLANDS LÄN</t>
        </is>
      </c>
      <c r="G809" t="inlineStr">
        <is>
          <t>ARVIKA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38705-2022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44814</v>
      </c>
      <c r="E810" s="1" t="n">
        <v>46313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46120</v>
      </c>
      <c r="E811" s="1" t="n">
        <v>46313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13341-2023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45005</v>
      </c>
      <c r="E812" s="1" t="n">
        <v>46313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17703-2026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46313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17708-2026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46121</v>
      </c>
      <c r="E814" s="1" t="n">
        <v>46313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44785</v>
      </c>
      <c r="E815" s="1" t="n">
        <v>46313</v>
      </c>
      <c r="F815" t="inlineStr">
        <is>
          <t>VÄRMLANDS LÄN</t>
        </is>
      </c>
      <c r="G815" t="inlineStr">
        <is>
          <t>ARVIKA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42894-2023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46313</v>
      </c>
      <c r="F816" t="inlineStr">
        <is>
          <t>VÄRMLANDS LÄN</t>
        </is>
      </c>
      <c r="G816" t="inlineStr">
        <is>
          <t>ARVIKA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21959-2023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45068</v>
      </c>
      <c r="E817" s="1" t="n">
        <v>46313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45063-2023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45191</v>
      </c>
      <c r="E818" s="1" t="n">
        <v>46313</v>
      </c>
      <c r="F818" t="inlineStr">
        <is>
          <t>VÄRMLANDS LÄN</t>
        </is>
      </c>
      <c r="G818" t="inlineStr">
        <is>
          <t>ARVIKA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54155-2024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46313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45069-2023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45191</v>
      </c>
      <c r="E820" s="1" t="n">
        <v>46313</v>
      </c>
      <c r="F820" t="inlineStr">
        <is>
          <t>VÄRMLANDS LÄN</t>
        </is>
      </c>
      <c r="G820" t="inlineStr">
        <is>
          <t>ARVIKA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46123</v>
      </c>
      <c r="E821" s="1" t="n">
        <v>46313</v>
      </c>
      <c r="F821" t="inlineStr">
        <is>
          <t>VÄRMLANDS LÄN</t>
        </is>
      </c>
      <c r="G821" t="inlineStr">
        <is>
          <t>ARVIKA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46125</v>
      </c>
      <c r="E822" s="1" t="n">
        <v>46313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45081-2023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45191</v>
      </c>
      <c r="E823" s="1" t="n">
        <v>46313</v>
      </c>
      <c r="F823" t="inlineStr">
        <is>
          <t>VÄRMLANDS LÄN</t>
        </is>
      </c>
      <c r="G823" t="inlineStr">
        <is>
          <t>ARVIKA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7685-2023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44972</v>
      </c>
      <c r="E824" s="1" t="n">
        <v>46313</v>
      </c>
      <c r="F824" t="inlineStr">
        <is>
          <t>VÄRMLANDS LÄN</t>
        </is>
      </c>
      <c r="G824" t="inlineStr">
        <is>
          <t>ARVIKA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46313</v>
      </c>
      <c r="F825" t="inlineStr">
        <is>
          <t>VÄRMLANDS LÄN</t>
        </is>
      </c>
      <c r="G825" t="inlineStr">
        <is>
          <t>ARVIKA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63627-2021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44496</v>
      </c>
      <c r="E826" s="1" t="n">
        <v>46313</v>
      </c>
      <c r="F826" t="inlineStr">
        <is>
          <t>VÄRMLANDS LÄN</t>
        </is>
      </c>
      <c r="G826" t="inlineStr">
        <is>
          <t>ARVIKA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46313</v>
      </c>
      <c r="F827" t="inlineStr">
        <is>
          <t>VÄRMLANDS LÄN</t>
        </is>
      </c>
      <c r="G827" t="inlineStr">
        <is>
          <t>ARVIKA</t>
        </is>
      </c>
      <c r="H827" t="inlineStr">
        <is>
          <t>Kyrkan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18059-2026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46125</v>
      </c>
      <c r="E828" s="1" t="n">
        <v>46313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7313-2022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44606</v>
      </c>
      <c r="E829" s="1" t="n">
        <v>46313</v>
      </c>
      <c r="F829" t="inlineStr">
        <is>
          <t>VÄRMLANDS LÄN</t>
        </is>
      </c>
      <c r="G829" t="inlineStr">
        <is>
          <t>ARVIKA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60593-2022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44906</v>
      </c>
      <c r="E830" s="1" t="n">
        <v>46313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60627-2022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44906</v>
      </c>
      <c r="E831" s="1" t="n">
        <v>46313</v>
      </c>
      <c r="F831" t="inlineStr">
        <is>
          <t>VÄRMLANDS LÄN</t>
        </is>
      </c>
      <c r="G831" t="inlineStr">
        <is>
          <t>ARVIKA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27578-2024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45474</v>
      </c>
      <c r="E832" s="1" t="n">
        <v>46313</v>
      </c>
      <c r="F832" t="inlineStr">
        <is>
          <t>VÄRMLANDS LÄN</t>
        </is>
      </c>
      <c r="G832" t="inlineStr">
        <is>
          <t>ARVIKA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61927-2024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45653</v>
      </c>
      <c r="E833" s="1" t="n">
        <v>46313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18962-2026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46129</v>
      </c>
      <c r="E834" s="1" t="n">
        <v>46313</v>
      </c>
      <c r="F834" t="inlineStr">
        <is>
          <t>VÄRMLANDS LÄN</t>
        </is>
      </c>
      <c r="G834" t="inlineStr">
        <is>
          <t>ARVIKA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58061-2024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45631</v>
      </c>
      <c r="E835" s="1" t="n">
        <v>46313</v>
      </c>
      <c r="F835" t="inlineStr">
        <is>
          <t>VÄRMLANDS LÄN</t>
        </is>
      </c>
      <c r="G835" t="inlineStr">
        <is>
          <t>ARVIKA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47041-2024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45586</v>
      </c>
      <c r="E836" s="1" t="n">
        <v>46313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18550-2026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46127</v>
      </c>
      <c r="E837" s="1" t="n">
        <v>46313</v>
      </c>
      <c r="F837" t="inlineStr">
        <is>
          <t>VÄRMLANDS LÄN</t>
        </is>
      </c>
      <c r="G837" t="inlineStr">
        <is>
          <t>ARVIKA</t>
        </is>
      </c>
      <c r="I837" t="n">
        <v>8.300000000000001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26544-2023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45092</v>
      </c>
      <c r="E838" s="1" t="n">
        <v>46313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19205-2026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46132</v>
      </c>
      <c r="E839" s="1" t="n">
        <v>46313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46313</v>
      </c>
      <c r="F840" t="inlineStr">
        <is>
          <t>VÄRMLANDS LÄN</t>
        </is>
      </c>
      <c r="G840" t="inlineStr">
        <is>
          <t>ARVIKA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37630-2024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45541</v>
      </c>
      <c r="E841" s="1" t="n">
        <v>46313</v>
      </c>
      <c r="F841" t="inlineStr">
        <is>
          <t>VÄRMLANDS LÄN</t>
        </is>
      </c>
      <c r="G841" t="inlineStr">
        <is>
          <t>ARVIKA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46313</v>
      </c>
      <c r="F842" t="inlineStr">
        <is>
          <t>VÄRMLANDS LÄN</t>
        </is>
      </c>
      <c r="G842" t="inlineStr">
        <is>
          <t>ARVIKA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19132-2026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46313</v>
      </c>
      <c r="F843" t="inlineStr">
        <is>
          <t>VÄRMLANDS LÄN</t>
        </is>
      </c>
      <c r="G843" t="inlineStr">
        <is>
          <t>ARVIKA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19500-2026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46313</v>
      </c>
      <c r="F844" t="inlineStr">
        <is>
          <t>VÄRMLANDS LÄN</t>
        </is>
      </c>
      <c r="G844" t="inlineStr">
        <is>
          <t>ARVIKA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19532-2026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46313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19544-2026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46313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19488-2026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46313</v>
      </c>
      <c r="F847" t="inlineStr">
        <is>
          <t>VÄRMLANDS LÄN</t>
        </is>
      </c>
      <c r="G847" t="inlineStr">
        <is>
          <t>ARVIKA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46203</v>
      </c>
      <c r="E848" s="1" t="n">
        <v>46313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35969-2022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44802</v>
      </c>
      <c r="E849" s="1" t="n">
        <v>46313</v>
      </c>
      <c r="F849" t="inlineStr">
        <is>
          <t>VÄRMLANDS LÄN</t>
        </is>
      </c>
      <c r="G849" t="inlineStr">
        <is>
          <t>ARVIKA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7686-2023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44972</v>
      </c>
      <c r="E850" s="1" t="n">
        <v>46313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10581-2023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44988</v>
      </c>
      <c r="E851" s="1" t="n">
        <v>46313</v>
      </c>
      <c r="F851" t="inlineStr">
        <is>
          <t>VÄRMLANDS LÄN</t>
        </is>
      </c>
      <c r="G851" t="inlineStr">
        <is>
          <t>ARVIKA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19829-2026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46135</v>
      </c>
      <c r="E852" s="1" t="n">
        <v>46313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19495-2026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46134</v>
      </c>
      <c r="E853" s="1" t="n">
        <v>46313</v>
      </c>
      <c r="F853" t="inlineStr">
        <is>
          <t>VÄRMLANDS LÄN</t>
        </is>
      </c>
      <c r="G853" t="inlineStr">
        <is>
          <t>ARVIKA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46134</v>
      </c>
      <c r="E854" s="1" t="n">
        <v>46313</v>
      </c>
      <c r="F854" t="inlineStr">
        <is>
          <t>VÄRMLANDS LÄN</t>
        </is>
      </c>
      <c r="G854" t="inlineStr">
        <is>
          <t>ARVIKA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45191</v>
      </c>
      <c r="E855" s="1" t="n">
        <v>46313</v>
      </c>
      <c r="F855" t="inlineStr">
        <is>
          <t>VÄRMLANDS LÄN</t>
        </is>
      </c>
      <c r="G855" t="inlineStr">
        <is>
          <t>ARVIKA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29401-2024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45483</v>
      </c>
      <c r="E856" s="1" t="n">
        <v>46313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21468-2023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45063</v>
      </c>
      <c r="E857" s="1" t="n">
        <v>46313</v>
      </c>
      <c r="F857" t="inlineStr">
        <is>
          <t>VÄRMLANDS LÄN</t>
        </is>
      </c>
      <c r="G857" t="inlineStr">
        <is>
          <t>ARVIKA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40299-2023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45169</v>
      </c>
      <c r="E858" s="1" t="n">
        <v>46313</v>
      </c>
      <c r="F858" t="inlineStr">
        <is>
          <t>VÄRMLANDS LÄN</t>
        </is>
      </c>
      <c r="G858" t="inlineStr">
        <is>
          <t>ARVIKA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36655-2025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45873</v>
      </c>
      <c r="E859" s="1" t="n">
        <v>46313</v>
      </c>
      <c r="F859" t="inlineStr">
        <is>
          <t>VÄRMLANDS LÄN</t>
        </is>
      </c>
      <c r="G859" t="inlineStr">
        <is>
          <t>ARVIKA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46313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46313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30020-2026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46313</v>
      </c>
      <c r="F862" t="inlineStr">
        <is>
          <t>VÄRMLANDS LÄN</t>
        </is>
      </c>
      <c r="G862" t="inlineStr">
        <is>
          <t>ARVIKA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46171-2023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46313</v>
      </c>
      <c r="F863" t="inlineStr">
        <is>
          <t>VÄRMLANDS LÄN</t>
        </is>
      </c>
      <c r="G863" t="inlineStr">
        <is>
          <t>ARVIKA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28427-2025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45819</v>
      </c>
      <c r="E864" s="1" t="n">
        <v>46313</v>
      </c>
      <c r="F864" t="inlineStr">
        <is>
          <t>VÄRMLANDS LÄN</t>
        </is>
      </c>
      <c r="G864" t="inlineStr">
        <is>
          <t>ARVIKA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2702-2025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46313</v>
      </c>
      <c r="F865" t="inlineStr">
        <is>
          <t>VÄRMLANDS LÄN</t>
        </is>
      </c>
      <c r="G865" t="inlineStr">
        <is>
          <t>ARVIKA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45741</v>
      </c>
      <c r="E866" s="1" t="n">
        <v>46313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29795-2026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46313</v>
      </c>
      <c r="F867" t="inlineStr">
        <is>
          <t>VÄRMLANDS LÄN</t>
        </is>
      </c>
      <c r="G867" t="inlineStr">
        <is>
          <t>ARVIKA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45936</v>
      </c>
      <c r="E868" s="1" t="n">
        <v>46313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41607-2023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45175</v>
      </c>
      <c r="E869" s="1" t="n">
        <v>46313</v>
      </c>
      <c r="F869" t="inlineStr">
        <is>
          <t>VÄRMLANDS LÄN</t>
        </is>
      </c>
      <c r="G869" t="inlineStr">
        <is>
          <t>ARVIKA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62169-2024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45657</v>
      </c>
      <c r="E870" s="1" t="n">
        <v>46313</v>
      </c>
      <c r="F870" t="inlineStr">
        <is>
          <t>VÄRMLANDS LÄN</t>
        </is>
      </c>
      <c r="G870" t="inlineStr">
        <is>
          <t>ARVIKA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22992-2025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45790</v>
      </c>
      <c r="E871" s="1" t="n">
        <v>46313</v>
      </c>
      <c r="F871" t="inlineStr">
        <is>
          <t>VÄRMLANDS LÄN</t>
        </is>
      </c>
      <c r="G871" t="inlineStr">
        <is>
          <t>ARVIKA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45995</v>
      </c>
      <c r="E872" s="1" t="n">
        <v>46313</v>
      </c>
      <c r="F872" t="inlineStr">
        <is>
          <t>VÄRMLANDS LÄN</t>
        </is>
      </c>
      <c r="G872" t="inlineStr">
        <is>
          <t>ARVIKA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33639-2024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45520</v>
      </c>
      <c r="E873" s="1" t="n">
        <v>46313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28411-2024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45477</v>
      </c>
      <c r="E874" s="1" t="n">
        <v>46313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46313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61864-2024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45650</v>
      </c>
      <c r="E876" s="1" t="n">
        <v>46313</v>
      </c>
      <c r="F876" t="inlineStr">
        <is>
          <t>VÄRMLANDS LÄN</t>
        </is>
      </c>
      <c r="G876" t="inlineStr">
        <is>
          <t>ARVIKA</t>
        </is>
      </c>
      <c r="I876" t="n">
        <v>13.3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59104-2024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45637</v>
      </c>
      <c r="E877" s="1" t="n">
        <v>46313</v>
      </c>
      <c r="F877" t="inlineStr">
        <is>
          <t>VÄRMLANDS LÄN</t>
        </is>
      </c>
      <c r="G877" t="inlineStr">
        <is>
          <t>ARVIKA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32263-2024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45512</v>
      </c>
      <c r="E878" s="1" t="n">
        <v>46313</v>
      </c>
      <c r="F878" t="inlineStr">
        <is>
          <t>VÄRMLANDS LÄN</t>
        </is>
      </c>
      <c r="G878" t="inlineStr">
        <is>
          <t>ARVIKA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47945-2024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46313</v>
      </c>
      <c r="F879" t="inlineStr">
        <is>
          <t>VÄRMLANDS LÄN</t>
        </is>
      </c>
      <c r="G879" t="inlineStr">
        <is>
          <t>ARVIKA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31452-2023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45114</v>
      </c>
      <c r="E880" s="1" t="n">
        <v>46313</v>
      </c>
      <c r="F880" t="inlineStr">
        <is>
          <t>VÄRMLANDS LÄN</t>
        </is>
      </c>
      <c r="G880" t="inlineStr">
        <is>
          <t>ARVIKA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26703-2023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45093</v>
      </c>
      <c r="E881" s="1" t="n">
        <v>46313</v>
      </c>
      <c r="F881" t="inlineStr">
        <is>
          <t>VÄRMLANDS LÄN</t>
        </is>
      </c>
      <c r="G881" t="inlineStr">
        <is>
          <t>ARVIKA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26710-2023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45093</v>
      </c>
      <c r="E882" s="1" t="n">
        <v>46313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14622-2025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45742</v>
      </c>
      <c r="E883" s="1" t="n">
        <v>46313</v>
      </c>
      <c r="F883" t="inlineStr">
        <is>
          <t>VÄRMLANDS LÄN</t>
        </is>
      </c>
      <c r="G883" t="inlineStr">
        <is>
          <t>ARVIKA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56430-2023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45243</v>
      </c>
      <c r="E884" s="1" t="n">
        <v>46313</v>
      </c>
      <c r="F884" t="inlineStr">
        <is>
          <t>VÄRMLANDS LÄN</t>
        </is>
      </c>
      <c r="G884" t="inlineStr">
        <is>
          <t>ARVIKA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25077-2025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46313</v>
      </c>
      <c r="F885" t="inlineStr">
        <is>
          <t>VÄRMLANDS LÄN</t>
        </is>
      </c>
      <c r="G885" t="inlineStr">
        <is>
          <t>ARVIKA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23813-2022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44722</v>
      </c>
      <c r="E886" s="1" t="n">
        <v>46313</v>
      </c>
      <c r="F886" t="inlineStr">
        <is>
          <t>VÄRMLANDS LÄN</t>
        </is>
      </c>
      <c r="G886" t="inlineStr">
        <is>
          <t>ARVIKA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46313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9321-2022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44616</v>
      </c>
      <c r="E888" s="1" t="n">
        <v>46313</v>
      </c>
      <c r="F888" t="inlineStr">
        <is>
          <t>VÄRMLANDS LÄN</t>
        </is>
      </c>
      <c r="G888" t="inlineStr">
        <is>
          <t>ARVIKA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44586</v>
      </c>
      <c r="E889" s="1" t="n">
        <v>46313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41493-2024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45560</v>
      </c>
      <c r="E890" s="1" t="n">
        <v>46313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31124-2026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46216</v>
      </c>
      <c r="E891" s="1" t="n">
        <v>46313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23660-2023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45077</v>
      </c>
      <c r="E892" s="1" t="n">
        <v>46313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46216</v>
      </c>
      <c r="E893" s="1" t="n">
        <v>46313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31282-2026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46218</v>
      </c>
      <c r="E894" s="1" t="n">
        <v>46313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45659</v>
      </c>
      <c r="E895" s="1" t="n">
        <v>46313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46313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45756-2024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45579</v>
      </c>
      <c r="E897" s="1" t="n">
        <v>46313</v>
      </c>
      <c r="F897" t="inlineStr">
        <is>
          <t>VÄRMLANDS LÄN</t>
        </is>
      </c>
      <c r="G897" t="inlineStr">
        <is>
          <t>ARVIKA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14772-2023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45014</v>
      </c>
      <c r="E898" s="1" t="n">
        <v>46313</v>
      </c>
      <c r="F898" t="inlineStr">
        <is>
          <t>VÄRMLANDS LÄN</t>
        </is>
      </c>
      <c r="G898" t="inlineStr">
        <is>
          <t>ARVIKA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31436-2026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46220</v>
      </c>
      <c r="E899" s="1" t="n">
        <v>46313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46313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31374-2026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46219</v>
      </c>
      <c r="E901" s="1" t="n">
        <v>46313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23072-2022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44718</v>
      </c>
      <c r="E902" s="1" t="n">
        <v>46313</v>
      </c>
      <c r="F902" t="inlineStr">
        <is>
          <t>VÄRMLANDS LÄN</t>
        </is>
      </c>
      <c r="G902" t="inlineStr">
        <is>
          <t>ARVIKA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8784-2023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44978</v>
      </c>
      <c r="E903" s="1" t="n">
        <v>46313</v>
      </c>
      <c r="F903" t="inlineStr">
        <is>
          <t>VÄRMLANDS LÄN</t>
        </is>
      </c>
      <c r="G903" t="inlineStr">
        <is>
          <t>ARVIKA</t>
        </is>
      </c>
      <c r="I903" t="n">
        <v>0.3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12744-2024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45384</v>
      </c>
      <c r="E904" s="1" t="n">
        <v>46313</v>
      </c>
      <c r="F904" t="inlineStr">
        <is>
          <t>VÄRMLANDS LÄN</t>
        </is>
      </c>
      <c r="G904" t="inlineStr">
        <is>
          <t>ARVIKA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36783-2026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46272</v>
      </c>
      <c r="E905" s="1" t="n">
        <v>46313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16.5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24999-2024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45461</v>
      </c>
      <c r="E906" s="1" t="n">
        <v>46313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58591-2023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45251</v>
      </c>
      <c r="E907" s="1" t="n">
        <v>46313</v>
      </c>
      <c r="F907" t="inlineStr">
        <is>
          <t>VÄRMLANDS LÄN</t>
        </is>
      </c>
      <c r="G907" t="inlineStr">
        <is>
          <t>ARVIKA</t>
        </is>
      </c>
      <c r="I907" t="n">
        <v>15.3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61945-2024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45653</v>
      </c>
      <c r="E908" s="1" t="n">
        <v>46313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31752-2026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46313</v>
      </c>
      <c r="F909" t="inlineStr">
        <is>
          <t>VÄRMLANDS LÄN</t>
        </is>
      </c>
      <c r="G909" t="inlineStr">
        <is>
          <t>ARVIKA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36804-2026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46272</v>
      </c>
      <c r="E910" s="1" t="n">
        <v>46313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18.5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46232</v>
      </c>
      <c r="E911" s="1" t="n">
        <v>46313</v>
      </c>
      <c r="F911" t="inlineStr">
        <is>
          <t>VÄRMLANDS LÄN</t>
        </is>
      </c>
      <c r="G911" t="inlineStr">
        <is>
          <t>ARVIKA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37323-2026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46275</v>
      </c>
      <c r="E912" s="1" t="n">
        <v>46313</v>
      </c>
      <c r="F912" t="inlineStr">
        <is>
          <t>VÄRMLANDS LÄN</t>
        </is>
      </c>
      <c r="G912" t="inlineStr">
        <is>
          <t>ARVIKA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35992-2023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45149</v>
      </c>
      <c r="E913" s="1" t="n">
        <v>46313</v>
      </c>
      <c r="F913" t="inlineStr">
        <is>
          <t>VÄRMLANDS LÄN</t>
        </is>
      </c>
      <c r="G913" t="inlineStr">
        <is>
          <t>ARVIKA</t>
        </is>
      </c>
      <c r="H913" t="inlineStr">
        <is>
          <t>Kyrkan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45296-2023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45191</v>
      </c>
      <c r="E914" s="1" t="n">
        <v>46313</v>
      </c>
      <c r="F914" t="inlineStr">
        <is>
          <t>VÄRMLANDS LÄN</t>
        </is>
      </c>
      <c r="G914" t="inlineStr">
        <is>
          <t>ARVIKA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45298-2023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45191</v>
      </c>
      <c r="E915" s="1" t="n">
        <v>46313</v>
      </c>
      <c r="F915" t="inlineStr">
        <is>
          <t>VÄRMLANDS LÄN</t>
        </is>
      </c>
      <c r="G915" t="inlineStr">
        <is>
          <t>ARVIKA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37465-2026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46275</v>
      </c>
      <c r="E916" s="1" t="n">
        <v>46313</v>
      </c>
      <c r="F916" t="inlineStr">
        <is>
          <t>VÄRMLANDS LÄN</t>
        </is>
      </c>
      <c r="G916" t="inlineStr">
        <is>
          <t>ARVIKA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37319-2026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46275</v>
      </c>
      <c r="E917" s="1" t="n">
        <v>46313</v>
      </c>
      <c r="F917" t="inlineStr">
        <is>
          <t>VÄRMLANDS LÄN</t>
        </is>
      </c>
      <c r="G917" t="inlineStr">
        <is>
          <t>ARVIKA</t>
        </is>
      </c>
      <c r="I917" t="n">
        <v>9.5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34400-2023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45132</v>
      </c>
      <c r="E918" s="1" t="n">
        <v>46313</v>
      </c>
      <c r="F918" t="inlineStr">
        <is>
          <t>VÄRMLANDS LÄN</t>
        </is>
      </c>
      <c r="G918" t="inlineStr">
        <is>
          <t>ARVIKA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42179-2022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44830</v>
      </c>
      <c r="E919" s="1" t="n">
        <v>46313</v>
      </c>
      <c r="F919" t="inlineStr">
        <is>
          <t>VÄRMLANDS LÄN</t>
        </is>
      </c>
      <c r="G919" t="inlineStr">
        <is>
          <t>ARVIKA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35339-2024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45530</v>
      </c>
      <c r="E920" s="1" t="n">
        <v>46313</v>
      </c>
      <c r="F920" t="inlineStr">
        <is>
          <t>VÄRMLANDS LÄN</t>
        </is>
      </c>
      <c r="G920" t="inlineStr">
        <is>
          <t>ARVIKA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49337-2023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45210</v>
      </c>
      <c r="E921" s="1" t="n">
        <v>46313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31931-2026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46232</v>
      </c>
      <c r="E922" s="1" t="n">
        <v>46313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7.9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44585</v>
      </c>
      <c r="E923" s="1" t="n">
        <v>46313</v>
      </c>
      <c r="F923" t="inlineStr">
        <is>
          <t>VÄRMLANDS LÄN</t>
        </is>
      </c>
      <c r="G923" t="inlineStr">
        <is>
          <t>ARVIKA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60183-2021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44495</v>
      </c>
      <c r="E924" s="1" t="n">
        <v>46313</v>
      </c>
      <c r="F924" t="inlineStr">
        <is>
          <t>VÄRMLANDS LÄN</t>
        </is>
      </c>
      <c r="G924" t="inlineStr">
        <is>
          <t>ARVIKA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31926-2026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46231</v>
      </c>
      <c r="E925" s="1" t="n">
        <v>46313</v>
      </c>
      <c r="F925" t="inlineStr">
        <is>
          <t>VÄRMLANDS LÄN</t>
        </is>
      </c>
      <c r="G925" t="inlineStr">
        <is>
          <t>ARVIKA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31927-2026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46231</v>
      </c>
      <c r="E926" s="1" t="n">
        <v>46313</v>
      </c>
      <c r="F926" t="inlineStr">
        <is>
          <t>VÄRMLANDS LÄN</t>
        </is>
      </c>
      <c r="G926" t="inlineStr">
        <is>
          <t>ARVIKA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41175-2024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45559</v>
      </c>
      <c r="E927" s="1" t="n">
        <v>46313</v>
      </c>
      <c r="F927" t="inlineStr">
        <is>
          <t>VÄRMLANDS LÄN</t>
        </is>
      </c>
      <c r="G927" t="inlineStr">
        <is>
          <t>ARVIKA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11892-2025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45728</v>
      </c>
      <c r="E928" s="1" t="n">
        <v>46313</v>
      </c>
      <c r="F928" t="inlineStr">
        <is>
          <t>VÄRMLANDS LÄN</t>
        </is>
      </c>
      <c r="G928" t="inlineStr">
        <is>
          <t>ARVIKA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59625-2024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45638</v>
      </c>
      <c r="E929" s="1" t="n">
        <v>46313</v>
      </c>
      <c r="F929" t="inlineStr">
        <is>
          <t>VÄRMLANDS LÄN</t>
        </is>
      </c>
      <c r="G929" t="inlineStr">
        <is>
          <t>ARVIKA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46279</v>
      </c>
      <c r="E930" s="1" t="n">
        <v>46313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32082-2026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46234</v>
      </c>
      <c r="E931" s="1" t="n">
        <v>46313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37829-2026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46279</v>
      </c>
      <c r="E932" s="1" t="n">
        <v>46313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51815-2024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45607</v>
      </c>
      <c r="E933" s="1" t="n">
        <v>46313</v>
      </c>
      <c r="F933" t="inlineStr">
        <is>
          <t>VÄRMLANDS LÄN</t>
        </is>
      </c>
      <c r="G933" t="inlineStr">
        <is>
          <t>ARVIKA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45335</v>
      </c>
      <c r="E934" s="1" t="n">
        <v>46313</v>
      </c>
      <c r="F934" t="inlineStr">
        <is>
          <t>VÄRMLANDS LÄN</t>
        </is>
      </c>
      <c r="G934" t="inlineStr">
        <is>
          <t>ARVIKA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57346-2022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44896</v>
      </c>
      <c r="E935" s="1" t="n">
        <v>46313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55061-2023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45237</v>
      </c>
      <c r="E936" s="1" t="n">
        <v>46313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73936-2021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44552</v>
      </c>
      <c r="E937" s="1" t="n">
        <v>46313</v>
      </c>
      <c r="F937" t="inlineStr">
        <is>
          <t>VÄRMLANDS LÄN</t>
        </is>
      </c>
      <c r="G937" t="inlineStr">
        <is>
          <t>ARVIKA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45667</v>
      </c>
      <c r="E938" s="1" t="n">
        <v>46313</v>
      </c>
      <c r="F938" t="inlineStr">
        <is>
          <t>VÄRMLANDS LÄN</t>
        </is>
      </c>
      <c r="G938" t="inlineStr">
        <is>
          <t>ARVIKA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45135</v>
      </c>
      <c r="E939" s="1" t="n">
        <v>46313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44965</v>
      </c>
      <c r="E940" s="1" t="n">
        <v>46313</v>
      </c>
      <c r="F940" t="inlineStr">
        <is>
          <t>VÄRMLANDS LÄN</t>
        </is>
      </c>
      <c r="G940" t="inlineStr">
        <is>
          <t>ARVIKA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50234-2023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45216</v>
      </c>
      <c r="E941" s="1" t="n">
        <v>46313</v>
      </c>
      <c r="F941" t="inlineStr">
        <is>
          <t>VÄRMLANDS LÄN</t>
        </is>
      </c>
      <c r="G941" t="inlineStr">
        <is>
          <t>ARVIKA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46279</v>
      </c>
      <c r="E942" s="1" t="n">
        <v>46313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32041-2026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46233</v>
      </c>
      <c r="E943" s="1" t="n">
        <v>46313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20345-2022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44699</v>
      </c>
      <c r="E944" s="1" t="n">
        <v>46313</v>
      </c>
      <c r="F944" t="inlineStr">
        <is>
          <t>VÄRMLANDS LÄN</t>
        </is>
      </c>
      <c r="G944" t="inlineStr">
        <is>
          <t>ARVIKA</t>
        </is>
      </c>
      <c r="I944" t="n">
        <v>7.5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32231-2026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46237</v>
      </c>
      <c r="E945" s="1" t="n">
        <v>46313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4065-2025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45684</v>
      </c>
      <c r="E946" s="1" t="n">
        <v>46313</v>
      </c>
      <c r="F946" t="inlineStr">
        <is>
          <t>VÄRMLANDS LÄN</t>
        </is>
      </c>
      <c r="G946" t="inlineStr">
        <is>
          <t>ARVIKA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20171-2025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45772</v>
      </c>
      <c r="E947" s="1" t="n">
        <v>46313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60516-2024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45643</v>
      </c>
      <c r="E948" s="1" t="n">
        <v>46313</v>
      </c>
      <c r="F948" t="inlineStr">
        <is>
          <t>VÄRMLANDS LÄN</t>
        </is>
      </c>
      <c r="G948" t="inlineStr">
        <is>
          <t>ARVIKA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32160-2026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46313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33047-2024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45517</v>
      </c>
      <c r="E950" s="1" t="n">
        <v>46313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  <c r="Z950">
        <f>HYPERLINK("https://klasma.github.io/Logging_1784/knärot/A 33047-2024 karta knärot.png", "A 33047-2024")</f>
        <v/>
      </c>
      <c r="AA950">
        <f>HYPERLINK("https://klasma.github.io/Logging_1784/klagomål/A 33047-2024 FSC-klagomål.docx", "A 33047-2024")</f>
        <v/>
      </c>
      <c r="AB950">
        <f>HYPERLINK("https://klasma.github.io/Logging_1784/klagomålsmail/A 33047-2024 FSC-klagomål mail.docx", "A 33047-2024")</f>
        <v/>
      </c>
      <c r="AC950">
        <f>HYPERLINK("https://klasma.github.io/Logging_1784/tillsyn/A 33047-2024 tillsynsbegäran.docx", "A 33047-2024")</f>
        <v/>
      </c>
      <c r="AD950">
        <f>HYPERLINK("https://klasma.github.io/Logging_1784/tillsynsmail/A 33047-2024 tillsynsbegäran mail.docx", "A 33047-2024")</f>
        <v/>
      </c>
    </row>
    <row r="951" ht="15" customHeight="1">
      <c r="A951" t="inlineStr">
        <is>
          <t>A 58066-2024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45631</v>
      </c>
      <c r="E951" s="1" t="n">
        <v>46313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71778-2021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44543</v>
      </c>
      <c r="E952" s="1" t="n">
        <v>46313</v>
      </c>
      <c r="F952" t="inlineStr">
        <is>
          <t>VÄRMLANDS LÄN</t>
        </is>
      </c>
      <c r="G952" t="inlineStr">
        <is>
          <t>ARVIKA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58151-2024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45632</v>
      </c>
      <c r="E953" s="1" t="n">
        <v>46313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58153-2024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45632</v>
      </c>
      <c r="E954" s="1" t="n">
        <v>46313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39597-2023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45163</v>
      </c>
      <c r="E955" s="1" t="n">
        <v>46313</v>
      </c>
      <c r="F955" t="inlineStr">
        <is>
          <t>VÄRMLANDS LÄN</t>
        </is>
      </c>
      <c r="G955" t="inlineStr">
        <is>
          <t>ARVIKA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39601-2023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45163</v>
      </c>
      <c r="E956" s="1" t="n">
        <v>46313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61555-2022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44916</v>
      </c>
      <c r="E957" s="1" t="n">
        <v>46313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51316-2024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45604</v>
      </c>
      <c r="E958" s="1" t="n">
        <v>46313</v>
      </c>
      <c r="F958" t="inlineStr">
        <is>
          <t>VÄRMLANDS LÄN</t>
        </is>
      </c>
      <c r="G958" t="inlineStr">
        <is>
          <t>ARVIKA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59341-2022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44904</v>
      </c>
      <c r="E959" s="1" t="n">
        <v>46313</v>
      </c>
      <c r="F959" t="inlineStr">
        <is>
          <t>VÄRMLANDS LÄN</t>
        </is>
      </c>
      <c r="G959" t="inlineStr">
        <is>
          <t>ARVIKA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46515-2023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45197</v>
      </c>
      <c r="E960" s="1" t="n">
        <v>46313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49925-2024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45597</v>
      </c>
      <c r="E961" s="1" t="n">
        <v>46313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32496-2026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46313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38681-2026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46283</v>
      </c>
      <c r="E963" s="1" t="n">
        <v>46313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55734-2024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45622</v>
      </c>
      <c r="E964" s="1" t="n">
        <v>46313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67196-2021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44523</v>
      </c>
      <c r="E965" s="1" t="n">
        <v>46313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65357-2021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44515</v>
      </c>
      <c r="E966" s="1" t="n">
        <v>46313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45520</v>
      </c>
      <c r="E967" s="1" t="n">
        <v>46313</v>
      </c>
      <c r="F967" t="inlineStr">
        <is>
          <t>VÄRMLANDS LÄN</t>
        </is>
      </c>
      <c r="G967" t="inlineStr">
        <is>
          <t>ARVIKA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38590-2026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46283</v>
      </c>
      <c r="E968" s="1" t="n">
        <v>46313</v>
      </c>
      <c r="F968" t="inlineStr">
        <is>
          <t>VÄRMLANDS LÄN</t>
        </is>
      </c>
      <c r="G968" t="inlineStr">
        <is>
          <t>ARVIKA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46239</v>
      </c>
      <c r="E969" s="1" t="n">
        <v>46313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38435-2026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46282</v>
      </c>
      <c r="E970" s="1" t="n">
        <v>46313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38382-2026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46282</v>
      </c>
      <c r="E971" s="1" t="n">
        <v>46313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45703</v>
      </c>
      <c r="E972" s="1" t="n">
        <v>46313</v>
      </c>
      <c r="F972" t="inlineStr">
        <is>
          <t>VÄRMLANDS LÄN</t>
        </is>
      </c>
      <c r="G972" t="inlineStr">
        <is>
          <t>ARVIKA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38929-2026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46286</v>
      </c>
      <c r="E973" s="1" t="n">
        <v>46313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8795-2023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44978</v>
      </c>
      <c r="E974" s="1" t="n">
        <v>46313</v>
      </c>
      <c r="F974" t="inlineStr">
        <is>
          <t>VÄRMLANDS LÄN</t>
        </is>
      </c>
      <c r="G974" t="inlineStr">
        <is>
          <t>ARVIKA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27760-2023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45098</v>
      </c>
      <c r="E975" s="1" t="n">
        <v>46313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10850-2022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44627</v>
      </c>
      <c r="E976" s="1" t="n">
        <v>46313</v>
      </c>
      <c r="F976" t="inlineStr">
        <is>
          <t>VÄRMLANDS LÄN</t>
        </is>
      </c>
      <c r="G976" t="inlineStr">
        <is>
          <t>ARVIKA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17363-2023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45035</v>
      </c>
      <c r="E977" s="1" t="n">
        <v>46313</v>
      </c>
      <c r="F977" t="inlineStr">
        <is>
          <t>VÄRMLANDS LÄN</t>
        </is>
      </c>
      <c r="G977" t="inlineStr">
        <is>
          <t>ARVIKA</t>
        </is>
      </c>
      <c r="I977" t="n">
        <v>19.4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60366-2023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45259</v>
      </c>
      <c r="E978" s="1" t="n">
        <v>46313</v>
      </c>
      <c r="F978" t="inlineStr">
        <is>
          <t>VÄRMLANDS LÄN</t>
        </is>
      </c>
      <c r="G978" t="inlineStr">
        <is>
          <t>ARVIKA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46750-2024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45583</v>
      </c>
      <c r="E979" s="1" t="n">
        <v>46313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39052-2026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46287</v>
      </c>
      <c r="E980" s="1" t="n">
        <v>46313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39057-2026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46287</v>
      </c>
      <c r="E981" s="1" t="n">
        <v>46313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45882</v>
      </c>
      <c r="E982" s="1" t="n">
        <v>46313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32747-2026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46241</v>
      </c>
      <c r="E983" s="1" t="n">
        <v>46313</v>
      </c>
      <c r="F983" t="inlineStr">
        <is>
          <t>VÄRMLANDS LÄN</t>
        </is>
      </c>
      <c r="G983" t="inlineStr">
        <is>
          <t>ARVIKA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46286</v>
      </c>
      <c r="E984" s="1" t="n">
        <v>46313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39118-2026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46313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45805-2024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46313</v>
      </c>
      <c r="F986" t="inlineStr">
        <is>
          <t>VÄRMLANDS LÄN</t>
        </is>
      </c>
      <c r="G986" t="inlineStr">
        <is>
          <t>ARVIKA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45631</v>
      </c>
      <c r="E987" s="1" t="n">
        <v>46313</v>
      </c>
      <c r="F987" t="inlineStr">
        <is>
          <t>VÄRMLANDS LÄN</t>
        </is>
      </c>
      <c r="G987" t="inlineStr">
        <is>
          <t>ARVIKA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32854-2026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46313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25400-2023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45089</v>
      </c>
      <c r="E989" s="1" t="n">
        <v>46313</v>
      </c>
      <c r="F989" t="inlineStr">
        <is>
          <t>VÄRMLANDS LÄN</t>
        </is>
      </c>
      <c r="G989" t="inlineStr">
        <is>
          <t>ARVIKA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25405-2023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45089</v>
      </c>
      <c r="E990" s="1" t="n">
        <v>46313</v>
      </c>
      <c r="F990" t="inlineStr">
        <is>
          <t>VÄRMLANDS LÄN</t>
        </is>
      </c>
      <c r="G990" t="inlineStr">
        <is>
          <t>ARVIKA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40436-2024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45555</v>
      </c>
      <c r="E991" s="1" t="n">
        <v>46313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40441-2024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45555</v>
      </c>
      <c r="E992" s="1" t="n">
        <v>46313</v>
      </c>
      <c r="F992" t="inlineStr">
        <is>
          <t>VÄRMLANDS LÄN</t>
        </is>
      </c>
      <c r="G992" t="inlineStr">
        <is>
          <t>ARVIKA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46530-2022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44848</v>
      </c>
      <c r="E993" s="1" t="n">
        <v>46313</v>
      </c>
      <c r="F993" t="inlineStr">
        <is>
          <t>VÄRMLANDS LÄN</t>
        </is>
      </c>
      <c r="G993" t="inlineStr">
        <is>
          <t>ARVIKA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49245-2023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45210</v>
      </c>
      <c r="E994" s="1" t="n">
        <v>46313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39026-2026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46287</v>
      </c>
      <c r="E995" s="1" t="n">
        <v>46313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36303-2024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45534</v>
      </c>
      <c r="E996" s="1" t="n">
        <v>46313</v>
      </c>
      <c r="F996" t="inlineStr">
        <is>
          <t>VÄRMLANDS LÄN</t>
        </is>
      </c>
      <c r="G996" t="inlineStr">
        <is>
          <t>ARVIKA</t>
        </is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33079-2026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46244</v>
      </c>
      <c r="E997" s="1" t="n">
        <v>46313</v>
      </c>
      <c r="F997" t="inlineStr">
        <is>
          <t>VÄRMLANDS LÄN</t>
        </is>
      </c>
      <c r="G997" t="inlineStr">
        <is>
          <t>ARVIKA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26056-2024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45468</v>
      </c>
      <c r="E998" s="1" t="n">
        <v>46313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39071-2026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46287</v>
      </c>
      <c r="E999" s="1" t="n">
        <v>46313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46514-2025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45926</v>
      </c>
      <c r="E1000" s="1" t="n">
        <v>46313</v>
      </c>
      <c r="F1000" t="inlineStr">
        <is>
          <t>VÄRMLANDS LÄN</t>
        </is>
      </c>
      <c r="G1000" t="inlineStr">
        <is>
          <t>ARVIKA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25491-2023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45089</v>
      </c>
      <c r="E1001" s="1" t="n">
        <v>46313</v>
      </c>
      <c r="F1001" t="inlineStr">
        <is>
          <t>VÄRMLANDS LÄN</t>
        </is>
      </c>
      <c r="G1001" t="inlineStr">
        <is>
          <t>ARVIKA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38536-2023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45162</v>
      </c>
      <c r="E1002" s="1" t="n">
        <v>46313</v>
      </c>
      <c r="F1002" t="inlineStr">
        <is>
          <t>VÄRMLANDS LÄN</t>
        </is>
      </c>
      <c r="G1002" t="inlineStr">
        <is>
          <t>ARVIKA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3974-2023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44952</v>
      </c>
      <c r="E1003" s="1" t="n">
        <v>46313</v>
      </c>
      <c r="F1003" t="inlineStr">
        <is>
          <t>VÄRMLANDS LÄN</t>
        </is>
      </c>
      <c r="G1003" t="inlineStr">
        <is>
          <t>ARVIKA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39124-2024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45548</v>
      </c>
      <c r="E1004" s="1" t="n">
        <v>46313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39574-2026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46313</v>
      </c>
      <c r="F1005" t="inlineStr">
        <is>
          <t>VÄRMLANDS LÄN</t>
        </is>
      </c>
      <c r="G1005" t="inlineStr">
        <is>
          <t>ARVIKA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31053-2023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45113</v>
      </c>
      <c r="E1006" s="1" t="n">
        <v>46313</v>
      </c>
      <c r="F1006" t="inlineStr">
        <is>
          <t>VÄRMLANDS LÄN</t>
        </is>
      </c>
      <c r="G1006" t="inlineStr">
        <is>
          <t>ARVIKA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39313-2026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46288</v>
      </c>
      <c r="E1007" s="1" t="n">
        <v>46313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33264-2026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46246</v>
      </c>
      <c r="E1008" s="1" t="n">
        <v>46313</v>
      </c>
      <c r="F1008" t="inlineStr">
        <is>
          <t>VÄRMLANDS LÄN</t>
        </is>
      </c>
      <c r="G1008" t="inlineStr">
        <is>
          <t>ARVIKA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57998-2023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45247</v>
      </c>
      <c r="E1009" s="1" t="n">
        <v>46313</v>
      </c>
      <c r="F1009" t="inlineStr">
        <is>
          <t>VÄRMLANDS LÄN</t>
        </is>
      </c>
      <c r="G1009" t="inlineStr">
        <is>
          <t>ARVIKA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25482-2023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45089</v>
      </c>
      <c r="E1010" s="1" t="n">
        <v>46313</v>
      </c>
      <c r="F1010" t="inlineStr">
        <is>
          <t>VÄRMLANDS LÄN</t>
        </is>
      </c>
      <c r="G1010" t="inlineStr">
        <is>
          <t>ARVIKA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56714-2022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44893</v>
      </c>
      <c r="E1011" s="1" t="n">
        <v>46313</v>
      </c>
      <c r="F1011" t="inlineStr">
        <is>
          <t>VÄRMLANDS LÄN</t>
        </is>
      </c>
      <c r="G1011" t="inlineStr">
        <is>
          <t>ARVIKA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44825</v>
      </c>
      <c r="E1012" s="1" t="n">
        <v>46313</v>
      </c>
      <c r="F1012" t="inlineStr">
        <is>
          <t>VÄRMLANDS LÄN</t>
        </is>
      </c>
      <c r="G1012" t="inlineStr">
        <is>
          <t>ARVIKA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33654-2026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46248</v>
      </c>
      <c r="E1013" s="1" t="n">
        <v>46313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36125-2022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44803</v>
      </c>
      <c r="E1014" s="1" t="n">
        <v>46313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63217-2023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45273</v>
      </c>
      <c r="E1015" s="1" t="n">
        <v>46313</v>
      </c>
      <c r="F1015" t="inlineStr">
        <is>
          <t>VÄRMLANDS LÄN</t>
        </is>
      </c>
      <c r="G1015" t="inlineStr">
        <is>
          <t>ARVIKA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4049-2022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44588</v>
      </c>
      <c r="E1016" s="1" t="n">
        <v>46313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46293</v>
      </c>
      <c r="E1017" s="1" t="n">
        <v>46313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26722-2023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45093</v>
      </c>
      <c r="E1018" s="1" t="n">
        <v>46313</v>
      </c>
      <c r="F1018" t="inlineStr">
        <is>
          <t>VÄRMLANDS LÄN</t>
        </is>
      </c>
      <c r="G1018" t="inlineStr">
        <is>
          <t>ARVIKA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26728-2023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45093</v>
      </c>
      <c r="E1019" s="1" t="n">
        <v>46313</v>
      </c>
      <c r="F1019" t="inlineStr">
        <is>
          <t>VÄRMLANDS LÄN</t>
        </is>
      </c>
      <c r="G1019" t="inlineStr">
        <is>
          <t>ARVIKA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33610-2026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46248</v>
      </c>
      <c r="E1020" s="1" t="n">
        <v>46313</v>
      </c>
      <c r="F1020" t="inlineStr">
        <is>
          <t>VÄRMLANDS LÄN</t>
        </is>
      </c>
      <c r="G1020" t="inlineStr">
        <is>
          <t>ARVIKA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32577-2023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46313</v>
      </c>
      <c r="F1021" t="inlineStr">
        <is>
          <t>VÄRMLANDS LÄN</t>
        </is>
      </c>
      <c r="G1021" t="inlineStr">
        <is>
          <t>ARVIKA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33432-2026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46247</v>
      </c>
      <c r="E1022" s="1" t="n">
        <v>46313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70453-2021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44536</v>
      </c>
      <c r="E1023" s="1" t="n">
        <v>46313</v>
      </c>
      <c r="F1023" t="inlineStr">
        <is>
          <t>VÄRMLANDS LÄN</t>
        </is>
      </c>
      <c r="G1023" t="inlineStr">
        <is>
          <t>ARVIKA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8780-2023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44978</v>
      </c>
      <c r="E1024" s="1" t="n">
        <v>46313</v>
      </c>
      <c r="F1024" t="inlineStr">
        <is>
          <t>VÄRMLANDS LÄN</t>
        </is>
      </c>
      <c r="G1024" t="inlineStr">
        <is>
          <t>ARVIKA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6602-2024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45341</v>
      </c>
      <c r="E1025" s="1" t="n">
        <v>46313</v>
      </c>
      <c r="F1025" t="inlineStr">
        <is>
          <t>VÄRMLANDS LÄN</t>
        </is>
      </c>
      <c r="G1025" t="inlineStr">
        <is>
          <t>ARVIKA</t>
        </is>
      </c>
      <c r="I1025" t="n">
        <v>7.5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42997-2023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45182</v>
      </c>
      <c r="E1026" s="1" t="n">
        <v>46313</v>
      </c>
      <c r="F1026" t="inlineStr">
        <is>
          <t>VÄRMLANDS LÄN</t>
        </is>
      </c>
      <c r="G1026" t="inlineStr">
        <is>
          <t>ARVIKA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45482</v>
      </c>
      <c r="E1027" s="1" t="n">
        <v>46313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35579-2023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45147</v>
      </c>
      <c r="E1028" s="1" t="n">
        <v>46313</v>
      </c>
      <c r="F1028" t="inlineStr">
        <is>
          <t>VÄRMLANDS LÄN</t>
        </is>
      </c>
      <c r="G1028" t="inlineStr">
        <is>
          <t>ARVIKA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33668-2026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46248</v>
      </c>
      <c r="E1029" s="1" t="n">
        <v>46313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45962-2024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45580</v>
      </c>
      <c r="E1030" s="1" t="n">
        <v>46313</v>
      </c>
      <c r="F1030" t="inlineStr">
        <is>
          <t>VÄRMLANDS LÄN</t>
        </is>
      </c>
      <c r="G1030" t="inlineStr">
        <is>
          <t>ARVIKA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33616-2026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46248</v>
      </c>
      <c r="E1031" s="1" t="n">
        <v>46313</v>
      </c>
      <c r="F1031" t="inlineStr">
        <is>
          <t>VÄRMLANDS LÄN</t>
        </is>
      </c>
      <c r="G1031" t="inlineStr">
        <is>
          <t>ARVIKA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40074-2026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46293</v>
      </c>
      <c r="E1032" s="1" t="n">
        <v>46313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3645-2023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44950</v>
      </c>
      <c r="E1033" s="1" t="n">
        <v>46313</v>
      </c>
      <c r="F1033" t="inlineStr">
        <is>
          <t>VÄRMLANDS LÄN</t>
        </is>
      </c>
      <c r="G1033" t="inlineStr">
        <is>
          <t>ARVIKA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54027-2025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45962</v>
      </c>
      <c r="E1034" s="1" t="n">
        <v>46313</v>
      </c>
      <c r="F1034" t="inlineStr">
        <is>
          <t>VÄRMLANDS LÄN</t>
        </is>
      </c>
      <c r="G1034" t="inlineStr">
        <is>
          <t>ARVIKA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40291-2026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46294</v>
      </c>
      <c r="E1035" s="1" t="n">
        <v>46313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10427-2024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45365</v>
      </c>
      <c r="E1036" s="1" t="n">
        <v>46313</v>
      </c>
      <c r="F1036" t="inlineStr">
        <is>
          <t>VÄRMLANDS LÄN</t>
        </is>
      </c>
      <c r="G1036" t="inlineStr">
        <is>
          <t>ARVIKA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45428</v>
      </c>
      <c r="E1037" s="1" t="n">
        <v>46313</v>
      </c>
      <c r="F1037" t="inlineStr">
        <is>
          <t>VÄRMLANDS LÄN</t>
        </is>
      </c>
      <c r="G1037" t="inlineStr">
        <is>
          <t>ARVIKA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14735-2023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45013</v>
      </c>
      <c r="E1038" s="1" t="n">
        <v>46313</v>
      </c>
      <c r="F1038" t="inlineStr">
        <is>
          <t>VÄRMLANDS LÄN</t>
        </is>
      </c>
      <c r="G1038" t="inlineStr">
        <is>
          <t>ARVIKA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40251-2026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46294</v>
      </c>
      <c r="E1039" s="1" t="n">
        <v>46313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43968-2024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45572</v>
      </c>
      <c r="E1040" s="1" t="n">
        <v>46313</v>
      </c>
      <c r="F1040" t="inlineStr">
        <is>
          <t>VÄRMLANDS LÄN</t>
        </is>
      </c>
      <c r="G1040" t="inlineStr">
        <is>
          <t>ARVIKA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40451-2026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46294</v>
      </c>
      <c r="E1041" s="1" t="n">
        <v>46313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22714-2024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45448</v>
      </c>
      <c r="E1042" s="1" t="n">
        <v>46313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11154-2024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45371</v>
      </c>
      <c r="E1043" s="1" t="n">
        <v>46313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54852-2024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45618</v>
      </c>
      <c r="E1044" s="1" t="n">
        <v>46313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40330-2026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46294</v>
      </c>
      <c r="E1045" s="1" t="n">
        <v>46313</v>
      </c>
      <c r="F1045" t="inlineStr">
        <is>
          <t>VÄRMLANDS LÄN</t>
        </is>
      </c>
      <c r="G1045" t="inlineStr">
        <is>
          <t>ARVIKA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20375-2025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45775</v>
      </c>
      <c r="E1046" s="1" t="n">
        <v>46313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46251</v>
      </c>
      <c r="E1047" s="1" t="n">
        <v>46313</v>
      </c>
      <c r="F1047" t="inlineStr">
        <is>
          <t>VÄRMLANDS LÄN</t>
        </is>
      </c>
      <c r="G1047" t="inlineStr">
        <is>
          <t>ARVIKA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58399-2023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45245</v>
      </c>
      <c r="E1048" s="1" t="n">
        <v>46313</v>
      </c>
      <c r="F1048" t="inlineStr">
        <is>
          <t>VÄRMLANDS LÄN</t>
        </is>
      </c>
      <c r="G1048" t="inlineStr">
        <is>
          <t>ARVIKA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33187-2022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44785</v>
      </c>
      <c r="E1049" s="1" t="n">
        <v>46313</v>
      </c>
      <c r="F1049" t="inlineStr">
        <is>
          <t>VÄRMLANDS LÄN</t>
        </is>
      </c>
      <c r="G1049" t="inlineStr">
        <is>
          <t>ARVIKA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34222-2026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46253</v>
      </c>
      <c r="E1050" s="1" t="n">
        <v>46313</v>
      </c>
      <c r="F1050" t="inlineStr">
        <is>
          <t>VÄRMLANDS LÄN</t>
        </is>
      </c>
      <c r="G1050" t="inlineStr">
        <is>
          <t>ARVIKA</t>
        </is>
      </c>
      <c r="I1050" t="n">
        <v>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34480-2026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46254</v>
      </c>
      <c r="E1051" s="1" t="n">
        <v>46313</v>
      </c>
      <c r="F1051" t="inlineStr">
        <is>
          <t>VÄRMLANDS LÄN</t>
        </is>
      </c>
      <c r="G1051" t="inlineStr">
        <is>
          <t>ARVIKA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16731-2024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45410</v>
      </c>
      <c r="E1052" s="1" t="n">
        <v>46313</v>
      </c>
      <c r="F1052" t="inlineStr">
        <is>
          <t>VÄRMLANDS LÄN</t>
        </is>
      </c>
      <c r="G1052" t="inlineStr">
        <is>
          <t>ARVIKA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16739-2024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45410</v>
      </c>
      <c r="E1053" s="1" t="n">
        <v>46313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19683-2025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45770</v>
      </c>
      <c r="E1054" s="1" t="n">
        <v>46313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39470-2026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46313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4754-2024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45328</v>
      </c>
      <c r="E1056" s="1" t="n">
        <v>46313</v>
      </c>
      <c r="F1056" t="inlineStr">
        <is>
          <t>VÄRMLANDS LÄN</t>
        </is>
      </c>
      <c r="G1056" t="inlineStr">
        <is>
          <t>ARVIKA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62610-2022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46313</v>
      </c>
      <c r="F1057" t="inlineStr">
        <is>
          <t>VÄRMLANDS LÄN</t>
        </is>
      </c>
      <c r="G1057" t="inlineStr">
        <is>
          <t>ARVIKA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46313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32823-2023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45109</v>
      </c>
      <c r="E1059" s="1" t="n">
        <v>46313</v>
      </c>
      <c r="F1059" t="inlineStr">
        <is>
          <t>VÄRMLANDS LÄN</t>
        </is>
      </c>
      <c r="G1059" t="inlineStr">
        <is>
          <t>ARVIKA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46253</v>
      </c>
      <c r="E1060" s="1" t="n">
        <v>46313</v>
      </c>
      <c r="F1060" t="inlineStr">
        <is>
          <t>VÄRMLANDS LÄN</t>
        </is>
      </c>
      <c r="G1060" t="inlineStr">
        <is>
          <t>ARVIKA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40648-2026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46296</v>
      </c>
      <c r="E1061" s="1" t="n">
        <v>46313</v>
      </c>
      <c r="F1061" t="inlineStr">
        <is>
          <t>VÄRMLANDS LÄN</t>
        </is>
      </c>
      <c r="G1061" t="inlineStr">
        <is>
          <t>ARVIKA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16558-2025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45751</v>
      </c>
      <c r="E1062" s="1" t="n">
        <v>46313</v>
      </c>
      <c r="F1062" t="inlineStr">
        <is>
          <t>VÄRMLANDS LÄN</t>
        </is>
      </c>
      <c r="G1062" t="inlineStr">
        <is>
          <t>ARVIKA</t>
        </is>
      </c>
      <c r="H1062" t="inlineStr">
        <is>
          <t>Kommuner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17460-2023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45036</v>
      </c>
      <c r="E1063" s="1" t="n">
        <v>46313</v>
      </c>
      <c r="F1063" t="inlineStr">
        <is>
          <t>VÄRMLANDS LÄN</t>
        </is>
      </c>
      <c r="G1063" t="inlineStr">
        <is>
          <t>ARVIKA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62428-2022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44924</v>
      </c>
      <c r="E1064" s="1" t="n">
        <v>46313</v>
      </c>
      <c r="F1064" t="inlineStr">
        <is>
          <t>VÄRMLANDS LÄN</t>
        </is>
      </c>
      <c r="G1064" t="inlineStr">
        <is>
          <t>ARVIKA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7583-2024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45348</v>
      </c>
      <c r="E1065" s="1" t="n">
        <v>46313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10574-2025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45721</v>
      </c>
      <c r="E1066" s="1" t="n">
        <v>46313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35571-2023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45147</v>
      </c>
      <c r="E1067" s="1" t="n">
        <v>46313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7456-2023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44971</v>
      </c>
      <c r="E1068" s="1" t="n">
        <v>46313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12271-2023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44998</v>
      </c>
      <c r="E1069" s="1" t="n">
        <v>46313</v>
      </c>
      <c r="F1069" t="inlineStr">
        <is>
          <t>VÄRMLANDS LÄN</t>
        </is>
      </c>
      <c r="G1069" t="inlineStr">
        <is>
          <t>ARVIKA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34871-2026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46258</v>
      </c>
      <c r="E1070" s="1" t="n">
        <v>46313</v>
      </c>
      <c r="F1070" t="inlineStr">
        <is>
          <t>VÄRMLANDS LÄN</t>
        </is>
      </c>
      <c r="G1070" t="inlineStr">
        <is>
          <t>ARVIKA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21693-2025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45783</v>
      </c>
      <c r="E1071" s="1" t="n">
        <v>46313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21580-2025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45782</v>
      </c>
      <c r="E1072" s="1" t="n">
        <v>46313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37213-2024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45539</v>
      </c>
      <c r="E1073" s="1" t="n">
        <v>46313</v>
      </c>
      <c r="F1073" t="inlineStr">
        <is>
          <t>VÄRMLANDS LÄN</t>
        </is>
      </c>
      <c r="G1073" t="inlineStr">
        <is>
          <t>ARVIKA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34814-2026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46258</v>
      </c>
      <c r="E1074" s="1" t="n">
        <v>46313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34537-2026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46255</v>
      </c>
      <c r="E1075" s="1" t="n">
        <v>46313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21907-2025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45784</v>
      </c>
      <c r="E1076" s="1" t="n">
        <v>46313</v>
      </c>
      <c r="F1076" t="inlineStr">
        <is>
          <t>VÄRMLANDS LÄN</t>
        </is>
      </c>
      <c r="G1076" t="inlineStr">
        <is>
          <t>ARVIKA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9525-2024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45359</v>
      </c>
      <c r="E1077" s="1" t="n">
        <v>46313</v>
      </c>
      <c r="F1077" t="inlineStr">
        <is>
          <t>VÄRMLANDS LÄN</t>
        </is>
      </c>
      <c r="G1077" t="inlineStr">
        <is>
          <t>ARVIKA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22589-2025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45789</v>
      </c>
      <c r="E1078" s="1" t="n">
        <v>46313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41970-2026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46303</v>
      </c>
      <c r="E1079" s="1" t="n">
        <v>46313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20884-2024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45439</v>
      </c>
      <c r="E1080" s="1" t="n">
        <v>46313</v>
      </c>
      <c r="F1080" t="inlineStr">
        <is>
          <t>VÄRMLANDS LÄN</t>
        </is>
      </c>
      <c r="G1080" t="inlineStr">
        <is>
          <t>ARVIKA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35677-2025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45859</v>
      </c>
      <c r="E1081" s="1" t="n">
        <v>46313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34811-2026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46258</v>
      </c>
      <c r="E1082" s="1" t="n">
        <v>46313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34805-2026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46258</v>
      </c>
      <c r="E1083" s="1" t="n">
        <v>46313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8.5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41966-2026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46303</v>
      </c>
      <c r="E1084" s="1" t="n">
        <v>46313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34976-2026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46259</v>
      </c>
      <c r="E1085" s="1" t="n">
        <v>46313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19.3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46259</v>
      </c>
      <c r="E1086" s="1" t="n">
        <v>46313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35010-2026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46259</v>
      </c>
      <c r="E1087" s="1" t="n">
        <v>46313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42378-2026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46307</v>
      </c>
      <c r="E1088" s="1" t="n">
        <v>46313</v>
      </c>
      <c r="F1088" t="inlineStr">
        <is>
          <t>VÄRMLANDS LÄN</t>
        </is>
      </c>
      <c r="G1088" t="inlineStr">
        <is>
          <t>ARVIKA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58538-2023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45251</v>
      </c>
      <c r="E1089" s="1" t="n">
        <v>46313</v>
      </c>
      <c r="F1089" t="inlineStr">
        <is>
          <t>VÄRMLANDS LÄN</t>
        </is>
      </c>
      <c r="G1089" t="inlineStr">
        <is>
          <t>ARVIKA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35375-2026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46261</v>
      </c>
      <c r="E1090" s="1" t="n">
        <v>46313</v>
      </c>
      <c r="F1090" t="inlineStr">
        <is>
          <t>VÄRMLANDS LÄN</t>
        </is>
      </c>
      <c r="G1090" t="inlineStr">
        <is>
          <t>ARVIKA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23267-2024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45453</v>
      </c>
      <c r="E1091" s="1" t="n">
        <v>46313</v>
      </c>
      <c r="F1091" t="inlineStr">
        <is>
          <t>VÄRMLANDS LÄN</t>
        </is>
      </c>
      <c r="G1091" t="inlineStr">
        <is>
          <t>ARVIKA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2605-2025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45674</v>
      </c>
      <c r="E1092" s="1" t="n">
        <v>46313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23939-2025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45796</v>
      </c>
      <c r="E1093" s="1" t="n">
        <v>46313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7.7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9236-2023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46313</v>
      </c>
      <c r="F1094" t="inlineStr">
        <is>
          <t>VÄRMLANDS LÄN</t>
        </is>
      </c>
      <c r="G1094" t="inlineStr">
        <is>
          <t>ARVIKA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58064-2024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45631</v>
      </c>
      <c r="E1095" s="1" t="n">
        <v>46313</v>
      </c>
      <c r="F1095" t="inlineStr">
        <is>
          <t>VÄRMLANDS LÄN</t>
        </is>
      </c>
      <c r="G1095" t="inlineStr">
        <is>
          <t>ARVIKA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3144-2024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45316</v>
      </c>
      <c r="E1096" s="1" t="n">
        <v>46313</v>
      </c>
      <c r="F1096" t="inlineStr">
        <is>
          <t>VÄRMLANDS LÄN</t>
        </is>
      </c>
      <c r="G1096" t="inlineStr">
        <is>
          <t>ARVIKA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21866-2024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45443</v>
      </c>
      <c r="E1097" s="1" t="n">
        <v>46313</v>
      </c>
      <c r="F1097" t="inlineStr">
        <is>
          <t>VÄRMLANDS LÄN</t>
        </is>
      </c>
      <c r="G1097" t="inlineStr">
        <is>
          <t>ARVIKA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35351-2026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46261</v>
      </c>
      <c r="E1098" s="1" t="n">
        <v>46313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45673</v>
      </c>
      <c r="E1099" s="1" t="n">
        <v>46313</v>
      </c>
      <c r="F1099" t="inlineStr">
        <is>
          <t>VÄRMLANDS LÄN</t>
        </is>
      </c>
      <c r="G1099" t="inlineStr">
        <is>
          <t>ARVIKA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55730-2024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45622</v>
      </c>
      <c r="E1100" s="1" t="n">
        <v>46313</v>
      </c>
      <c r="F1100" t="inlineStr">
        <is>
          <t>VÄRMLANDS LÄN</t>
        </is>
      </c>
      <c r="G1100" t="inlineStr">
        <is>
          <t>ARVIKA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42038-2026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46304</v>
      </c>
      <c r="E1101" s="1" t="n">
        <v>46313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45377</v>
      </c>
      <c r="E1102" s="1" t="n">
        <v>46313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48607-2024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45593</v>
      </c>
      <c r="E1103" s="1" t="n">
        <v>46313</v>
      </c>
      <c r="F1103" t="inlineStr">
        <is>
          <t>VÄRMLANDS LÄN</t>
        </is>
      </c>
      <c r="G1103" t="inlineStr">
        <is>
          <t>ARVIKA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21069-2022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44704</v>
      </c>
      <c r="E1104" s="1" t="n">
        <v>46313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20386-2025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45775</v>
      </c>
      <c r="E1105" s="1" t="n">
        <v>46313</v>
      </c>
      <c r="F1105" t="inlineStr">
        <is>
          <t>VÄRMLANDS LÄN</t>
        </is>
      </c>
      <c r="G1105" t="inlineStr">
        <is>
          <t>ARVIKA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31576-2024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45506</v>
      </c>
      <c r="E1106" s="1" t="n">
        <v>46313</v>
      </c>
      <c r="F1106" t="inlineStr">
        <is>
          <t>VÄRMLANDS LÄN</t>
        </is>
      </c>
      <c r="G1106" t="inlineStr">
        <is>
          <t>ARVIKA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42381-2026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46307</v>
      </c>
      <c r="E1107" s="1" t="n">
        <v>46313</v>
      </c>
      <c r="F1107" t="inlineStr">
        <is>
          <t>VÄRMLANDS LÄN</t>
        </is>
      </c>
      <c r="G1107" t="inlineStr">
        <is>
          <t>ARVIKA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25487-2025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45803</v>
      </c>
      <c r="E1108" s="1" t="n">
        <v>46313</v>
      </c>
      <c r="F1108" t="inlineStr">
        <is>
          <t>VÄRMLANDS LÄN</t>
        </is>
      </c>
      <c r="G1108" t="inlineStr">
        <is>
          <t>ARVIKA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42044-2026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46304</v>
      </c>
      <c r="E1109" s="1" t="n">
        <v>46313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25079-2025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46313</v>
      </c>
      <c r="F1110" t="inlineStr">
        <is>
          <t>VÄRMLANDS LÄN</t>
        </is>
      </c>
      <c r="G1110" t="inlineStr">
        <is>
          <t>ARVIKA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35408-2026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46261</v>
      </c>
      <c r="E1111" s="1" t="n">
        <v>46313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33423-2026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46247</v>
      </c>
      <c r="E1112" s="1" t="n">
        <v>46313</v>
      </c>
      <c r="F1112" t="inlineStr">
        <is>
          <t>VÄRMLANDS LÄN</t>
        </is>
      </c>
      <c r="G1112" t="inlineStr">
        <is>
          <t>ARVIKA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46313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5.5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35655-2026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46313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25136-2025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46313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25489-2025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45803</v>
      </c>
      <c r="E1116" s="1" t="n">
        <v>46313</v>
      </c>
      <c r="F1116" t="inlineStr">
        <is>
          <t>VÄRMLANDS LÄN</t>
        </is>
      </c>
      <c r="G1116" t="inlineStr">
        <is>
          <t>ARVIKA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25078-2025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45799</v>
      </c>
      <c r="E1117" s="1" t="n">
        <v>46313</v>
      </c>
      <c r="F1117" t="inlineStr">
        <is>
          <t>VÄRMLANDS LÄN</t>
        </is>
      </c>
      <c r="G1117" t="inlineStr">
        <is>
          <t>ARVIKA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35786-2026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46313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46313</v>
      </c>
      <c r="F1119" t="inlineStr">
        <is>
          <t>VÄRMLANDS LÄN</t>
        </is>
      </c>
      <c r="G1119" t="inlineStr">
        <is>
          <t>ARVIKA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45804</v>
      </c>
      <c r="E1120" s="1" t="n">
        <v>46313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42502-2026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46308</v>
      </c>
      <c r="E1121" s="1" t="n">
        <v>46313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35827-2026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46265</v>
      </c>
      <c r="E1122" s="1" t="n">
        <v>46313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33714-2026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46251</v>
      </c>
      <c r="E1123" s="1" t="n">
        <v>46313</v>
      </c>
      <c r="F1123" t="inlineStr">
        <is>
          <t>VÄRMLANDS LÄN</t>
        </is>
      </c>
      <c r="G1123" t="inlineStr">
        <is>
          <t>ARVIKA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66226-2021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44518</v>
      </c>
      <c r="E1124" s="1" t="n">
        <v>46313</v>
      </c>
      <c r="F1124" t="inlineStr">
        <is>
          <t>VÄRMLANDS LÄN</t>
        </is>
      </c>
      <c r="G1124" t="inlineStr">
        <is>
          <t>ARVIKA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45539</v>
      </c>
      <c r="E1125" s="1" t="n">
        <v>46313</v>
      </c>
      <c r="F1125" t="inlineStr">
        <is>
          <t>VÄRMLANDS LÄN</t>
        </is>
      </c>
      <c r="G1125" t="inlineStr">
        <is>
          <t>ARVIKA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14774-2024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45397</v>
      </c>
      <c r="E1126" s="1" t="n">
        <v>46313</v>
      </c>
      <c r="F1126" t="inlineStr">
        <is>
          <t>VÄRMLANDS LÄN</t>
        </is>
      </c>
      <c r="G1126" t="inlineStr">
        <is>
          <t>ARVIKA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32601-2023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45121</v>
      </c>
      <c r="E1127" s="1" t="n">
        <v>46313</v>
      </c>
      <c r="F1127" t="inlineStr">
        <is>
          <t>VÄRMLANDS LÄN</t>
        </is>
      </c>
      <c r="G1127" t="inlineStr">
        <is>
          <t>ARVIKA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15973-2024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45405</v>
      </c>
      <c r="E1128" s="1" t="n">
        <v>46313</v>
      </c>
      <c r="F1128" t="inlineStr">
        <is>
          <t>VÄRMLANDS LÄN</t>
        </is>
      </c>
      <c r="G1128" t="inlineStr">
        <is>
          <t>ARVIKA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46313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27344-2025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45812</v>
      </c>
      <c r="E1130" s="1" t="n">
        <v>46313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27472-2025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45813</v>
      </c>
      <c r="E1131" s="1" t="n">
        <v>46313</v>
      </c>
      <c r="F1131" t="inlineStr">
        <is>
          <t>VÄRMLANDS LÄN</t>
        </is>
      </c>
      <c r="G1131" t="inlineStr">
        <is>
          <t>ARVIKA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8154-2025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45708</v>
      </c>
      <c r="E1132" s="1" t="n">
        <v>46313</v>
      </c>
      <c r="F1132" t="inlineStr">
        <is>
          <t>VÄRMLANDS LÄN</t>
        </is>
      </c>
      <c r="G1132" t="inlineStr">
        <is>
          <t>ARVIKA</t>
        </is>
      </c>
      <c r="I1132" t="n">
        <v>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27328-2025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45812</v>
      </c>
      <c r="E1133" s="1" t="n">
        <v>46313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46313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26.7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8598-2025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45709</v>
      </c>
      <c r="E1135" s="1" t="n">
        <v>46313</v>
      </c>
      <c r="F1135" t="inlineStr">
        <is>
          <t>VÄRMLANDS LÄN</t>
        </is>
      </c>
      <c r="G1135" t="inlineStr">
        <is>
          <t>ARVIKA</t>
        </is>
      </c>
      <c r="I1135" t="n">
        <v>14.1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57348-2024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45629</v>
      </c>
      <c r="E1136" s="1" t="n">
        <v>46313</v>
      </c>
      <c r="F1136" t="inlineStr">
        <is>
          <t>VÄRMLANDS LÄN</t>
        </is>
      </c>
      <c r="G1136" t="inlineStr">
        <is>
          <t>ARVIKA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20735-2025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45776</v>
      </c>
      <c r="E1137" s="1" t="n">
        <v>46313</v>
      </c>
      <c r="F1137" t="inlineStr">
        <is>
          <t>VÄRMLANDS LÄN</t>
        </is>
      </c>
      <c r="G1137" t="inlineStr">
        <is>
          <t>ARVIKA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27939-2025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45817</v>
      </c>
      <c r="E1138" s="1" t="n">
        <v>46313</v>
      </c>
      <c r="F1138" t="inlineStr">
        <is>
          <t>VÄRMLANDS LÄN</t>
        </is>
      </c>
      <c r="G1138" t="inlineStr">
        <is>
          <t>ARVIKA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36541-2026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46269</v>
      </c>
      <c r="E1139" s="1" t="n">
        <v>46313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36497-2026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46269</v>
      </c>
      <c r="E1140" s="1" t="n">
        <v>46313</v>
      </c>
      <c r="F1140" t="inlineStr">
        <is>
          <t>VÄRMLANDS LÄN</t>
        </is>
      </c>
      <c r="G1140" t="inlineStr">
        <is>
          <t>ARVIKA</t>
        </is>
      </c>
      <c r="I1140" t="n">
        <v>9.6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27709-2025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45813</v>
      </c>
      <c r="E1141" s="1" t="n">
        <v>46313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28574-2025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45819</v>
      </c>
      <c r="E1142" s="1" t="n">
        <v>46313</v>
      </c>
      <c r="F1142" t="inlineStr">
        <is>
          <t>VÄRMLANDS LÄN</t>
        </is>
      </c>
      <c r="G1142" t="inlineStr">
        <is>
          <t>ARVIKA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28412-2025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45819</v>
      </c>
      <c r="E1143" s="1" t="n">
        <v>46313</v>
      </c>
      <c r="F1143" t="inlineStr">
        <is>
          <t>VÄRMLANDS LÄN</t>
        </is>
      </c>
      <c r="G1143" t="inlineStr">
        <is>
          <t>ARVIKA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28964-2025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45821</v>
      </c>
      <c r="E1144" s="1" t="n">
        <v>46313</v>
      </c>
      <c r="F1144" t="inlineStr">
        <is>
          <t>VÄRMLANDS LÄN</t>
        </is>
      </c>
      <c r="G1144" t="inlineStr">
        <is>
          <t>ARVIKA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29137-2025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45821</v>
      </c>
      <c r="E1145" s="1" t="n">
        <v>46313</v>
      </c>
      <c r="F1145" t="inlineStr">
        <is>
          <t>VÄRMLANDS LÄN</t>
        </is>
      </c>
      <c r="G1145" t="inlineStr">
        <is>
          <t>ARVIKA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22162-2025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45785</v>
      </c>
      <c r="E1146" s="1" t="n">
        <v>46313</v>
      </c>
      <c r="F1146" t="inlineStr">
        <is>
          <t>VÄRMLANDS LÄN</t>
        </is>
      </c>
      <c r="G1146" t="inlineStr">
        <is>
          <t>ARVIKA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36469-2026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46269</v>
      </c>
      <c r="E1147" s="1" t="n">
        <v>46313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29501-2025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45825</v>
      </c>
      <c r="E1148" s="1" t="n">
        <v>46313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7.8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29610-2025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45825</v>
      </c>
      <c r="E1149" s="1" t="n">
        <v>46313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36256-2026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46268</v>
      </c>
      <c r="E1150" s="1" t="n">
        <v>46313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46310</v>
      </c>
      <c r="E1151" s="1" t="n">
        <v>46313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6.4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30003-2025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45826</v>
      </c>
      <c r="E1152" s="1" t="n">
        <v>46313</v>
      </c>
      <c r="F1152" t="inlineStr">
        <is>
          <t>VÄRMLANDS LÄN</t>
        </is>
      </c>
      <c r="G1152" t="inlineStr">
        <is>
          <t>ARVIKA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45831</v>
      </c>
      <c r="E1153" s="1" t="n">
        <v>46313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22.5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31331-2025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45833</v>
      </c>
      <c r="E1154" s="1" t="n">
        <v>46313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31372-2025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45833</v>
      </c>
      <c r="E1155" s="1" t="n">
        <v>46313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31415-2025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45833</v>
      </c>
      <c r="E1156" s="1" t="n">
        <v>46313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7.6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31442-2025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46313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31952-2025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45835</v>
      </c>
      <c r="E1158" s="1" t="n">
        <v>46313</v>
      </c>
      <c r="F1158" t="inlineStr">
        <is>
          <t>VÄRMLANDS LÄN</t>
        </is>
      </c>
      <c r="G1158" t="inlineStr">
        <is>
          <t>ARVIKA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31689-2025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45834</v>
      </c>
      <c r="E1159" s="1" t="n">
        <v>46313</v>
      </c>
      <c r="F1159" t="inlineStr">
        <is>
          <t>VÄRMLANDS LÄN</t>
        </is>
      </c>
      <c r="G1159" t="inlineStr">
        <is>
          <t>ARVIKA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32079-2025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45835</v>
      </c>
      <c r="E1160" s="1" t="n">
        <v>46313</v>
      </c>
      <c r="F1160" t="inlineStr">
        <is>
          <t>VÄRMLANDS LÄN</t>
        </is>
      </c>
      <c r="G1160" t="inlineStr">
        <is>
          <t>ARVIKA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31969-2025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45835</v>
      </c>
      <c r="E1161" s="1" t="n">
        <v>46313</v>
      </c>
      <c r="F1161" t="inlineStr">
        <is>
          <t>VÄRMLANDS LÄN</t>
        </is>
      </c>
      <c r="G1161" t="inlineStr">
        <is>
          <t>ARVIKA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32515-2025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45838</v>
      </c>
      <c r="E1162" s="1" t="n">
        <v>46313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32530-2025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45838</v>
      </c>
      <c r="E1163" s="1" t="n">
        <v>46313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32453-2025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46313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4.4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33575-2025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45841</v>
      </c>
      <c r="E1165" s="1" t="n">
        <v>46313</v>
      </c>
      <c r="F1165" t="inlineStr">
        <is>
          <t>VÄRMLANDS LÄN</t>
        </is>
      </c>
      <c r="G1165" t="inlineStr">
        <is>
          <t>ARVIKA</t>
        </is>
      </c>
      <c r="I1165" t="n">
        <v>14.3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33521-2025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45841</v>
      </c>
      <c r="E1166" s="1" t="n">
        <v>46313</v>
      </c>
      <c r="F1166" t="inlineStr">
        <is>
          <t>VÄRMLANDS LÄN</t>
        </is>
      </c>
      <c r="G1166" t="inlineStr">
        <is>
          <t>ARVIKA</t>
        </is>
      </c>
      <c r="I1166" t="n">
        <v>7.3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33961-2025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45842</v>
      </c>
      <c r="E1167" s="1" t="n">
        <v>46313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34316-2025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45846</v>
      </c>
      <c r="E1168" s="1" t="n">
        <v>46313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3590-2025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46313</v>
      </c>
      <c r="F1169" t="inlineStr">
        <is>
          <t>VÄRMLANDS LÄN</t>
        </is>
      </c>
      <c r="G1169" t="inlineStr">
        <is>
          <t>ARVIKA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22041-2025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45785</v>
      </c>
      <c r="E1170" s="1" t="n">
        <v>46313</v>
      </c>
      <c r="F1170" t="inlineStr">
        <is>
          <t>VÄRMLANDS LÄN</t>
        </is>
      </c>
      <c r="G1170" t="inlineStr">
        <is>
          <t>ARVIKA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34369-2025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46313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34285-2025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45846</v>
      </c>
      <c r="E1172" s="1" t="n">
        <v>46313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34284-2025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45846</v>
      </c>
      <c r="E1173" s="1" t="n">
        <v>46313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29615-2025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45825</v>
      </c>
      <c r="E1174" s="1" t="n">
        <v>46313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35395-2025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45855</v>
      </c>
      <c r="E1175" s="1" t="n">
        <v>46313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45854</v>
      </c>
      <c r="E1176" s="1" t="n">
        <v>46313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45538</v>
      </c>
      <c r="E1177" s="1" t="n">
        <v>46313</v>
      </c>
      <c r="F1177" t="inlineStr">
        <is>
          <t>VÄRMLANDS LÄN</t>
        </is>
      </c>
      <c r="G1177" t="inlineStr">
        <is>
          <t>ARVIKA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35571-2025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45856</v>
      </c>
      <c r="E1178" s="1" t="n">
        <v>46313</v>
      </c>
      <c r="F1178" t="inlineStr">
        <is>
          <t>VÄRMLANDS LÄN</t>
        </is>
      </c>
      <c r="G1178" t="inlineStr">
        <is>
          <t>ARVIKA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14478-2025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45741</v>
      </c>
      <c r="E1179" s="1" t="n">
        <v>46313</v>
      </c>
      <c r="F1179" t="inlineStr">
        <is>
          <t>VÄRMLANDS LÄN</t>
        </is>
      </c>
      <c r="G1179" t="inlineStr">
        <is>
          <t>ARVIKA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35676-2025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45859</v>
      </c>
      <c r="E1180" s="1" t="n">
        <v>46313</v>
      </c>
      <c r="F1180" t="inlineStr">
        <is>
          <t>VÄRMLANDS LÄN</t>
        </is>
      </c>
      <c r="G1180" t="inlineStr">
        <is>
          <t>ARVIKA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35818-2025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45861</v>
      </c>
      <c r="E1181" s="1" t="n">
        <v>46313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5072-2025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45691</v>
      </c>
      <c r="E1182" s="1" t="n">
        <v>46313</v>
      </c>
      <c r="F1182" t="inlineStr">
        <is>
          <t>VÄRMLANDS LÄN</t>
        </is>
      </c>
      <c r="G1182" t="inlineStr">
        <is>
          <t>ARVIKA</t>
        </is>
      </c>
      <c r="I1182" t="n">
        <v>3.3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36042-2025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45866</v>
      </c>
      <c r="E1183" s="1" t="n">
        <v>46313</v>
      </c>
      <c r="F1183" t="inlineStr">
        <is>
          <t>VÄRMLANDS LÄN</t>
        </is>
      </c>
      <c r="G1183" t="inlineStr">
        <is>
          <t>ARVIKA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17142-2025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45755</v>
      </c>
      <c r="E1184" s="1" t="n">
        <v>46313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36466-2025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45869</v>
      </c>
      <c r="E1185" s="1" t="n">
        <v>46313</v>
      </c>
      <c r="F1185" t="inlineStr">
        <is>
          <t>VÄRMLANDS LÄN</t>
        </is>
      </c>
      <c r="G1185" t="inlineStr">
        <is>
          <t>ARVIKA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46313</v>
      </c>
      <c r="F1186" t="inlineStr">
        <is>
          <t>VÄRMLANDS LÄN</t>
        </is>
      </c>
      <c r="G1186" t="inlineStr">
        <is>
          <t>ARVIKA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36431-2025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45869</v>
      </c>
      <c r="E1187" s="1" t="n">
        <v>46313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10.2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37029-2025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45874</v>
      </c>
      <c r="E1188" s="1" t="n">
        <v>46313</v>
      </c>
      <c r="F1188" t="inlineStr">
        <is>
          <t>VÄRMLANDS LÄN</t>
        </is>
      </c>
      <c r="G1188" t="inlineStr">
        <is>
          <t>ARVIKA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37030-2025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45874</v>
      </c>
      <c r="E1189" s="1" t="n">
        <v>46313</v>
      </c>
      <c r="F1189" t="inlineStr">
        <is>
          <t>VÄRMLANDS LÄN</t>
        </is>
      </c>
      <c r="G1189" t="inlineStr">
        <is>
          <t>ARVIKA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37031-2025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45874</v>
      </c>
      <c r="E1190" s="1" t="n">
        <v>46313</v>
      </c>
      <c r="F1190" t="inlineStr">
        <is>
          <t>VÄRMLANDS LÄN</t>
        </is>
      </c>
      <c r="G1190" t="inlineStr">
        <is>
          <t>ARVIKA</t>
        </is>
      </c>
      <c r="I1190" t="n">
        <v>12.4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36852-2025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45874</v>
      </c>
      <c r="E1191" s="1" t="n">
        <v>46313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37399-2025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45877</v>
      </c>
      <c r="E1192" s="1" t="n">
        <v>46313</v>
      </c>
      <c r="F1192" t="inlineStr">
        <is>
          <t>VÄRMLANDS LÄN</t>
        </is>
      </c>
      <c r="G1192" t="inlineStr">
        <is>
          <t>ARVIKA</t>
        </is>
      </c>
      <c r="I1192" t="n">
        <v>4.1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13399-2022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44645</v>
      </c>
      <c r="E1193" s="1" t="n">
        <v>46313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18269-2025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45762</v>
      </c>
      <c r="E1194" s="1" t="n">
        <v>46313</v>
      </c>
      <c r="F1194" t="inlineStr">
        <is>
          <t>VÄRMLANDS LÄN</t>
        </is>
      </c>
      <c r="G1194" t="inlineStr">
        <is>
          <t>ARVIKA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37838-2025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45881</v>
      </c>
      <c r="E1195" s="1" t="n">
        <v>46313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37836-2025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45881</v>
      </c>
      <c r="E1196" s="1" t="n">
        <v>46313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38311-2025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45883</v>
      </c>
      <c r="E1197" s="1" t="n">
        <v>46313</v>
      </c>
      <c r="F1197" t="inlineStr">
        <is>
          <t>VÄRMLANDS LÄN</t>
        </is>
      </c>
      <c r="G1197" t="inlineStr">
        <is>
          <t>ARVIKA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46313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2622-2020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44147</v>
      </c>
      <c r="E1199" s="1" t="n">
        <v>46313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46313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46313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665-2021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44279</v>
      </c>
      <c r="E1202" s="1" t="n">
        <v>46313</v>
      </c>
      <c r="F1202" t="inlineStr">
        <is>
          <t>VÄRMLANDS LÄN</t>
        </is>
      </c>
      <c r="G1202" t="inlineStr">
        <is>
          <t>ARVIKA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46313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46313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46313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46313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328-2022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10233-2021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46313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10210-2021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46313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10226-2021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46313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10215-2021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46313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46313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46313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46313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298-2022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46313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7131-2022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44911</v>
      </c>
      <c r="E1216" s="1" t="n">
        <v>46313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26.4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46313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6811-2022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44893</v>
      </c>
      <c r="E1218" s="1" t="n">
        <v>46313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14.2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46313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35.1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10207-2021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46313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18.2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293-2022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46313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6.1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46313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46313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317-2022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46313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327-2022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44579</v>
      </c>
      <c r="E1225" s="1" t="n">
        <v>46313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28.7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46313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46313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46313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46313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46313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46313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2026-10-18T08:06:58Z</dcterms:created>
  <dcterms:modified xmlns:dcterms="http://purl.org/dc/terms/" xmlns:xsi="http://www.w3.org/2001/XMLSchema-instance" xsi:type="dcterms:W3CDTF">2026-10-18T08:06:59Z</dcterms:modified>
</cp:coreProperties>
</file>