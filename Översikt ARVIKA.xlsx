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45728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45728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45728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45728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45728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45728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45728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45728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45728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45728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45728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45728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45728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45728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45728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45728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45728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45728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45728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45728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45728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45728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45728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45728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45728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45728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45728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45728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45728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45728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45728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45728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45728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45728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45728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45728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45728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45728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45728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45728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45728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45728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45728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45728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45728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45728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45728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45728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45728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45728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45728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45728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45728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45728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45728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45728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45728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45728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45728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45728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45728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45728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45728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45728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45728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45728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45728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45728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45728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45728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45728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45728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45728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45728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45728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45728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45728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45728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45728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45728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45728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45728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45728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45728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9060-2025</t>
        </is>
      </c>
      <c r="B96" s="1" t="n">
        <v>45713</v>
      </c>
      <c r="C96" s="1" t="n">
        <v>45728</v>
      </c>
      <c r="D96" t="inlineStr">
        <is>
          <t>VÄRMLANDS LÄN</t>
        </is>
      </c>
      <c r="E96" t="inlineStr">
        <is>
          <t>ARVIKA</t>
        </is>
      </c>
      <c r="G96" t="n">
        <v>5.8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HYPERLINK("https://klasma.github.io/Logging_1784/artfynd/A 9060-2025 artfynd.xlsx", "A 9060-2025")</f>
        <v/>
      </c>
      <c r="T96">
        <f>HYPERLINK("https://klasma.github.io/Logging_1784/kartor/A 9060-2025 karta.png", "A 9060-2025")</f>
        <v/>
      </c>
      <c r="V96">
        <f>HYPERLINK("https://klasma.github.io/Logging_1784/klagomål/A 9060-2025 FSC-klagomål.docx", "A 9060-2025")</f>
        <v/>
      </c>
      <c r="W96">
        <f>HYPERLINK("https://klasma.github.io/Logging_1784/klagomålsmail/A 9060-2025 FSC-klagomål mail.docx", "A 9060-2025")</f>
        <v/>
      </c>
      <c r="X96">
        <f>HYPERLINK("https://klasma.github.io/Logging_1784/tillsyn/A 9060-2025 tillsynsbegäran.docx", "A 9060-2025")</f>
        <v/>
      </c>
      <c r="Y96">
        <f>HYPERLINK("https://klasma.github.io/Logging_1784/tillsynsmail/A 9060-2025 tillsynsbegäran mail.docx", "A 9060-2025")</f>
        <v/>
      </c>
      <c r="Z96">
        <f>HYPERLINK("https://klasma.github.io/Logging_1784/fåglar/A 9060-2025 prioriterade fågelarter.docx", "A 9060-2025")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45728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45728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45728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45728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45728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45728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45728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45728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45728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45728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45728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45728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45728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45728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45728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45728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45728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45728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45728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45728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45728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45728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45728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45728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45728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45728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45728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45728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45728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45728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45728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45728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45728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45728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45728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45728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45728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45728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45728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45728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45728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45728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45728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45728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45728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45728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45728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45728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45728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45728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45728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45728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45728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45728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45728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45728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45728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45728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45728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45728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45728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45728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45728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45728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45728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45728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45728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45728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45728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45728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45728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45728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45728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45728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45728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45728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45728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45728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45728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45728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45728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45728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45728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45728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45728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45728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45728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45728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45728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45728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45728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45728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45728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45728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45728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45728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45728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45728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45728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45728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45728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45728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45728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45728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45728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45728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45728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45728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45728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45728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45728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45728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45728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45728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45728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45728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45728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45728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45728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45728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45728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45728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45728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45728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45728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45728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45728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45728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45728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45728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45728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45728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45728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45728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45728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45728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45728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45728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45728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45728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45728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45728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45728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45728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45728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45728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45728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45728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45728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45728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45728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45728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45728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45728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45728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45728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45728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45728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45728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45728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45728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45728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45728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45728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45728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45728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45728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45728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45728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45728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45728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45728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45728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45728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45728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45728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45728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45728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45728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45728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45728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45728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45728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45728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45728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45728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45728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45728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45728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45728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45728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45728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45728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45728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45728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45728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45728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45728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45728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45728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45728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45728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45728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45728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45728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45728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45728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45728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45728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45728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45728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45728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45728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45728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45728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45728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45728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45728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45728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45728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45728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45728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45728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45728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45728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45728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45728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45728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45728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45728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45728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45728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45728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45728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45728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45728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45728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45728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45728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45728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45728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45728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45728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45728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45728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45728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45728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45728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45728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45728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45728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45728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45728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45728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45728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45728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45728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45728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45728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45728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45728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45728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45728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45728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45728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45728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45728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45728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45728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45728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45728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45728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45728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45728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45728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45728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45728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45728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45728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45728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45728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45728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45728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45728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45728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45728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45728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45728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45728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45728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45728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45728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45728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45728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45728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45728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45728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45728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45728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45728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45728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45728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45728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45728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45728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45728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45728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45728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45728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45728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45728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45728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45728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45728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45728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45728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45728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45728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45728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45728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45728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45728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45728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45728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45728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45728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45728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45728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45728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45728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45728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45728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45728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45728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45728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45728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45728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45728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45728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45728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45728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45728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45728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45728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45728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45728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45728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45728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45728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45728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45728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45728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45728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45728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45728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45728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45728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45728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45728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45728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45728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45728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45728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45728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45728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45728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45728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45728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45728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45728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45728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45728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45728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45728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45728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45728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45728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45728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45728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45728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45728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45728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45728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45728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45728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45728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45728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45728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45728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45728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45728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45728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45728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45728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45728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45728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45728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45728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45728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45728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45728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45728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45728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45728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45728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45728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45728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45728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45728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45728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45728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45728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45728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45728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45728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45728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45728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45728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45728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45728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45728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45728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45728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45728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45728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45728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45728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45728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45728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45728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45728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45728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45728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45728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45728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45728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45728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45728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45728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45728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45728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45728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45728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45728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45728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45728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45728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45728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45728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45728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45728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45728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45728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45728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45728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45728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45728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45728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45728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45728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45728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45728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45728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45728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45728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45728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45728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45728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45728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45728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45728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45728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45728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45728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45728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45728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45728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45728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45728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45728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45728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45728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45728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45728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45728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45728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45728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45728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45728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45728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45728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45728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45728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45728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45728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45728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45728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45728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45728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45728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45728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45728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45728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45728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45728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45728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45728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45728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45728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45728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45728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45728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45728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45728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45728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45728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45728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45728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45728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45728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45728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45728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45728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45728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45728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45728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45728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45728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45728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45728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45728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45728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45728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45728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45728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45728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45728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45728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45728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45728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45728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45728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45728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45728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45728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45728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45728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45728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45728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45728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45728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45728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45728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45728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45728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45728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45728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45728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45728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45728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45728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45728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45728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45728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45728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45728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45728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45728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45728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45728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45728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45728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45728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45728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45728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45728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45728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45728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45728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45728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45728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45728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45728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45728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45728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45728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45728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45728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45728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45728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45728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45728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45728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45728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45728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45728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45728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45728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45728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45728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45728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45728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45728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45728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45728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45728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45728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45728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45728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45728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45728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45728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45728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45728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45728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45728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45728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45728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45728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45728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45728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45728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45728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45728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45728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45728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45728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45728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45728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45728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45728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45728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45728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45728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45728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45728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45728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45728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45728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45728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45728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45728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45728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45728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45728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45728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45728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45728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45728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45728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45728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45728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45728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45728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45728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45728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45728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45728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45728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45728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45728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45728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45728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45728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45728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45728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45728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45728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45728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45728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45728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45728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45728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45728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45728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45728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45728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45728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45728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45728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45728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45728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45728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45728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45728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45728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45728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45728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45728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45728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45728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45728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45728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45728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45728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45728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45728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45728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45728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45728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45728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45728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45728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45728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45728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45728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45728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45728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45728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45728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45728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45728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45728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45728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45728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45728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45728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45728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45728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45728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45728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45728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45728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45728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45728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45728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45728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45728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45728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45728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45728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45728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45728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45728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45728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45728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45728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45728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45728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45728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45728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45728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45728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45728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45728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45728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45728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45728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45728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45728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45728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45728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45728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45728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45728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45728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45728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45728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45728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45728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45728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45728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45728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45728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45728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45728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45728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45728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45728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45728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45728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45728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45728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45728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45728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45728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45728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45728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45728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45728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45728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45728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45728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45728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45728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45728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45728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45728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45728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45728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45728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45728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45728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45728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45728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45728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45728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45728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45728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45728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45728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45728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45728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45728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45728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45728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45728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45728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45728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45728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45728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45728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45728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45728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45728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45728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45728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45728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45728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45728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45728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45728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45728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45728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45728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45728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45728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45728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45728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45728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45728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45728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45728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45728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45728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45728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45728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45728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45728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45728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45728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45728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45728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45728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45728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45728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45728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45728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45728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45728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45728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45728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45728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45728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45728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45728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45728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45728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45728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45728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45728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45728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45728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45728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45728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45728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45728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45728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45728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45728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45728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45728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45728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45728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45728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45728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45728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45728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45728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45728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45728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45728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45728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45728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45728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45728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45728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45728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45728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45728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45728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45728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45728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45728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45728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45728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45728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45728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45728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45728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45728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45728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45728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45728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45728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45728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45728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45728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45728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45728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45728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45728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45728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45728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45728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45728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45728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45728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45728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45728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45728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45728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45728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45728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45728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45728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45728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45728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45728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45728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45728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45728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45728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45728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45728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45728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45728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45728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45728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45728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45728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45728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45728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45728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45728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45728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45728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45728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45728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45728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45728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45728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45728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45728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45728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45728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45728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45728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45728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45728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45728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45728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45728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45728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45728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45728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45728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45728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45728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45728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45728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45728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45728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45728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45728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45728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45728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45728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45728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45728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45728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45728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45728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45728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45728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45728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45728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45728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45728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45728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45728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45728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45728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45728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45728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45728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45728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45728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45728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45728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45728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45728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45728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45728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45728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45728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45728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45728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45728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45728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45728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45728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45728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45728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45728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45728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45728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45728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45728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45728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45728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45728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45728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45728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45728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45728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45728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45728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45728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45728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45728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45728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45728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45728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45728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45728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45728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45728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45728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45728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45728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45728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45728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45728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45728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45728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45728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45728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45728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45728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45728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45728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45728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45728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45728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45728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45728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45728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45728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45728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45728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45728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45728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45728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45728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45728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45728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45728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45728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45728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45728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45728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45728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45728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45728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45728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45728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45728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45728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45728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45728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45728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45728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45728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45728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45728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45728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45728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45728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45728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45728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45728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45728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45728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45728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45728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45728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45728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45728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45728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45728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45728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45728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45728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45728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45728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45728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45728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45728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45728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45728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45728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45728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45728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45728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45728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45728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45728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45728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45728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45728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45728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45728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45728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45728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45728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45728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45728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45728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45728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45728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45728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45728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45728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45728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45728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45728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45728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45728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45728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45728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45728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45728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45728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45728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45728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45728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45728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45728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45728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45728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45728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45728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45728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45728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45728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45728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45728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45728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45728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45728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45728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45728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45728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45728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45728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45728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45728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45728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45728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45728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45728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45728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45728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45728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45728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45728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45728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45728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45728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45728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45728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45728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45728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45728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45728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45728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45728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45728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45728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45728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45728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45728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45728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45728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45728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45728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45728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45728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45728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45728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45728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45728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45728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45728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45728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45728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45728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45728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45728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45728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45728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45728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45728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45728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45728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45728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45728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45728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45728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45728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45728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45728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45728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45728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45728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45728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45728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45728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45728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45728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45728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45728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45728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45728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45728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45728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45728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45728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45728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45728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45728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45728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45728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45728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45728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45728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45728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45728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45728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45728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45728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45728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45728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45728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45728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45728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45728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45728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45728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45728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45728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45728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45728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45728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45728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45728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45728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45728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45728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45728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45728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45728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45728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45728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45728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45728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45728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45728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45728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45728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45728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45728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45728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45728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45728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45728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45728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45728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45728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45728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45728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45728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45728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45728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45728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45728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45728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45728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45728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45728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45728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45728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45728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45728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45728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45728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45728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45728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45728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45728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45728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45728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45728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45728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45728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45728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45728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45728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45728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45728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45728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45728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45728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45728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45728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45728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45728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45728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45728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45728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45728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45728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45728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45728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45728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45728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45728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45728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45728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45728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45728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45728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45728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45728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45728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45728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45728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45728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45728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45728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45728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45728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45728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45728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45728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45728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45728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45728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45728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45728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45728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45728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45728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45728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45728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45728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45728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45728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45728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45728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45728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45728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45728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45728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45728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45728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45728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45728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45728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45728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45728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45728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45728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45728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45728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45728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45728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45728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45728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45728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45728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45728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45728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45728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45728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45728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45728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45728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45728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45728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45728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45728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45728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45728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45728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45728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45728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45728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45728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45728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45728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45728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45728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45728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45728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45728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45728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45728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45728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45728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45728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45728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45728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45728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45728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45728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45728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45728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45728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45728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45728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45728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45728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45728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45728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45728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45728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45728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45728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45728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45728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45728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45728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45728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45728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45728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45728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45728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45728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45728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45728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45728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45728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45728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45728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45728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45728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45728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45728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45728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45728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45728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45728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45728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45728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45728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45728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45728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45728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45728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45728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45728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45728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45728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45728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45728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45728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45728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45728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45728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45728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45728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45728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45728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45728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45728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45728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45728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45728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45728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45728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45728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45728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45728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45728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45728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45728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45728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45728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45728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45728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45728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45728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45728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45728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45728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45728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45728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45728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45728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45728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45728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45728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45728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45728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45728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45728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45728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45728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45728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45728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45728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45728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45728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45728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45728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45728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45728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45728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45728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45728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45728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45728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45728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45728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45728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45728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45728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45728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45728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45728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45728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45728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45728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45728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45728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45728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45728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45728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45728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45728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45728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45728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45728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45728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45728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45728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45728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45728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45728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45728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45728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45728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45728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45728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45728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45728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45728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45728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45728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45728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45728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45728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45728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45728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45728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45728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45728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45728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45728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45728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45728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45728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45728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45728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45728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45728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45728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45728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45728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45728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45728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45728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45728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45728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45728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45728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45728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45728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45728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45728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45728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45728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45728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45728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45728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45728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45728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45728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45728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45728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45728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45728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45728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45728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45728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45728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45728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45728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45728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45728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45728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45728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45728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45728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45728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45728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45728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45728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45728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45728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45728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45728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45728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45728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45728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45728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45728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45728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45728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45728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45728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45728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45728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45728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45728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45728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45728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45728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45728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45728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45728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45728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45728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45728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45728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45728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45728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45728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45728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45728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45728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45728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45728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45728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45728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45728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45728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45728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45728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45728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45728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45728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45728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45728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45728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45728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45728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45728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45728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45728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45728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45728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45728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45728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45728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45728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45728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45728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45728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45728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45728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45728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45728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45728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45728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45728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45728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45728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45728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45728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45728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45728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45728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45728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45728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45728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45728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45728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45728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45728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45728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45728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45728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45728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45728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45728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45728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45728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45728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45728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45728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45728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45728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45728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45728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45728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45728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45728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45728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45728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45728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45728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45728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45728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45728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45728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45728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45728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45728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45728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45728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45728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45728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45728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45728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45728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45728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45728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45728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45728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45728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45728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45728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45728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45728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45728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45728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45728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45728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45728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45728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45728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45728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45728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45728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45728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45728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45728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45728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45728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45728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45728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45728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45728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45728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45728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45728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45728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45728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45728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45728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45728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45728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45728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45728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45728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45728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45728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45728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45728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45728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45728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45728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45728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45728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45728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45728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45728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45728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45728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45728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45728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45728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45728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45728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45728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45728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45728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45728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45728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45728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45728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45728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45728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45728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45728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45728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45728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45728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45728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45728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45728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45728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45728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45728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45728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45728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45728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45728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45728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45728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45728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45728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45728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45728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45728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45728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45728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45728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45728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45728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45728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45728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45728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45728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45728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45728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45728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45728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45728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45728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45728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45728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45728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45728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45728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45728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45728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45728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45728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45728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45728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45728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45728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45728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45728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45728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45728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45728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45728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45728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45728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45728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45728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45728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45728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45728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45728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45728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45728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45728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45728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45728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45728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45728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45728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45728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45728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45728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45728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45728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45728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45728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45728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45728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45728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45728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45728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45728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45728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45728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45728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45728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45728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45728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45728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45728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45728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45728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45728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45728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45728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45728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45728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45728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45728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45728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45728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45728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45728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45728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45728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45728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45728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45728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45728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45728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45728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45728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45728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45728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45728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45728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45728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45728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45728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45728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45728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45728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45728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45728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45728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45728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45728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45728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45728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45728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45728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45728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45728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45728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45728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45728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45728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45728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45728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45728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45728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45728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45728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45728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45728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45728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45728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45728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45728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45728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45728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45728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45728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45728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45728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45728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45728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45728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45728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45728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45728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45728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45728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45728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45728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45728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45728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45728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45728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45728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45728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45728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45728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45728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45728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45728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45728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45728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45728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45728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45728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45728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45728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45728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45728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45728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45728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45728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45728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45728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45728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45728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45728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45728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45728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45728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45728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45728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45728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45728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45728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45728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45728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45728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45728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45728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45728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45728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45728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45728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45728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45728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45728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45728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45728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45728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45728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45728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45728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45728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45728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45728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45728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45728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45728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45728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45728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45728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45728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45728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45728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45728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45728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45728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45728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45728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45728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45728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45728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45728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45728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45728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45728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45728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45728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45728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45728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45728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45728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45728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45728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45728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45728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45728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45728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45728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45728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45728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45728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45728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45728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45728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45728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45728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45728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45728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45728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45728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45728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45728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45728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45728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45728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45728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45728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45728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45728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45728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45728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45728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45728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45728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45728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45728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45728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45728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45728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45728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45728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45728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45728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45728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45728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45728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45728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45728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45728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45728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45728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45728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45728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45728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45728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45728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45728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45728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45728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45728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45728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45728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45728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45728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45728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45728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45728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45728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45728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45728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45728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45728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45728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45728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45728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45728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45728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45728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45728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45728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45728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45728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45728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45728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45728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45728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45728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45728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45728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45728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45728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45728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45728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45728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45728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45728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45728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45728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45728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45728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45728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45728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45728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45728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45728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45728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45728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45728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45728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7717-2025</t>
        </is>
      </c>
      <c r="B2273" s="1" t="n">
        <v>45706</v>
      </c>
      <c r="C2273" s="1" t="n">
        <v>45728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7685-2025</t>
        </is>
      </c>
      <c r="B2274" s="1" t="n">
        <v>45706</v>
      </c>
      <c r="C2274" s="1" t="n">
        <v>45728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45728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45728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45728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45728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45728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45728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7980-2025</t>
        </is>
      </c>
      <c r="B2281" s="1" t="n">
        <v>45707</v>
      </c>
      <c r="C2281" s="1" t="n">
        <v>45728</v>
      </c>
      <c r="D2281" t="inlineStr">
        <is>
          <t>VÄRMLANDS LÄN</t>
        </is>
      </c>
      <c r="E2281" t="inlineStr">
        <is>
          <t>ARVIKA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8061-2025</t>
        </is>
      </c>
      <c r="B2282" s="1" t="n">
        <v>45707</v>
      </c>
      <c r="C2282" s="1" t="n">
        <v>45728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45728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45728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45728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45728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45728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45728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45728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45728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45728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45728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9721-2025</t>
        </is>
      </c>
      <c r="B2293" s="1" t="n">
        <v>45716</v>
      </c>
      <c r="C2293" s="1" t="n">
        <v>45728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45728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45728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9690-2025</t>
        </is>
      </c>
      <c r="B2296" s="1" t="n">
        <v>45716</v>
      </c>
      <c r="C2296" s="1" t="n">
        <v>45728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45728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45728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10316-2025</t>
        </is>
      </c>
      <c r="B2299" s="1" t="n">
        <v>45720</v>
      </c>
      <c r="C2299" s="1" t="n">
        <v>45728</v>
      </c>
      <c r="D2299" t="inlineStr">
        <is>
          <t>VÄRMLANDS LÄN</t>
        </is>
      </c>
      <c r="E2299" t="inlineStr">
        <is>
          <t>ARVIKA</t>
        </is>
      </c>
      <c r="G2299" t="n">
        <v>7.5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45728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10249-2025</t>
        </is>
      </c>
      <c r="B2301" s="1" t="n">
        <v>45720</v>
      </c>
      <c r="C2301" s="1" t="n">
        <v>45728</v>
      </c>
      <c r="D2301" t="inlineStr">
        <is>
          <t>VÄRMLANDS LÄN</t>
        </is>
      </c>
      <c r="E2301" t="inlineStr">
        <is>
          <t>ARVIKA</t>
        </is>
      </c>
      <c r="G2301" t="n">
        <v>8.800000000000001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45728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10276-2025</t>
        </is>
      </c>
      <c r="B2303" s="1" t="n">
        <v>45720</v>
      </c>
      <c r="C2303" s="1" t="n">
        <v>45728</v>
      </c>
      <c r="D2303" t="inlineStr">
        <is>
          <t>VÄRMLANDS LÄN</t>
        </is>
      </c>
      <c r="E2303" t="inlineStr">
        <is>
          <t>ARVIKA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45728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45728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45728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45728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45728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45728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45728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45728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11230-2025</t>
        </is>
      </c>
      <c r="B2312" s="1" t="n">
        <v>45726</v>
      </c>
      <c r="C2312" s="1" t="n">
        <v>45728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45728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11342-2025</t>
        </is>
      </c>
      <c r="B2314" s="1" t="n">
        <v>45726</v>
      </c>
      <c r="C2314" s="1" t="n">
        <v>45728</v>
      </c>
      <c r="D2314" t="inlineStr">
        <is>
          <t>VÄRMLANDS LÄN</t>
        </is>
      </c>
      <c r="E2314" t="inlineStr">
        <is>
          <t>ARVIKA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45728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11671-2025</t>
        </is>
      </c>
      <c r="B2316" s="1" t="n">
        <v>45727</v>
      </c>
      <c r="C2316" s="1" t="n">
        <v>45728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45728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11658-2025</t>
        </is>
      </c>
      <c r="B2318" s="1" t="n">
        <v>45727</v>
      </c>
      <c r="C2318" s="1" t="n">
        <v>45728</v>
      </c>
      <c r="D2318" t="inlineStr">
        <is>
          <t>VÄRMLANDS LÄN</t>
        </is>
      </c>
      <c r="E2318" t="inlineStr">
        <is>
          <t>ARVIKA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>
      <c r="A2319" t="inlineStr">
        <is>
          <t>A 11647-2025</t>
        </is>
      </c>
      <c r="B2319" s="1" t="n">
        <v>45727</v>
      </c>
      <c r="C2319" s="1" t="n">
        <v>45728</v>
      </c>
      <c r="D2319" t="inlineStr">
        <is>
          <t>VÄRMLANDS LÄN</t>
        </is>
      </c>
      <c r="E2319" t="inlineStr">
        <is>
          <t>ARVIKA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2025-03-12T16:49:14Z</dcterms:created>
  <dcterms:modified xmlns:dcterms="http://purl.org/dc/terms/" xmlns:xsi="http://www.w3.org/2001/XMLSchema-instance" xsi:type="dcterms:W3CDTF">2025-03-12T16:49:16Z</dcterms:modified>
</cp:coreProperties>
</file>