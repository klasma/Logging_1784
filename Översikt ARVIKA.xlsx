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45733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45733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45733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45733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45733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45733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45733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45733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45733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45733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45733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45733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45733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45733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45733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45733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45733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45733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45733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45733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45733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45733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45733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45733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45733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45733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45733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45733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45733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45733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45733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45733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45733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45733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45733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45733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45733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45733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45733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45733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45733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45733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45733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45733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45733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45733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45733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45733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45733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45733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45733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45733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45733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45733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45733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45733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45733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45733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45733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45733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45733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45733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45733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45733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45733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45733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45733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45733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45733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45733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45733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45733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45733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45733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45733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45733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45733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45733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45733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45733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45733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45733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45733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9060-2025</t>
        </is>
      </c>
      <c r="B96" s="1" t="n">
        <v>45713</v>
      </c>
      <c r="C96" s="1" t="n">
        <v>45733</v>
      </c>
      <c r="D96" t="inlineStr">
        <is>
          <t>VÄRMLANDS LÄN</t>
        </is>
      </c>
      <c r="E96" t="inlineStr">
        <is>
          <t>ARVIKA</t>
        </is>
      </c>
      <c r="G96" t="n">
        <v>5.8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HYPERLINK("https://klasma.github.io/Logging_1784/artfynd/A 9060-2025 artfynd.xlsx", "A 9060-2025")</f>
        <v/>
      </c>
      <c r="T96">
        <f>HYPERLINK("https://klasma.github.io/Logging_1784/kartor/A 9060-2025 karta.png", "A 9060-2025")</f>
        <v/>
      </c>
      <c r="V96">
        <f>HYPERLINK("https://klasma.github.io/Logging_1784/klagomål/A 9060-2025 FSC-klagomål.docx", "A 9060-2025")</f>
        <v/>
      </c>
      <c r="W96">
        <f>HYPERLINK("https://klasma.github.io/Logging_1784/klagomålsmail/A 9060-2025 FSC-klagomål mail.docx", "A 9060-2025")</f>
        <v/>
      </c>
      <c r="X96">
        <f>HYPERLINK("https://klasma.github.io/Logging_1784/tillsyn/A 9060-2025 tillsynsbegäran.docx", "A 9060-2025")</f>
        <v/>
      </c>
      <c r="Y96">
        <f>HYPERLINK("https://klasma.github.io/Logging_1784/tillsynsmail/A 9060-2025 tillsynsbegäran mail.docx", "A 9060-2025")</f>
        <v/>
      </c>
      <c r="Z96">
        <f>HYPERLINK("https://klasma.github.io/Logging_1784/fåglar/A 9060-2025 prioriterade fågelarter.docx", "A 9060-2025")</f>
        <v/>
      </c>
    </row>
    <row r="97" ht="15" customHeight="1">
      <c r="A97" t="inlineStr">
        <is>
          <t>A 9055-2025</t>
        </is>
      </c>
      <c r="B97" s="1" t="n">
        <v>45713</v>
      </c>
      <c r="C97" s="1" t="n">
        <v>45733</v>
      </c>
      <c r="D97" t="inlineStr">
        <is>
          <t>VÄRMLANDS LÄN</t>
        </is>
      </c>
      <c r="E97" t="inlineStr">
        <is>
          <t>ARVIKA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9055-2025 artfynd.xlsx", "A 9055-2025")</f>
        <v/>
      </c>
      <c r="T97">
        <f>HYPERLINK("https://klasma.github.io/Logging_1784/kartor/A 9055-2025 karta.png", "A 9055-2025")</f>
        <v/>
      </c>
      <c r="V97">
        <f>HYPERLINK("https://klasma.github.io/Logging_1784/klagomål/A 9055-2025 FSC-klagomål.docx", "A 9055-2025")</f>
        <v/>
      </c>
      <c r="W97">
        <f>HYPERLINK("https://klasma.github.io/Logging_1784/klagomålsmail/A 9055-2025 FSC-klagomål mail.docx", "A 9055-2025")</f>
        <v/>
      </c>
      <c r="X97">
        <f>HYPERLINK("https://klasma.github.io/Logging_1784/tillsyn/A 9055-2025 tillsynsbegäran.docx", "A 9055-2025")</f>
        <v/>
      </c>
      <c r="Y97">
        <f>HYPERLINK("https://klasma.github.io/Logging_1784/tillsynsmail/A 9055-2025 tillsynsbegäran mail.docx", "A 9055-2025")</f>
        <v/>
      </c>
      <c r="Z97">
        <f>HYPERLINK("https://klasma.github.io/Logging_1784/fåglar/A 9055-2025 prioriterade fågelarter.docx", "A 9055-2025")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45733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45733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45733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45733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45733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45733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45733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45733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45733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45733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45733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45733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45733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45733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45733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45733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45733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45733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45733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45733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45733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45733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45733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45733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45733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45733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45733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45733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45733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45733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45733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45733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45733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45733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45733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45733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45733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45733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45733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45733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45733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45733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45733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45733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45733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45733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45733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45733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45733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45733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45733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45733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45733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45733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45733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45733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45733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45733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45733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45733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45733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45733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45733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45733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45733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45733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45733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45733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45733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45733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45733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45733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45733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45733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45733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45733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45733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45733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45733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45733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45733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45733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45733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45733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45733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45733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45733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45733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45733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45733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45733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45733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45733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45733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45733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45733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45733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45733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45733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45733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45733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45733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45733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45733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45733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45733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45733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45733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45733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45733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45733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45733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45733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45733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45733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45733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45733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45733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45733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45733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45733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45733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45733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45733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45733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45733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45733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45733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45733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45733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45733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45733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45733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45733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45733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45733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45733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45733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45733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45733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45733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45733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45733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45733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45733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45733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45733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45733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45733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45733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45733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45733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45733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45733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45733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45733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45733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45733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45733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45733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45733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45733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45733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45733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45733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45733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45733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45733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45733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45733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45733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45733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45733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45733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45733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45733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45733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45733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45733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45733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45733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45733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45733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45733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45733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45733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45733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45733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45733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45733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45733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45733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45733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45733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45733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45733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45733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45733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45733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45733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45733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45733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45733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45733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45733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45733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45733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45733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45733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45733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45733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45733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45733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45733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45733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45733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45733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45733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45733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45733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45733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45733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45733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45733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45733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45733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45733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45733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45733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45733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45733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45733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45733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45733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45733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45733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45733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45733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45733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45733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45733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45733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45733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45733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45733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45733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45733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45733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45733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45733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45733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45733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45733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45733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45733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45733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45733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45733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45733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45733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45733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45733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45733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45733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45733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45733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45733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45733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45733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45733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45733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45733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45733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45733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45733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45733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45733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45733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45733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45733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45733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45733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45733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45733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45733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45733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45733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45733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45733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45733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45733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45733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45733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45733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45733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45733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45733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45733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45733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45733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45733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45733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45733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45733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45733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45733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45733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45733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45733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45733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45733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45733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45733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45733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45733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45733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45733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45733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45733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45733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45733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45733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45733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45733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45733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45733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45733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45733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45733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45733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45733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45733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45733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45733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45733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45733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45733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45733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45733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45733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45733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45733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45733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45733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45733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45733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45733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45733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45733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45733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45733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45733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45733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45733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45733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45733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45733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45733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45733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45733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45733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45733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45733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45733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45733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45733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45733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45733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45733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45733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45733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45733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45733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45733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45733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45733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45733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45733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45733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45733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45733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45733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45733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45733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45733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45733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45733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45733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45733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45733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45733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45733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45733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45733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45733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45733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45733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45733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45733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45733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45733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45733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45733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45733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45733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45733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45733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45733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45733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45733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45733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45733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45733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45733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45733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45733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45733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45733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45733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45733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45733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45733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45733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45733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45733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45733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45733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45733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45733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45733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45733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45733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45733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45733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45733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45733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45733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45733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45733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45733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45733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45733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45733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45733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45733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45733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45733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45733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45733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45733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45733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45733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45733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45733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45733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45733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45733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45733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45733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45733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45733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45733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45733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45733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45733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45733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45733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45733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45733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45733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45733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45733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45733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45733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45733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45733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45733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45733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45733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45733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45733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45733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45733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45733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45733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45733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45733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45733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45733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45733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45733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45733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45733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45733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45733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45733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45733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45733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45733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45733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45733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45733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45733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45733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45733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45733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45733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45733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45733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45733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45733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45733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45733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45733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45733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45733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45733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45733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45733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45733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45733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45733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45733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45733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45733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45733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45733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45733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45733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45733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45733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45733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45733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45733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45733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45733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45733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45733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45733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45733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45733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45733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45733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45733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45733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45733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45733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45733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45733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45733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45733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45733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45733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45733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45733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45733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45733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45733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45733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45733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45733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45733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45733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45733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45733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45733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45733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45733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45733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45733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45733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45733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45733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45733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45733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45733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45733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45733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45733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45733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45733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45733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45733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45733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45733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45733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45733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45733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45733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45733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45733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45733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45733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45733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45733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45733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45733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45733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45733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45733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45733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45733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45733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45733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45733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45733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45733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45733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45733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45733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45733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45733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45733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45733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45733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45733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45733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45733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45733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45733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45733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45733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45733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45733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45733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45733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45733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45733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45733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45733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45733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45733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45733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45733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45733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45733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45733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45733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45733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45733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45733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45733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45733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45733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45733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45733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45733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45733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45733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45733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45733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45733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45733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45733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45733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45733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45733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45733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45733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45733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45733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45733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45733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45733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45733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45733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45733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45733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45733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45733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45733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45733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45733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45733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45733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45733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45733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45733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45733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45733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45733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45733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45733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45733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45733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45733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45733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45733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45733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45733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45733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45733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45733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45733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45733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45733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45733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45733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45733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45733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45733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45733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45733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45733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45733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45733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45733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45733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45733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45733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45733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45733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45733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45733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45733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45733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45733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45733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45733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45733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45733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45733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45733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45733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45733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45733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45733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45733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45733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45733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45733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45733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45733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45733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45733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45733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45733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45733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45733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45733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45733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45733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45733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45733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45733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45733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45733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45733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45733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45733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45733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45733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45733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45733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45733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45733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45733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45733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45733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45733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45733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45733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45733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45733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45733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45733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45733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45733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45733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45733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45733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45733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45733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45733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45733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45733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45733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45733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45733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45733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45733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45733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45733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45733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45733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45733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45733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45733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45733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45733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45733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45733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45733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45733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45733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45733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45733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45733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45733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45733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45733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45733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45733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45733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45733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45733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45733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45733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45733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45733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45733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45733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45733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45733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45733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45733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45733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45733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45733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45733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45733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45733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45733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45733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45733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45733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45733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45733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45733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45733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45733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45733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45733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45733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45733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45733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45733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45733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45733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45733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45733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45733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45733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45733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45733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45733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45733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45733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45733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45733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45733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45733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45733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45733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45733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45733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45733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45733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45733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45733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45733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45733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45733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45733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45733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45733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45733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45733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45733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45733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45733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45733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45733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45733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45733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45733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45733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45733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45733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45733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45733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45733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45733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45733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45733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45733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45733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45733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45733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45733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45733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45733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45733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45733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45733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45733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45733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45733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45733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45733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45733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45733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45733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45733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45733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45733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45733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45733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45733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45733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45733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45733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45733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45733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45733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45733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45733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45733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45733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45733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45733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45733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45733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45733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45733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45733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45733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45733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45733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45733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45733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45733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45733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45733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45733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45733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45733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45733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45733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45733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45733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45733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45733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45733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45733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45733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45733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45733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45733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45733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45733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45733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45733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45733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45733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45733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45733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45733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45733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45733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45733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45733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45733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45733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45733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45733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45733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45733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45733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45733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45733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45733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45733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45733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45733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45733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45733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45733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45733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45733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45733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45733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45733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45733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45733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45733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45733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45733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45733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45733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45733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45733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45733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45733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45733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45733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45733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45733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45733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45733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45733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45733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45733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45733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45733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45733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45733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45733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45733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45733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45733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45733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45733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45733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45733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45733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45733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45733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45733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45733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45733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45733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45733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45733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45733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45733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45733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45733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45733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45733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45733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45733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45733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45733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45733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45733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45733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45733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45733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45733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45733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45733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45733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45733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45733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45733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45733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45733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45733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45733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45733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45733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45733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45733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45733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45733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45733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45733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45733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45733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45733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45733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45733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45733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45733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45733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45733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45733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45733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45733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45733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45733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45733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45733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45733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45733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45733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45733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45733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45733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45733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45733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45733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45733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45733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45733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45733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45733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45733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45733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45733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45733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45733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45733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45733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45733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45733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45733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45733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45733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45733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45733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45733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45733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45733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45733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45733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45733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45733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45733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45733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45733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45733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45733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45733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45733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45733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45733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45733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45733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45733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45733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45733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45733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45733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45733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45733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45733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45733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45733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45733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45733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45733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45733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45733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45733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45733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45733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45733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45733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45733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45733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45733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45733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45733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45733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45733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45733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45733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45733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45733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45733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45733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45733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45733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45733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45733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45733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45733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45733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45733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45733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45733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45733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45733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45733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45733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45733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45733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45733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45733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45733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45733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45733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45733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45733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45733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45733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45733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45733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45733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45733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45733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45733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45733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45733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45733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45733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45733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45733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45733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45733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45733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45733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45733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45733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45733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45733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45733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45733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45733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45733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45733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45733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45733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45733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45733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45733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45733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45733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45733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45733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45733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45733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45733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45733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45733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45733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45733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45733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45733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45733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45733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45733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45733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45733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45733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45733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45733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45733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45733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45733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45733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45733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45733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45733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45733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45733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45733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45733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45733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45733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45733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45733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45733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45733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45733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45733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45733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45733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45733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45733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45733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45733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45733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45733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45733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45733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45733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45733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45733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45733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45733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45733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45733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45733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45733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45733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45733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45733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45733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45733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45733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45733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45733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45733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45733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45733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45733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45733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45733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45733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45733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45733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45733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45733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45733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45733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45733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45733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45733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45733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45733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45733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45733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45733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45733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45733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45733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45733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45733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45733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45733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45733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45733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45733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45733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45733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45733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45733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45733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45733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45733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45733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45733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45733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45733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45733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45733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45733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45733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45733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45733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45733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45733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45733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45733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45733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45733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45733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45733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45733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45733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45733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45733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45733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45733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45733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45733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45733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45733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45733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45733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45733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45733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45733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45733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45733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45733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45733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45733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45733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45733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45733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45733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45733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45733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45733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45733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45733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45733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45733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45733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45733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45733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45733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45733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45733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45733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45733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45733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45733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45733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45733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45733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45733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45733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45733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45733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45733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45733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45733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45733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45733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45733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45733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45733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45733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45733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45733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45733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45733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45733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45733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45733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45733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45733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45733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45733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45733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45733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45733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45733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45733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45733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45733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45733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45733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45733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45733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45733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45733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45733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45733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45733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45733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45733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45733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45733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45733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45733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45733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45733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45733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45733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45733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45733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45733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45733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45733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45733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45733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45733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45733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45733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45733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45733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45733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45733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45733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45733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45733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45733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45733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45733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45733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45733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45733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45733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45733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45733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45733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45733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45733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45733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45733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45733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45733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45733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45733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45733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45733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45733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45733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45733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45733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45733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45733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45733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45733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45733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45733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45733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45733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45733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45733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45733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45733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45733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45733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45733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45733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45733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45733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45733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45733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45733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45733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45733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45733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45733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45733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45733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45733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45733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45733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45733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45733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45733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45733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45733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45733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45733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45733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45733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45733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45733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45733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45733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45733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45733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45733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45733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45733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45733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45733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45733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45733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45733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45733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45733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45733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45733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45733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45733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45733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45733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45733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45733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45733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45733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45733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45733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45733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45733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45733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45733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45733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45733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45733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45733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45733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45733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45733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45733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45733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45733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45733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45733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45733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45733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45733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45733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45733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45733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45733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45733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45733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45733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45733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45733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45733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45733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45733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45733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45733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45733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45733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45733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45733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45733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45733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45733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45733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45733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45733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45733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45733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45733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45733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45733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45733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45733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45733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45733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45733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45733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45733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45733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45733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45733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45733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45733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45733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45733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45733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45733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45733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45733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45733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45733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45733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45733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45733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45733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45733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45733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45733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45733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45733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45733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45733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45733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45733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45733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45733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45733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45733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45733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45733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45733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45733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45733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45733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45733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45733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45733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45733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45733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45733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45733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45733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45733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45733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45733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45733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45733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45733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45733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45733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45733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45733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45733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45733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45733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45733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45733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45733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45733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45733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45733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45733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45733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45733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45733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45733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45733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45733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45733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45733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45733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45733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45733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45733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45733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45733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45733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45733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45733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45733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45733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45733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45733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45733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45733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45733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45733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45733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45733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45733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45733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45733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45733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45733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45733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45733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45733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45733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45733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45733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45733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45733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45733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45733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45733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45733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45733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45733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45733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45733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45733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45733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45733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45733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45733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45733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45733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45733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45733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45733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45733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45733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45733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45733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45733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45733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45733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45733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45733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45733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45733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45733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45733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45733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45733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45733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45733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45733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45733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45733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45733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45733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45733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45733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45733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45733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45733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45733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45733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45733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45733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45733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45733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45733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45733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45733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45733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45733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45733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45733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45733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45733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45733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45733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45733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45733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45733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45733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45733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45733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45733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45733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45733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45733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45733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45733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45733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45733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45733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45733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45733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45733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45733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45733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45733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45733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45733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45733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45733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45733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45733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45733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45733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45733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45733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45733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45733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45733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45733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45733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45733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45733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45733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45733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45733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45733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45733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45733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45733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45733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45733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45733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45733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45733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45733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45733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45733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45733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45733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45733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45733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45733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45733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45733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45733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45733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45733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45733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45733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45733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45733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45733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45733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45733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45733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45733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45733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45733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45733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45733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45733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45733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45733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45733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45733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45733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45733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45733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45733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45733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45733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45733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45733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45733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45733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45733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45733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45733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45733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45733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45733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45733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45733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45733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45733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45733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45733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45733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45733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45733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45733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45733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45733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45733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45733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45733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45733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45733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45733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45733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45733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45733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45733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45733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45733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45733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45733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45733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45733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45733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45733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45733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45733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45733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45733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45733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45733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45733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45733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45733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45733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45733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45733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45733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45733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45733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45733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45733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45733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45733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45733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45733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45733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45733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45733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45733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45733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45733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45733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45733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45733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45733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45733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45733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45733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45733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45733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45733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45733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45733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45733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45733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45733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45733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45733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45733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45733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45733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45733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45733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45733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45733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45733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45733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45733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45733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45733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45733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45733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45733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45733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45733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45733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45733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45733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45733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45733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45733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45733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45733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45733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45733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45733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45733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45733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45733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45733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45733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45733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45733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45733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45733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45733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45733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45733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45733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45733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45733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45733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45733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45733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45733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45733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45733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45733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45733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45733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45733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45733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45733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45733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45733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45733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45733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45733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45733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45733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45733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45733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45733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45733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45733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45733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45733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45733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45733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45733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45733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45733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45733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45733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45733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45733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45733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7717-2025</t>
        </is>
      </c>
      <c r="B2273" s="1" t="n">
        <v>45706</v>
      </c>
      <c r="C2273" s="1" t="n">
        <v>45733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9.300000000000001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7685-2025</t>
        </is>
      </c>
      <c r="B2274" s="1" t="n">
        <v>45706</v>
      </c>
      <c r="C2274" s="1" t="n">
        <v>45733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7741-2025</t>
        </is>
      </c>
      <c r="B2275" s="1" t="n">
        <v>45706</v>
      </c>
      <c r="C2275" s="1" t="n">
        <v>45733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9.199999999999999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45733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45733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7842-2025</t>
        </is>
      </c>
      <c r="B2278" s="1" t="n">
        <v>45706</v>
      </c>
      <c r="C2278" s="1" t="n">
        <v>45733</v>
      </c>
      <c r="D2278" t="inlineStr">
        <is>
          <t>VÄRMLANDS LÄN</t>
        </is>
      </c>
      <c r="E2278" t="inlineStr">
        <is>
          <t>ARVIKA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45733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8156-2025</t>
        </is>
      </c>
      <c r="B2280" s="1" t="n">
        <v>45707</v>
      </c>
      <c r="C2280" s="1" t="n">
        <v>45733</v>
      </c>
      <c r="D2280" t="inlineStr">
        <is>
          <t>VÄRMLANDS LÄN</t>
        </is>
      </c>
      <c r="E2280" t="inlineStr">
        <is>
          <t>ARVIKA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7980-2025</t>
        </is>
      </c>
      <c r="B2281" s="1" t="n">
        <v>45707</v>
      </c>
      <c r="C2281" s="1" t="n">
        <v>45733</v>
      </c>
      <c r="D2281" t="inlineStr">
        <is>
          <t>VÄRMLANDS LÄN</t>
        </is>
      </c>
      <c r="E2281" t="inlineStr">
        <is>
          <t>ARVIKA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8061-2025</t>
        </is>
      </c>
      <c r="B2282" s="1" t="n">
        <v>45707</v>
      </c>
      <c r="C2282" s="1" t="n">
        <v>45733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45733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45733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45733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45733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45733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45733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45733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9057-2025</t>
        </is>
      </c>
      <c r="B2290" s="1" t="n">
        <v>45713</v>
      </c>
      <c r="C2290" s="1" t="n">
        <v>45733</v>
      </c>
      <c r="D2290" t="inlineStr">
        <is>
          <t>VÄRMLANDS LÄN</t>
        </is>
      </c>
      <c r="E2290" t="inlineStr">
        <is>
          <t>ARVIKA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45733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45733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45733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45733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45733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9749-2025</t>
        </is>
      </c>
      <c r="B2296" s="1" t="n">
        <v>45716</v>
      </c>
      <c r="C2296" s="1" t="n">
        <v>45733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45733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45733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45733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45733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45733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10249-2025</t>
        </is>
      </c>
      <c r="B2302" s="1" t="n">
        <v>45720</v>
      </c>
      <c r="C2302" s="1" t="n">
        <v>45733</v>
      </c>
      <c r="D2302" t="inlineStr">
        <is>
          <t>VÄRMLANDS LÄN</t>
        </is>
      </c>
      <c r="E2302" t="inlineStr">
        <is>
          <t>ARVIKA</t>
        </is>
      </c>
      <c r="G2302" t="n">
        <v>8.800000000000001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10475-2025</t>
        </is>
      </c>
      <c r="B2303" s="1" t="n">
        <v>45720</v>
      </c>
      <c r="C2303" s="1" t="n">
        <v>45733</v>
      </c>
      <c r="D2303" t="inlineStr">
        <is>
          <t>VÄRMLANDS LÄN</t>
        </is>
      </c>
      <c r="E2303" t="inlineStr">
        <is>
          <t>ARVIKA</t>
        </is>
      </c>
      <c r="F2303" t="inlineStr">
        <is>
          <t>Kyrkan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10404-2025</t>
        </is>
      </c>
      <c r="B2304" s="1" t="n">
        <v>45720</v>
      </c>
      <c r="C2304" s="1" t="n">
        <v>45733</v>
      </c>
      <c r="D2304" t="inlineStr">
        <is>
          <t>VÄRMLANDS LÄN</t>
        </is>
      </c>
      <c r="E2304" t="inlineStr">
        <is>
          <t>ARVIKA</t>
        </is>
      </c>
      <c r="F2304" t="inlineStr">
        <is>
          <t>Bergvik skog väst AB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10411-2025</t>
        </is>
      </c>
      <c r="B2305" s="1" t="n">
        <v>45720</v>
      </c>
      <c r="C2305" s="1" t="n">
        <v>45733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45733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45733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45733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45733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10572-2025</t>
        </is>
      </c>
      <c r="B2310" s="1" t="n">
        <v>45721</v>
      </c>
      <c r="C2310" s="1" t="n">
        <v>45733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11230-2025</t>
        </is>
      </c>
      <c r="B2311" s="1" t="n">
        <v>45726</v>
      </c>
      <c r="C2311" s="1" t="n">
        <v>45733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45733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45733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11342-2025</t>
        </is>
      </c>
      <c r="B2314" s="1" t="n">
        <v>45726</v>
      </c>
      <c r="C2314" s="1" t="n">
        <v>45733</v>
      </c>
      <c r="D2314" t="inlineStr">
        <is>
          <t>VÄRMLANDS LÄN</t>
        </is>
      </c>
      <c r="E2314" t="inlineStr">
        <is>
          <t>ARVIKA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45733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11671-2025</t>
        </is>
      </c>
      <c r="B2316" s="1" t="n">
        <v>45727</v>
      </c>
      <c r="C2316" s="1" t="n">
        <v>45733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45733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11647-2025</t>
        </is>
      </c>
      <c r="B2318" s="1" t="n">
        <v>45727</v>
      </c>
      <c r="C2318" s="1" t="n">
        <v>45733</v>
      </c>
      <c r="D2318" t="inlineStr">
        <is>
          <t>VÄRMLANDS LÄN</t>
        </is>
      </c>
      <c r="E2318" t="inlineStr">
        <is>
          <t>ARVIKA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11679-2025</t>
        </is>
      </c>
      <c r="B2319" s="1" t="n">
        <v>45727</v>
      </c>
      <c r="C2319" s="1" t="n">
        <v>45733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45733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11890-2025</t>
        </is>
      </c>
      <c r="B2321" s="1" t="n">
        <v>45728</v>
      </c>
      <c r="C2321" s="1" t="n">
        <v>45733</v>
      </c>
      <c r="D2321" t="inlineStr">
        <is>
          <t>VÄRMLANDS LÄN</t>
        </is>
      </c>
      <c r="E2321" t="inlineStr">
        <is>
          <t>ARVIKA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11898-2025</t>
        </is>
      </c>
      <c r="B2322" s="1" t="n">
        <v>45728</v>
      </c>
      <c r="C2322" s="1" t="n">
        <v>45733</v>
      </c>
      <c r="D2322" t="inlineStr">
        <is>
          <t>VÄRMLANDS LÄN</t>
        </is>
      </c>
      <c r="E2322" t="inlineStr">
        <is>
          <t>ARVIKA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45733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45733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12161-2025</t>
        </is>
      </c>
      <c r="B2325" s="1" t="n">
        <v>45729</v>
      </c>
      <c r="C2325" s="1" t="n">
        <v>45733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45733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45733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12170-2025</t>
        </is>
      </c>
      <c r="B2328" s="1" t="n">
        <v>45729</v>
      </c>
      <c r="C2328" s="1" t="n">
        <v>45733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12167-2025</t>
        </is>
      </c>
      <c r="B2329" s="1" t="n">
        <v>45729</v>
      </c>
      <c r="C2329" s="1" t="n">
        <v>45733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12164-2025</t>
        </is>
      </c>
      <c r="B2330" s="1" t="n">
        <v>45729</v>
      </c>
      <c r="C2330" s="1" t="n">
        <v>45733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45733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45733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>
      <c r="A2333" t="inlineStr">
        <is>
          <t>A 12400-2025</t>
        </is>
      </c>
      <c r="B2333" s="1" t="n">
        <v>45730</v>
      </c>
      <c r="C2333" s="1" t="n">
        <v>45733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2025-03-17T17:09:14Z</dcterms:created>
  <dcterms:modified xmlns:dcterms="http://purl.org/dc/terms/" xmlns:xsi="http://www.w3.org/2001/XMLSchema-instance" xsi:type="dcterms:W3CDTF">2025-03-17T17:09:16Z</dcterms:modified>
</cp:coreProperties>
</file>