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45727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45727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45727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45727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45727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45727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45727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45727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45727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45727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45727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7349-2025</t>
        </is>
      </c>
      <c r="B24" s="1" t="n">
        <v>45703</v>
      </c>
      <c r="C24" s="1" t="n">
        <v>45727</v>
      </c>
      <c r="D24" t="inlineStr">
        <is>
          <t>VÄRMLANDS LÄN</t>
        </is>
      </c>
      <c r="E24" t="inlineStr">
        <is>
          <t>ARVIKA</t>
        </is>
      </c>
      <c r="G24" t="n">
        <v>5.7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Orre</t>
        </is>
      </c>
      <c r="S24">
        <f>HYPERLINK("https://klasma.github.io/Logging_1784/artfynd/A 7349-2025 artfynd.xlsx", "A 7349-2025")</f>
        <v/>
      </c>
      <c r="T24">
        <f>HYPERLINK("https://klasma.github.io/Logging_1784/kartor/A 7349-2025 karta.png", "A 7349-2025")</f>
        <v/>
      </c>
      <c r="V24">
        <f>HYPERLINK("https://klasma.github.io/Logging_1784/klagomål/A 7349-2025 FSC-klagomål.docx", "A 7349-2025")</f>
        <v/>
      </c>
      <c r="W24">
        <f>HYPERLINK("https://klasma.github.io/Logging_1784/klagomålsmail/A 7349-2025 FSC-klagomål mail.docx", "A 7349-2025")</f>
        <v/>
      </c>
      <c r="X24">
        <f>HYPERLINK("https://klasma.github.io/Logging_1784/tillsyn/A 7349-2025 tillsynsbegäran.docx", "A 7349-2025")</f>
        <v/>
      </c>
      <c r="Y24">
        <f>HYPERLINK("https://klasma.github.io/Logging_1784/tillsynsmail/A 7349-2025 tillsynsbegäran mail.docx", "A 7349-2025")</f>
        <v/>
      </c>
      <c r="Z24">
        <f>HYPERLINK("https://klasma.github.io/Logging_1784/fåglar/A 7349-2025 prioriterade fågelarter.docx", "A 7349-2025")</f>
        <v/>
      </c>
    </row>
    <row r="25" ht="15" customHeight="1">
      <c r="A25" t="inlineStr">
        <is>
          <t>A 25572-2019</t>
        </is>
      </c>
      <c r="B25" s="1" t="n">
        <v>43607</v>
      </c>
      <c r="C25" s="1" t="n">
        <v>45727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Vedticka</t>
        </is>
      </c>
      <c r="S25">
        <f>HYPERLINK("https://klasma.github.io/Logging_1784/artfynd/A 25572-2019 artfynd.xlsx", "A 25572-2019")</f>
        <v/>
      </c>
      <c r="T25">
        <f>HYPERLINK("https://klasma.github.io/Logging_1784/kartor/A 25572-2019 karta.png", "A 25572-2019")</f>
        <v/>
      </c>
      <c r="V25">
        <f>HYPERLINK("https://klasma.github.io/Logging_1784/klagomål/A 25572-2019 FSC-klagomål.docx", "A 25572-2019")</f>
        <v/>
      </c>
      <c r="W25">
        <f>HYPERLINK("https://klasma.github.io/Logging_1784/klagomålsmail/A 25572-2019 FSC-klagomål mail.docx", "A 25572-2019")</f>
        <v/>
      </c>
      <c r="X25">
        <f>HYPERLINK("https://klasma.github.io/Logging_1784/tillsyn/A 25572-2019 tillsynsbegäran.docx", "A 25572-2019")</f>
        <v/>
      </c>
      <c r="Y25">
        <f>HYPERLINK("https://klasma.github.io/Logging_1784/tillsynsmail/A 25572-2019 tillsynsbegäran mail.docx", "A 25572-2019")</f>
        <v/>
      </c>
    </row>
    <row r="26" ht="15" customHeight="1">
      <c r="A26" t="inlineStr">
        <is>
          <t>A 68629-2019</t>
        </is>
      </c>
      <c r="B26" s="1" t="n">
        <v>43819</v>
      </c>
      <c r="C26" s="1" t="n">
        <v>45727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Dvärglin
Havsörn</t>
        </is>
      </c>
      <c r="S26">
        <f>HYPERLINK("https://klasma.github.io/Logging_1784/artfynd/A 68629-2019 artfynd.xlsx", "A 68629-2019")</f>
        <v/>
      </c>
      <c r="T26">
        <f>HYPERLINK("https://klasma.github.io/Logging_1784/kartor/A 68629-2019 karta.png", "A 68629-2019")</f>
        <v/>
      </c>
      <c r="V26">
        <f>HYPERLINK("https://klasma.github.io/Logging_1784/klagomål/A 68629-2019 FSC-klagomål.docx", "A 68629-2019")</f>
        <v/>
      </c>
      <c r="W26">
        <f>HYPERLINK("https://klasma.github.io/Logging_1784/klagomålsmail/A 68629-2019 FSC-klagomål mail.docx", "A 68629-2019")</f>
        <v/>
      </c>
      <c r="X26">
        <f>HYPERLINK("https://klasma.github.io/Logging_1784/tillsyn/A 68629-2019 tillsynsbegäran.docx", "A 68629-2019")</f>
        <v/>
      </c>
      <c r="Y26">
        <f>HYPERLINK("https://klasma.github.io/Logging_1784/tillsynsmail/A 68629-2019 tillsynsbegäran mail.docx", "A 68629-2019")</f>
        <v/>
      </c>
      <c r="Z26">
        <f>HYPERLINK("https://klasma.github.io/Logging_1784/fåglar/A 68629-2019 prioriterade fågelarter.docx", "A 68629-2019")</f>
        <v/>
      </c>
    </row>
    <row r="27" ht="15" customHeight="1">
      <c r="A27" t="inlineStr">
        <is>
          <t>A 51666-2020</t>
        </is>
      </c>
      <c r="B27" s="1" t="n">
        <v>44113</v>
      </c>
      <c r="C27" s="1" t="n">
        <v>45727</v>
      </c>
      <c r="D27" t="inlineStr">
        <is>
          <t>VÄRMLANDS LÄN</t>
        </is>
      </c>
      <c r="E27" t="inlineStr">
        <is>
          <t>ARVIKA</t>
        </is>
      </c>
      <c r="G27" t="n">
        <v>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Hjeltfibbla
Rönnfibbla</t>
        </is>
      </c>
      <c r="S27">
        <f>HYPERLINK("https://klasma.github.io/Logging_1784/artfynd/A 51666-2020 artfynd.xlsx", "A 51666-2020")</f>
        <v/>
      </c>
      <c r="T27">
        <f>HYPERLINK("https://klasma.github.io/Logging_1784/kartor/A 51666-2020 karta.png", "A 51666-2020")</f>
        <v/>
      </c>
      <c r="V27">
        <f>HYPERLINK("https://klasma.github.io/Logging_1784/klagomål/A 51666-2020 FSC-klagomål.docx", "A 51666-2020")</f>
        <v/>
      </c>
      <c r="W27">
        <f>HYPERLINK("https://klasma.github.io/Logging_1784/klagomålsmail/A 51666-2020 FSC-klagomål mail.docx", "A 51666-2020")</f>
        <v/>
      </c>
      <c r="X27">
        <f>HYPERLINK("https://klasma.github.io/Logging_1784/tillsyn/A 51666-2020 tillsynsbegäran.docx", "A 51666-2020")</f>
        <v/>
      </c>
      <c r="Y27">
        <f>HYPERLINK("https://klasma.github.io/Logging_1784/tillsynsmail/A 51666-2020 tillsynsbegäran mail.docx", "A 51666-2020")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45727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45727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45727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69928-2021</t>
        </is>
      </c>
      <c r="B31" s="1" t="n">
        <v>44533</v>
      </c>
      <c r="C31" s="1" t="n">
        <v>45727</v>
      </c>
      <c r="D31" t="inlineStr">
        <is>
          <t>VÄRMLANDS LÄN</t>
        </is>
      </c>
      <c r="E31" t="inlineStr">
        <is>
          <t>ARVIKA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Rödgul trumpetsvamp</t>
        </is>
      </c>
      <c r="S31">
        <f>HYPERLINK("https://klasma.github.io/Logging_1784/artfynd/A 69928-2021 artfynd.xlsx", "A 69928-2021")</f>
        <v/>
      </c>
      <c r="T31">
        <f>HYPERLINK("https://klasma.github.io/Logging_1784/kartor/A 69928-2021 karta.png", "A 69928-2021")</f>
        <v/>
      </c>
      <c r="V31">
        <f>HYPERLINK("https://klasma.github.io/Logging_1784/klagomål/A 69928-2021 FSC-klagomål.docx", "A 69928-2021")</f>
        <v/>
      </c>
      <c r="W31">
        <f>HYPERLINK("https://klasma.github.io/Logging_1784/klagomålsmail/A 69928-2021 FSC-klagomål mail.docx", "A 69928-2021")</f>
        <v/>
      </c>
      <c r="X31">
        <f>HYPERLINK("https://klasma.github.io/Logging_1784/tillsyn/A 69928-2021 tillsynsbegäran.docx", "A 69928-2021")</f>
        <v/>
      </c>
      <c r="Y31">
        <f>HYPERLINK("https://klasma.github.io/Logging_1784/tillsynsmail/A 69928-2021 tillsynsbegäran mail.docx", "A 69928-2021")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45727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51769-2022</t>
        </is>
      </c>
      <c r="B33" s="1" t="n">
        <v>44872</v>
      </c>
      <c r="C33" s="1" t="n">
        <v>45727</v>
      </c>
      <c r="D33" t="inlineStr">
        <is>
          <t>VÄRMLANDS LÄN</t>
        </is>
      </c>
      <c r="E33" t="inlineStr">
        <is>
          <t>ARVIKA</t>
        </is>
      </c>
      <c r="F33" t="inlineStr">
        <is>
          <t>Kyrkan</t>
        </is>
      </c>
      <c r="G33" t="n">
        <v>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HYPERLINK("https://klasma.github.io/Logging_1784/artfynd/A 51769-2022 artfynd.xlsx", "A 51769-2022")</f>
        <v/>
      </c>
      <c r="T33">
        <f>HYPERLINK("https://klasma.github.io/Logging_1784/kartor/A 51769-2022 karta.png", "A 51769-2022")</f>
        <v/>
      </c>
      <c r="U33">
        <f>HYPERLINK("https://klasma.github.io/Logging_1784/knärot/A 51769-2022 karta knärot.png", "A 51769-2022")</f>
        <v/>
      </c>
      <c r="V33">
        <f>HYPERLINK("https://klasma.github.io/Logging_1784/klagomål/A 51769-2022 FSC-klagomål.docx", "A 51769-2022")</f>
        <v/>
      </c>
      <c r="W33">
        <f>HYPERLINK("https://klasma.github.io/Logging_1784/klagomålsmail/A 51769-2022 FSC-klagomål mail.docx", "A 51769-2022")</f>
        <v/>
      </c>
      <c r="X33">
        <f>HYPERLINK("https://klasma.github.io/Logging_1784/tillsyn/A 51769-2022 tillsynsbegäran.docx", "A 51769-2022")</f>
        <v/>
      </c>
      <c r="Y33">
        <f>HYPERLINK("https://klasma.github.io/Logging_1784/tillsynsmail/A 51769-2022 tillsynsbegäran mail.docx", "A 51769-2022")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45727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13630-2023</t>
        </is>
      </c>
      <c r="B35" s="1" t="n">
        <v>45006</v>
      </c>
      <c r="C35" s="1" t="n">
        <v>45727</v>
      </c>
      <c r="D35" t="inlineStr">
        <is>
          <t>VÄRMLANDS LÄN</t>
        </is>
      </c>
      <c r="E35" t="inlineStr">
        <is>
          <t>ARVIKA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Skogsalm
Tibast</t>
        </is>
      </c>
      <c r="S35">
        <f>HYPERLINK("https://klasma.github.io/Logging_1784/artfynd/A 13630-2023 artfynd.xlsx", "A 13630-2023")</f>
        <v/>
      </c>
      <c r="T35">
        <f>HYPERLINK("https://klasma.github.io/Logging_1784/kartor/A 13630-2023 karta.png", "A 13630-2023")</f>
        <v/>
      </c>
      <c r="V35">
        <f>HYPERLINK("https://klasma.github.io/Logging_1784/klagomål/A 13630-2023 FSC-klagomål.docx", "A 13630-2023")</f>
        <v/>
      </c>
      <c r="W35">
        <f>HYPERLINK("https://klasma.github.io/Logging_1784/klagomålsmail/A 13630-2023 FSC-klagomål mail.docx", "A 13630-2023")</f>
        <v/>
      </c>
      <c r="X35">
        <f>HYPERLINK("https://klasma.github.io/Logging_1784/tillsyn/A 13630-2023 tillsynsbegäran.docx", "A 13630-2023")</f>
        <v/>
      </c>
      <c r="Y35">
        <f>HYPERLINK("https://klasma.github.io/Logging_1784/tillsynsmail/A 13630-2023 tillsynsbegäran mail.docx", "A 13630-2023")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45727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45727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14025-2024</t>
        </is>
      </c>
      <c r="B38" s="1" t="n">
        <v>45392</v>
      </c>
      <c r="C38" s="1" t="n">
        <v>45727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14025-2024 artfynd.xlsx", "A 14025-2024")</f>
        <v/>
      </c>
      <c r="T38">
        <f>HYPERLINK("https://klasma.github.io/Logging_1784/kartor/A 14025-2024 karta.png", "A 14025-2024")</f>
        <v/>
      </c>
      <c r="U38">
        <f>HYPERLINK("https://klasma.github.io/Logging_1784/knärot/A 14025-2024 karta knärot.png", "A 14025-2024")</f>
        <v/>
      </c>
      <c r="V38">
        <f>HYPERLINK("https://klasma.github.io/Logging_1784/klagomål/A 14025-2024 FSC-klagomål.docx", "A 14025-2024")</f>
        <v/>
      </c>
      <c r="W38">
        <f>HYPERLINK("https://klasma.github.io/Logging_1784/klagomålsmail/A 14025-2024 FSC-klagomål mail.docx", "A 14025-2024")</f>
        <v/>
      </c>
      <c r="X38">
        <f>HYPERLINK("https://klasma.github.io/Logging_1784/tillsyn/A 14025-2024 tillsynsbegäran.docx", "A 14025-2024")</f>
        <v/>
      </c>
      <c r="Y38">
        <f>HYPERLINK("https://klasma.github.io/Logging_1784/tillsynsmail/A 14025-2024 tillsynsbegäran mail.docx", "A 14025-2024")</f>
        <v/>
      </c>
    </row>
    <row r="39" ht="15" customHeight="1">
      <c r="A39" t="inlineStr">
        <is>
          <t>A 5936-2025</t>
        </is>
      </c>
      <c r="B39" s="1" t="n">
        <v>45695</v>
      </c>
      <c r="C39" s="1" t="n">
        <v>45727</v>
      </c>
      <c r="D39" t="inlineStr">
        <is>
          <t>VÄRMLANDS LÄN</t>
        </is>
      </c>
      <c r="E39" t="inlineStr">
        <is>
          <t>ARVIKA</t>
        </is>
      </c>
      <c r="G39" t="n">
        <v>8.300000000000001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HYPERLINK("https://klasma.github.io/Logging_1784/artfynd/A 5936-2025 artfynd.xlsx", "A 5936-2025")</f>
        <v/>
      </c>
      <c r="T39">
        <f>HYPERLINK("https://klasma.github.io/Logging_1784/kartor/A 5936-2025 karta.png", "A 5936-2025")</f>
        <v/>
      </c>
      <c r="U39">
        <f>HYPERLINK("https://klasma.github.io/Logging_1784/knärot/A 5936-2025 karta knärot.png", "A 5936-2025")</f>
        <v/>
      </c>
      <c r="V39">
        <f>HYPERLINK("https://klasma.github.io/Logging_1784/klagomål/A 5936-2025 FSC-klagomål.docx", "A 5936-2025")</f>
        <v/>
      </c>
      <c r="W39">
        <f>HYPERLINK("https://klasma.github.io/Logging_1784/klagomålsmail/A 5936-2025 FSC-klagomål mail.docx", "A 5936-2025")</f>
        <v/>
      </c>
      <c r="X39">
        <f>HYPERLINK("https://klasma.github.io/Logging_1784/tillsyn/A 5936-2025 tillsynsbegäran.docx", "A 5936-2025")</f>
        <v/>
      </c>
      <c r="Y39">
        <f>HYPERLINK("https://klasma.github.io/Logging_1784/tillsynsmail/A 5936-2025 tillsynsbegäran mail.docx", "A 5936-2025")</f>
        <v/>
      </c>
      <c r="Z39">
        <f>HYPERLINK("https://klasma.github.io/Logging_1784/fåglar/A 5936-2025 prioriterade fågelarter.docx", "A 5936-2025")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45727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9032-2025</t>
        </is>
      </c>
      <c r="B41" s="1" t="n">
        <v>45713</v>
      </c>
      <c r="C41" s="1" t="n">
        <v>45727</v>
      </c>
      <c r="D41" t="inlineStr">
        <is>
          <t>VÄRMLANDS LÄN</t>
        </is>
      </c>
      <c r="E41" t="inlineStr">
        <is>
          <t>ARVIKA</t>
        </is>
      </c>
      <c r="G41" t="n">
        <v>3.2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9032-2025 artfynd.xlsx", "A 9032-2025")</f>
        <v/>
      </c>
      <c r="T41">
        <f>HYPERLINK("https://klasma.github.io/Logging_1784/kartor/A 9032-2025 karta.png", "A 9032-2025")</f>
        <v/>
      </c>
      <c r="V41">
        <f>HYPERLINK("https://klasma.github.io/Logging_1784/klagomål/A 9032-2025 FSC-klagomål.docx", "A 9032-2025")</f>
        <v/>
      </c>
      <c r="W41">
        <f>HYPERLINK("https://klasma.github.io/Logging_1784/klagomålsmail/A 9032-2025 FSC-klagomål mail.docx", "A 9032-2025")</f>
        <v/>
      </c>
      <c r="X41">
        <f>HYPERLINK("https://klasma.github.io/Logging_1784/tillsyn/A 9032-2025 tillsynsbegäran.docx", "A 9032-2025")</f>
        <v/>
      </c>
      <c r="Y41">
        <f>HYPERLINK("https://klasma.github.io/Logging_1784/tillsynsmail/A 9032-2025 tillsynsbegäran mail.docx", "A 9032-2025")</f>
        <v/>
      </c>
      <c r="Z41">
        <f>HYPERLINK("https://klasma.github.io/Logging_1784/fåglar/A 9032-2025 prioriterade fågelarter.docx", "A 9032-2025")</f>
        <v/>
      </c>
    </row>
    <row r="42" ht="15" customHeight="1">
      <c r="A42" t="inlineStr">
        <is>
          <t>A 19213-2019</t>
        </is>
      </c>
      <c r="B42" s="1" t="n">
        <v>43564</v>
      </c>
      <c r="C42" s="1" t="n">
        <v>45727</v>
      </c>
      <c r="D42" t="inlineStr">
        <is>
          <t>VÄRMLANDS LÄN</t>
        </is>
      </c>
      <c r="E42" t="inlineStr">
        <is>
          <t>ARVIKA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HYPERLINK("https://klasma.github.io/Logging_1784/artfynd/A 19213-2019 artfynd.xlsx", "A 19213-2019")</f>
        <v/>
      </c>
      <c r="T42">
        <f>HYPERLINK("https://klasma.github.io/Logging_1784/kartor/A 19213-2019 karta.png", "A 19213-2019")</f>
        <v/>
      </c>
      <c r="V42">
        <f>HYPERLINK("https://klasma.github.io/Logging_1784/klagomål/A 19213-2019 FSC-klagomål.docx", "A 19213-2019")</f>
        <v/>
      </c>
      <c r="W42">
        <f>HYPERLINK("https://klasma.github.io/Logging_1784/klagomålsmail/A 19213-2019 FSC-klagomål mail.docx", "A 19213-2019")</f>
        <v/>
      </c>
      <c r="X42">
        <f>HYPERLINK("https://klasma.github.io/Logging_1784/tillsyn/A 19213-2019 tillsynsbegäran.docx", "A 19213-2019")</f>
        <v/>
      </c>
      <c r="Y42">
        <f>HYPERLINK("https://klasma.github.io/Logging_1784/tillsynsmail/A 19213-2019 tillsynsbegäran mail.docx", "A 19213-2019")</f>
        <v/>
      </c>
    </row>
    <row r="43" ht="15" customHeight="1">
      <c r="A43" t="inlineStr">
        <is>
          <t>A 30304-2019</t>
        </is>
      </c>
      <c r="B43" s="1" t="n">
        <v>43634</v>
      </c>
      <c r="C43" s="1" t="n">
        <v>45727</v>
      </c>
      <c r="D43" t="inlineStr">
        <is>
          <t>VÄRMLANDS LÄN</t>
        </is>
      </c>
      <c r="E43" t="inlineStr">
        <is>
          <t>ARVIKA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30304-2019 artfynd.xlsx", "A 30304-2019")</f>
        <v/>
      </c>
      <c r="T43">
        <f>HYPERLINK("https://klasma.github.io/Logging_1784/kartor/A 30304-2019 karta.png", "A 30304-2019")</f>
        <v/>
      </c>
      <c r="U43">
        <f>HYPERLINK("https://klasma.github.io/Logging_1784/knärot/A 30304-2019 karta knärot.png", "A 30304-2019")</f>
        <v/>
      </c>
      <c r="V43">
        <f>HYPERLINK("https://klasma.github.io/Logging_1784/klagomål/A 30304-2019 FSC-klagomål.docx", "A 30304-2019")</f>
        <v/>
      </c>
      <c r="W43">
        <f>HYPERLINK("https://klasma.github.io/Logging_1784/klagomålsmail/A 30304-2019 FSC-klagomål mail.docx", "A 30304-2019")</f>
        <v/>
      </c>
      <c r="X43">
        <f>HYPERLINK("https://klasma.github.io/Logging_1784/tillsyn/A 30304-2019 tillsynsbegäran.docx", "A 30304-2019")</f>
        <v/>
      </c>
      <c r="Y43">
        <f>HYPERLINK("https://klasma.github.io/Logging_1784/tillsynsmail/A 30304-2019 tillsynsbegäran mail.docx", "A 30304-2019")</f>
        <v/>
      </c>
    </row>
    <row r="44" ht="15" customHeight="1">
      <c r="A44" t="inlineStr">
        <is>
          <t>A 48854-2019</t>
        </is>
      </c>
      <c r="B44" s="1" t="n">
        <v>43728</v>
      </c>
      <c r="C44" s="1" t="n">
        <v>45727</v>
      </c>
      <c r="D44" t="inlineStr">
        <is>
          <t>VÄRMLANDS LÄN</t>
        </is>
      </c>
      <c r="E44" t="inlineStr">
        <is>
          <t>ARVIKA</t>
        </is>
      </c>
      <c r="G44" t="n">
        <v>8.1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48854-2019 artfynd.xlsx", "A 48854-2019")</f>
        <v/>
      </c>
      <c r="T44">
        <f>HYPERLINK("https://klasma.github.io/Logging_1784/kartor/A 48854-2019 karta.png", "A 48854-2019")</f>
        <v/>
      </c>
      <c r="U44">
        <f>HYPERLINK("https://klasma.github.io/Logging_1784/knärot/A 48854-2019 karta knärot.png", "A 48854-2019")</f>
        <v/>
      </c>
      <c r="V44">
        <f>HYPERLINK("https://klasma.github.io/Logging_1784/klagomål/A 48854-2019 FSC-klagomål.docx", "A 48854-2019")</f>
        <v/>
      </c>
      <c r="W44">
        <f>HYPERLINK("https://klasma.github.io/Logging_1784/klagomålsmail/A 48854-2019 FSC-klagomål mail.docx", "A 48854-2019")</f>
        <v/>
      </c>
      <c r="X44">
        <f>HYPERLINK("https://klasma.github.io/Logging_1784/tillsyn/A 48854-2019 tillsynsbegäran.docx", "A 48854-2019")</f>
        <v/>
      </c>
      <c r="Y44">
        <f>HYPERLINK("https://klasma.github.io/Logging_1784/tillsynsmail/A 48854-2019 tillsynsbegäran mail.docx", "A 48854-2019")</f>
        <v/>
      </c>
    </row>
    <row r="45" ht="15" customHeight="1">
      <c r="A45" t="inlineStr">
        <is>
          <t>A 55931-2019</t>
        </is>
      </c>
      <c r="B45" s="1" t="n">
        <v>43761</v>
      </c>
      <c r="C45" s="1" t="n">
        <v>45727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Blåtryffel</t>
        </is>
      </c>
      <c r="S45">
        <f>HYPERLINK("https://klasma.github.io/Logging_1784/artfynd/A 55931-2019 artfynd.xlsx", "A 55931-2019")</f>
        <v/>
      </c>
      <c r="T45">
        <f>HYPERLINK("https://klasma.github.io/Logging_1784/kartor/A 55931-2019 karta.png", "A 55931-2019")</f>
        <v/>
      </c>
      <c r="V45">
        <f>HYPERLINK("https://klasma.github.io/Logging_1784/klagomål/A 55931-2019 FSC-klagomål.docx", "A 55931-2019")</f>
        <v/>
      </c>
      <c r="W45">
        <f>HYPERLINK("https://klasma.github.io/Logging_1784/klagomålsmail/A 55931-2019 FSC-klagomål mail.docx", "A 55931-2019")</f>
        <v/>
      </c>
      <c r="X45">
        <f>HYPERLINK("https://klasma.github.io/Logging_1784/tillsyn/A 55931-2019 tillsynsbegäran.docx", "A 55931-2019")</f>
        <v/>
      </c>
      <c r="Y45">
        <f>HYPERLINK("https://klasma.github.io/Logging_1784/tillsynsmail/A 55931-2019 tillsynsbegäran mail.docx", "A 55931-2019")</f>
        <v/>
      </c>
    </row>
    <row r="46" ht="15" customHeight="1">
      <c r="A46" t="inlineStr">
        <is>
          <t>A 238-2020</t>
        </is>
      </c>
      <c r="B46" s="1" t="n">
        <v>43835</v>
      </c>
      <c r="C46" s="1" t="n">
        <v>45727</v>
      </c>
      <c r="D46" t="inlineStr">
        <is>
          <t>VÄRMLANDS LÄN</t>
        </is>
      </c>
      <c r="E46" t="inlineStr">
        <is>
          <t>ARVIKA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238-2020 artfynd.xlsx", "A 238-2020")</f>
        <v/>
      </c>
      <c r="T46">
        <f>HYPERLINK("https://klasma.github.io/Logging_1784/kartor/A 238-2020 karta.png", "A 238-2020")</f>
        <v/>
      </c>
      <c r="U46">
        <f>HYPERLINK("https://klasma.github.io/Logging_1784/knärot/A 238-2020 karta knärot.png", "A 238-2020")</f>
        <v/>
      </c>
      <c r="V46">
        <f>HYPERLINK("https://klasma.github.io/Logging_1784/klagomål/A 238-2020 FSC-klagomål.docx", "A 238-2020")</f>
        <v/>
      </c>
      <c r="W46">
        <f>HYPERLINK("https://klasma.github.io/Logging_1784/klagomålsmail/A 238-2020 FSC-klagomål mail.docx", "A 238-2020")</f>
        <v/>
      </c>
      <c r="X46">
        <f>HYPERLINK("https://klasma.github.io/Logging_1784/tillsyn/A 238-2020 tillsynsbegäran.docx", "A 238-2020")</f>
        <v/>
      </c>
      <c r="Y46">
        <f>HYPERLINK("https://klasma.github.io/Logging_1784/tillsynsmail/A 238-2020 tillsynsbegäran mail.docx", "A 238-2020")</f>
        <v/>
      </c>
    </row>
    <row r="47" ht="15" customHeight="1">
      <c r="A47" t="inlineStr">
        <is>
          <t>A 10858-2020</t>
        </is>
      </c>
      <c r="B47" s="1" t="n">
        <v>43889</v>
      </c>
      <c r="C47" s="1" t="n">
        <v>45727</v>
      </c>
      <c r="D47" t="inlineStr">
        <is>
          <t>VÄRMLANDS LÄN</t>
        </is>
      </c>
      <c r="E47" t="inlineStr">
        <is>
          <t>ARVIKA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HYPERLINK("https://klasma.github.io/Logging_1784/artfynd/A 10858-2020 artfynd.xlsx", "A 10858-2020")</f>
        <v/>
      </c>
      <c r="T47">
        <f>HYPERLINK("https://klasma.github.io/Logging_1784/kartor/A 10858-2020 karta.png", "A 10858-2020")</f>
        <v/>
      </c>
      <c r="V47">
        <f>HYPERLINK("https://klasma.github.io/Logging_1784/klagomål/A 10858-2020 FSC-klagomål.docx", "A 10858-2020")</f>
        <v/>
      </c>
      <c r="W47">
        <f>HYPERLINK("https://klasma.github.io/Logging_1784/klagomålsmail/A 10858-2020 FSC-klagomål mail.docx", "A 10858-2020")</f>
        <v/>
      </c>
      <c r="X47">
        <f>HYPERLINK("https://klasma.github.io/Logging_1784/tillsyn/A 10858-2020 tillsynsbegäran.docx", "A 10858-2020")</f>
        <v/>
      </c>
      <c r="Y47">
        <f>HYPERLINK("https://klasma.github.io/Logging_1784/tillsynsmail/A 10858-2020 tillsynsbegäran mail.docx", "A 10858-2020")</f>
        <v/>
      </c>
    </row>
    <row r="48" ht="15" customHeight="1">
      <c r="A48" t="inlineStr">
        <is>
          <t>A 13461-2020</t>
        </is>
      </c>
      <c r="B48" s="1" t="n">
        <v>43902</v>
      </c>
      <c r="C48" s="1" t="n">
        <v>45727</v>
      </c>
      <c r="D48" t="inlineStr">
        <is>
          <t>VÄRMLANDS LÄN</t>
        </is>
      </c>
      <c r="E48" t="inlineStr">
        <is>
          <t>ARVIKA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13461-2020 artfynd.xlsx", "A 13461-2020")</f>
        <v/>
      </c>
      <c r="T48">
        <f>HYPERLINK("https://klasma.github.io/Logging_1784/kartor/A 13461-2020 karta.png", "A 13461-2020")</f>
        <v/>
      </c>
      <c r="U48">
        <f>HYPERLINK("https://klasma.github.io/Logging_1784/knärot/A 13461-2020 karta knärot.png", "A 13461-2020")</f>
        <v/>
      </c>
      <c r="V48">
        <f>HYPERLINK("https://klasma.github.io/Logging_1784/klagomål/A 13461-2020 FSC-klagomål.docx", "A 13461-2020")</f>
        <v/>
      </c>
      <c r="W48">
        <f>HYPERLINK("https://klasma.github.io/Logging_1784/klagomålsmail/A 13461-2020 FSC-klagomål mail.docx", "A 13461-2020")</f>
        <v/>
      </c>
      <c r="X48">
        <f>HYPERLINK("https://klasma.github.io/Logging_1784/tillsyn/A 13461-2020 tillsynsbegäran.docx", "A 13461-2020")</f>
        <v/>
      </c>
      <c r="Y48">
        <f>HYPERLINK("https://klasma.github.io/Logging_1784/tillsynsmail/A 13461-2020 tillsynsbegäran mail.docx", "A 13461-2020")</f>
        <v/>
      </c>
    </row>
    <row r="49" ht="15" customHeight="1">
      <c r="A49" t="inlineStr">
        <is>
          <t>A 30729-2020</t>
        </is>
      </c>
      <c r="B49" s="1" t="n">
        <v>44008</v>
      </c>
      <c r="C49" s="1" t="n">
        <v>45727</v>
      </c>
      <c r="D49" t="inlineStr">
        <is>
          <t>VÄRMLANDS LÄN</t>
        </is>
      </c>
      <c r="E49" t="inlineStr">
        <is>
          <t>ARVIKA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30729-2020 artfynd.xlsx", "A 30729-2020")</f>
        <v/>
      </c>
      <c r="T49">
        <f>HYPERLINK("https://klasma.github.io/Logging_1784/kartor/A 30729-2020 karta.png", "A 30729-2020")</f>
        <v/>
      </c>
      <c r="U49">
        <f>HYPERLINK("https://klasma.github.io/Logging_1784/knärot/A 30729-2020 karta knärot.png", "A 30729-2020")</f>
        <v/>
      </c>
      <c r="V49">
        <f>HYPERLINK("https://klasma.github.io/Logging_1784/klagomål/A 30729-2020 FSC-klagomål.docx", "A 30729-2020")</f>
        <v/>
      </c>
      <c r="W49">
        <f>HYPERLINK("https://klasma.github.io/Logging_1784/klagomålsmail/A 30729-2020 FSC-klagomål mail.docx", "A 30729-2020")</f>
        <v/>
      </c>
      <c r="X49">
        <f>HYPERLINK("https://klasma.github.io/Logging_1784/tillsyn/A 30729-2020 tillsynsbegäran.docx", "A 30729-2020")</f>
        <v/>
      </c>
      <c r="Y49">
        <f>HYPERLINK("https://klasma.github.io/Logging_1784/tillsynsmail/A 30729-2020 tillsynsbegäran mail.docx", "A 30729-2020")</f>
        <v/>
      </c>
    </row>
    <row r="50" ht="15" customHeight="1">
      <c r="A50" t="inlineStr">
        <is>
          <t>A 34769-2020</t>
        </is>
      </c>
      <c r="B50" s="1" t="n">
        <v>44035</v>
      </c>
      <c r="C50" s="1" t="n">
        <v>45727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34769-2020 artfynd.xlsx", "A 34769-2020")</f>
        <v/>
      </c>
      <c r="T50">
        <f>HYPERLINK("https://klasma.github.io/Logging_1784/kartor/A 34769-2020 karta.png", "A 34769-2020")</f>
        <v/>
      </c>
      <c r="U50">
        <f>HYPERLINK("https://klasma.github.io/Logging_1784/knärot/A 34769-2020 karta knärot.png", "A 34769-2020")</f>
        <v/>
      </c>
      <c r="V50">
        <f>HYPERLINK("https://klasma.github.io/Logging_1784/klagomål/A 34769-2020 FSC-klagomål.docx", "A 34769-2020")</f>
        <v/>
      </c>
      <c r="W50">
        <f>HYPERLINK("https://klasma.github.io/Logging_1784/klagomålsmail/A 34769-2020 FSC-klagomål mail.docx", "A 34769-2020")</f>
        <v/>
      </c>
      <c r="X50">
        <f>HYPERLINK("https://klasma.github.io/Logging_1784/tillsyn/A 34769-2020 tillsynsbegäran.docx", "A 34769-2020")</f>
        <v/>
      </c>
      <c r="Y50">
        <f>HYPERLINK("https://klasma.github.io/Logging_1784/tillsynsmail/A 34769-2020 tillsynsbegäran mail.docx", "A 34769-2020")</f>
        <v/>
      </c>
    </row>
    <row r="51" ht="15" customHeight="1">
      <c r="A51" t="inlineStr">
        <is>
          <t>A 36688-2020</t>
        </is>
      </c>
      <c r="B51" s="1" t="n">
        <v>44052</v>
      </c>
      <c r="C51" s="1" t="n">
        <v>45727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36688-2020 artfynd.xlsx", "A 36688-2020")</f>
        <v/>
      </c>
      <c r="T51">
        <f>HYPERLINK("https://klasma.github.io/Logging_1784/kartor/A 36688-2020 karta.png", "A 36688-2020")</f>
        <v/>
      </c>
      <c r="U51">
        <f>HYPERLINK("https://klasma.github.io/Logging_1784/knärot/A 36688-2020 karta knärot.png", "A 36688-2020")</f>
        <v/>
      </c>
      <c r="V51">
        <f>HYPERLINK("https://klasma.github.io/Logging_1784/klagomål/A 36688-2020 FSC-klagomål.docx", "A 36688-2020")</f>
        <v/>
      </c>
      <c r="W51">
        <f>HYPERLINK("https://klasma.github.io/Logging_1784/klagomålsmail/A 36688-2020 FSC-klagomål mail.docx", "A 36688-2020")</f>
        <v/>
      </c>
      <c r="X51">
        <f>HYPERLINK("https://klasma.github.io/Logging_1784/tillsyn/A 36688-2020 tillsynsbegäran.docx", "A 36688-2020")</f>
        <v/>
      </c>
      <c r="Y51">
        <f>HYPERLINK("https://klasma.github.io/Logging_1784/tillsynsmail/A 36688-2020 tillsynsbegäran mail.docx", "A 36688-2020")</f>
        <v/>
      </c>
    </row>
    <row r="52" ht="15" customHeight="1">
      <c r="A52" t="inlineStr">
        <is>
          <t>A 55736-2020</t>
        </is>
      </c>
      <c r="B52" s="1" t="n">
        <v>44132</v>
      </c>
      <c r="C52" s="1" t="n">
        <v>45727</v>
      </c>
      <c r="D52" t="inlineStr">
        <is>
          <t>VÄRMLANDS LÄN</t>
        </is>
      </c>
      <c r="E52" t="inlineStr">
        <is>
          <t>ARVIKA</t>
        </is>
      </c>
      <c r="G52" t="n">
        <v>7.5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55736-2020 artfynd.xlsx", "A 55736-2020")</f>
        <v/>
      </c>
      <c r="T52">
        <f>HYPERLINK("https://klasma.github.io/Logging_1784/kartor/A 55736-2020 karta.png", "A 55736-2020")</f>
        <v/>
      </c>
      <c r="V52">
        <f>HYPERLINK("https://klasma.github.io/Logging_1784/klagomål/A 55736-2020 FSC-klagomål.docx", "A 55736-2020")</f>
        <v/>
      </c>
      <c r="W52">
        <f>HYPERLINK("https://klasma.github.io/Logging_1784/klagomålsmail/A 55736-2020 FSC-klagomål mail.docx", "A 55736-2020")</f>
        <v/>
      </c>
      <c r="X52">
        <f>HYPERLINK("https://klasma.github.io/Logging_1784/tillsyn/A 55736-2020 tillsynsbegäran.docx", "A 55736-2020")</f>
        <v/>
      </c>
      <c r="Y52">
        <f>HYPERLINK("https://klasma.github.io/Logging_1784/tillsynsmail/A 55736-2020 tillsynsbegäran mail.docx", "A 55736-2020")</f>
        <v/>
      </c>
    </row>
    <row r="53" ht="15" customHeight="1">
      <c r="A53" t="inlineStr">
        <is>
          <t>A 56253-2020</t>
        </is>
      </c>
      <c r="B53" s="1" t="n">
        <v>44134</v>
      </c>
      <c r="C53" s="1" t="n">
        <v>45727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56253-2020 artfynd.xlsx", "A 56253-2020")</f>
        <v/>
      </c>
      <c r="T53">
        <f>HYPERLINK("https://klasma.github.io/Logging_1784/kartor/A 56253-2020 karta.png", "A 56253-2020")</f>
        <v/>
      </c>
      <c r="V53">
        <f>HYPERLINK("https://klasma.github.io/Logging_1784/klagomål/A 56253-2020 FSC-klagomål.docx", "A 56253-2020")</f>
        <v/>
      </c>
      <c r="W53">
        <f>HYPERLINK("https://klasma.github.io/Logging_1784/klagomålsmail/A 56253-2020 FSC-klagomål mail.docx", "A 56253-2020")</f>
        <v/>
      </c>
      <c r="X53">
        <f>HYPERLINK("https://klasma.github.io/Logging_1784/tillsyn/A 56253-2020 tillsynsbegäran.docx", "A 56253-2020")</f>
        <v/>
      </c>
      <c r="Y53">
        <f>HYPERLINK("https://klasma.github.io/Logging_1784/tillsynsmail/A 56253-2020 tillsynsbegäran mail.docx", "A 56253-2020")</f>
        <v/>
      </c>
      <c r="Z53">
        <f>HYPERLINK("https://klasma.github.io/Logging_1784/fåglar/A 56253-2020 prioriterade fågelarter.docx", "A 56253-2020")</f>
        <v/>
      </c>
    </row>
    <row r="54" ht="15" customHeight="1">
      <c r="A54" t="inlineStr">
        <is>
          <t>A 63540-2020</t>
        </is>
      </c>
      <c r="B54" s="1" t="n">
        <v>44165</v>
      </c>
      <c r="C54" s="1" t="n">
        <v>45727</v>
      </c>
      <c r="D54" t="inlineStr">
        <is>
          <t>VÄRMLANDS LÄN</t>
        </is>
      </c>
      <c r="E54" t="inlineStr">
        <is>
          <t>ARVIKA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63540-2020 artfynd.xlsx", "A 63540-2020")</f>
        <v/>
      </c>
      <c r="T54">
        <f>HYPERLINK("https://klasma.github.io/Logging_1784/kartor/A 63540-2020 karta.png", "A 63540-2020")</f>
        <v/>
      </c>
      <c r="U54">
        <f>HYPERLINK("https://klasma.github.io/Logging_1784/knärot/A 63540-2020 karta knärot.png", "A 63540-2020")</f>
        <v/>
      </c>
      <c r="V54">
        <f>HYPERLINK("https://klasma.github.io/Logging_1784/klagomål/A 63540-2020 FSC-klagomål.docx", "A 63540-2020")</f>
        <v/>
      </c>
      <c r="W54">
        <f>HYPERLINK("https://klasma.github.io/Logging_1784/klagomålsmail/A 63540-2020 FSC-klagomål mail.docx", "A 63540-2020")</f>
        <v/>
      </c>
      <c r="X54">
        <f>HYPERLINK("https://klasma.github.io/Logging_1784/tillsyn/A 63540-2020 tillsynsbegäran.docx", "A 63540-2020")</f>
        <v/>
      </c>
      <c r="Y54">
        <f>HYPERLINK("https://klasma.github.io/Logging_1784/tillsynsmail/A 63540-2020 tillsynsbegäran mail.docx", "A 63540-2020")</f>
        <v/>
      </c>
    </row>
    <row r="55" ht="15" customHeight="1">
      <c r="A55" t="inlineStr">
        <is>
          <t>A 24022-2021</t>
        </is>
      </c>
      <c r="B55" s="1" t="n">
        <v>44336</v>
      </c>
      <c r="C55" s="1" t="n">
        <v>45727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45727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37342-2021</t>
        </is>
      </c>
      <c r="B57" s="1" t="n">
        <v>44397</v>
      </c>
      <c r="C57" s="1" t="n">
        <v>45727</v>
      </c>
      <c r="D57" t="inlineStr">
        <is>
          <t>VÄRMLANDS LÄN</t>
        </is>
      </c>
      <c r="E57" t="inlineStr">
        <is>
          <t>ARVIKA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37342-2021 artfynd.xlsx", "A 37342-2021")</f>
        <v/>
      </c>
      <c r="T57">
        <f>HYPERLINK("https://klasma.github.io/Logging_1784/kartor/A 37342-2021 karta.png", "A 37342-2021")</f>
        <v/>
      </c>
      <c r="U57">
        <f>HYPERLINK("https://klasma.github.io/Logging_1784/knärot/A 37342-2021 karta knärot.png", "A 37342-2021")</f>
        <v/>
      </c>
      <c r="V57">
        <f>HYPERLINK("https://klasma.github.io/Logging_1784/klagomål/A 37342-2021 FSC-klagomål.docx", "A 37342-2021")</f>
        <v/>
      </c>
      <c r="W57">
        <f>HYPERLINK("https://klasma.github.io/Logging_1784/klagomålsmail/A 37342-2021 FSC-klagomål mail.docx", "A 37342-2021")</f>
        <v/>
      </c>
      <c r="X57">
        <f>HYPERLINK("https://klasma.github.io/Logging_1784/tillsyn/A 37342-2021 tillsynsbegäran.docx", "A 37342-2021")</f>
        <v/>
      </c>
      <c r="Y57">
        <f>HYPERLINK("https://klasma.github.io/Logging_1784/tillsynsmail/A 37342-2021 tillsynsbegäran mail.docx", "A 37342-2021")</f>
        <v/>
      </c>
    </row>
    <row r="58" ht="15" customHeight="1">
      <c r="A58" t="inlineStr">
        <is>
          <t>A 56872-2021</t>
        </is>
      </c>
      <c r="B58" s="1" t="n">
        <v>44481</v>
      </c>
      <c r="C58" s="1" t="n">
        <v>45727</v>
      </c>
      <c r="D58" t="inlineStr">
        <is>
          <t>VÄRMLANDS LÄN</t>
        </is>
      </c>
      <c r="E58" t="inlineStr">
        <is>
          <t>ARVIKA</t>
        </is>
      </c>
      <c r="G58" t="n">
        <v>1.4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56872-2021 artfynd.xlsx", "A 56872-2021")</f>
        <v/>
      </c>
      <c r="T58">
        <f>HYPERLINK("https://klasma.github.io/Logging_1784/kartor/A 56872-2021 karta.png", "A 56872-2021")</f>
        <v/>
      </c>
      <c r="U58">
        <f>HYPERLINK("https://klasma.github.io/Logging_1784/knärot/A 56872-2021 karta knärot.png", "A 56872-2021")</f>
        <v/>
      </c>
      <c r="V58">
        <f>HYPERLINK("https://klasma.github.io/Logging_1784/klagomål/A 56872-2021 FSC-klagomål.docx", "A 56872-2021")</f>
        <v/>
      </c>
      <c r="W58">
        <f>HYPERLINK("https://klasma.github.io/Logging_1784/klagomålsmail/A 56872-2021 FSC-klagomål mail.docx", "A 56872-2021")</f>
        <v/>
      </c>
      <c r="X58">
        <f>HYPERLINK("https://klasma.github.io/Logging_1784/tillsyn/A 56872-2021 tillsynsbegäran.docx", "A 56872-2021")</f>
        <v/>
      </c>
      <c r="Y58">
        <f>HYPERLINK("https://klasma.github.io/Logging_1784/tillsynsmail/A 56872-2021 tillsynsbegäran mail.docx", "A 56872-2021")</f>
        <v/>
      </c>
    </row>
    <row r="59" ht="15" customHeight="1">
      <c r="A59" t="inlineStr">
        <is>
          <t>A 62619-2021</t>
        </is>
      </c>
      <c r="B59" s="1" t="n">
        <v>44503</v>
      </c>
      <c r="C59" s="1" t="n">
        <v>45727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HYPERLINK("https://klasma.github.io/Logging_1784/artfynd/A 62619-2021 artfynd.xlsx", "A 62619-2021")</f>
        <v/>
      </c>
      <c r="T59">
        <f>HYPERLINK("https://klasma.github.io/Logging_1784/kartor/A 62619-2021 karta.png", "A 62619-2021")</f>
        <v/>
      </c>
      <c r="V59">
        <f>HYPERLINK("https://klasma.github.io/Logging_1784/klagomål/A 62619-2021 FSC-klagomål.docx", "A 62619-2021")</f>
        <v/>
      </c>
      <c r="W59">
        <f>HYPERLINK("https://klasma.github.io/Logging_1784/klagomålsmail/A 62619-2021 FSC-klagomål mail.docx", "A 62619-2021")</f>
        <v/>
      </c>
      <c r="X59">
        <f>HYPERLINK("https://klasma.github.io/Logging_1784/tillsyn/A 62619-2021 tillsynsbegäran.docx", "A 62619-2021")</f>
        <v/>
      </c>
      <c r="Y59">
        <f>HYPERLINK("https://klasma.github.io/Logging_1784/tillsynsmail/A 62619-2021 tillsynsbegäran mail.docx", "A 62619-2021")</f>
        <v/>
      </c>
      <c r="Z59">
        <f>HYPERLINK("https://klasma.github.io/Logging_1784/fåglar/A 62619-2021 prioriterade fågelarter.docx", "A 62619-2021")</f>
        <v/>
      </c>
    </row>
    <row r="60" ht="15" customHeight="1">
      <c r="A60" t="inlineStr">
        <is>
          <t>A 64590-2021</t>
        </is>
      </c>
      <c r="B60" s="1" t="n">
        <v>44511</v>
      </c>
      <c r="C60" s="1" t="n">
        <v>45727</v>
      </c>
      <c r="D60" t="inlineStr">
        <is>
          <t>VÄRMLANDS LÄN</t>
        </is>
      </c>
      <c r="E60" t="inlineStr">
        <is>
          <t>ARVIKA</t>
        </is>
      </c>
      <c r="G60" t="n">
        <v>4.1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HYPERLINK("https://klasma.github.io/Logging_1784/artfynd/A 64590-2021 artfynd.xlsx", "A 64590-2021")</f>
        <v/>
      </c>
      <c r="T60">
        <f>HYPERLINK("https://klasma.github.io/Logging_1784/kartor/A 64590-2021 karta.png", "A 64590-2021")</f>
        <v/>
      </c>
      <c r="V60">
        <f>HYPERLINK("https://klasma.github.io/Logging_1784/klagomål/A 64590-2021 FSC-klagomål.docx", "A 64590-2021")</f>
        <v/>
      </c>
      <c r="W60">
        <f>HYPERLINK("https://klasma.github.io/Logging_1784/klagomålsmail/A 64590-2021 FSC-klagomål mail.docx", "A 64590-2021")</f>
        <v/>
      </c>
      <c r="X60">
        <f>HYPERLINK("https://klasma.github.io/Logging_1784/tillsyn/A 64590-2021 tillsynsbegäran.docx", "A 64590-2021")</f>
        <v/>
      </c>
      <c r="Y60">
        <f>HYPERLINK("https://klasma.github.io/Logging_1784/tillsynsmail/A 64590-2021 tillsynsbegäran mail.docx", "A 64590-2021")</f>
        <v/>
      </c>
      <c r="Z60">
        <f>HYPERLINK("https://klasma.github.io/Logging_1784/fåglar/A 64590-2021 prioriterade fågelarter.docx", "A 64590-2021")</f>
        <v/>
      </c>
    </row>
    <row r="61" ht="15" customHeight="1">
      <c r="A61" t="inlineStr">
        <is>
          <t>A 72222-2021</t>
        </is>
      </c>
      <c r="B61" s="1" t="n">
        <v>44544</v>
      </c>
      <c r="C61" s="1" t="n">
        <v>45727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72222-2021 artfynd.xlsx", "A 72222-2021")</f>
        <v/>
      </c>
      <c r="T61">
        <f>HYPERLINK("https://klasma.github.io/Logging_1784/kartor/A 72222-2021 karta.png", "A 72222-2021")</f>
        <v/>
      </c>
      <c r="U61">
        <f>HYPERLINK("https://klasma.github.io/Logging_1784/knärot/A 72222-2021 karta knärot.png", "A 72222-2021")</f>
        <v/>
      </c>
      <c r="V61">
        <f>HYPERLINK("https://klasma.github.io/Logging_1784/klagomål/A 72222-2021 FSC-klagomål.docx", "A 72222-2021")</f>
        <v/>
      </c>
      <c r="W61">
        <f>HYPERLINK("https://klasma.github.io/Logging_1784/klagomålsmail/A 72222-2021 FSC-klagomål mail.docx", "A 72222-2021")</f>
        <v/>
      </c>
      <c r="X61">
        <f>HYPERLINK("https://klasma.github.io/Logging_1784/tillsyn/A 72222-2021 tillsynsbegäran.docx", "A 72222-2021")</f>
        <v/>
      </c>
      <c r="Y61">
        <f>HYPERLINK("https://klasma.github.io/Logging_1784/tillsynsmail/A 72222-2021 tillsynsbegäran mail.docx", "A 72222-2021")</f>
        <v/>
      </c>
    </row>
    <row r="62" ht="15" customHeight="1">
      <c r="A62" t="inlineStr">
        <is>
          <t>A 72829-2021</t>
        </is>
      </c>
      <c r="B62" s="1" t="n">
        <v>44547</v>
      </c>
      <c r="C62" s="1" t="n">
        <v>45727</v>
      </c>
      <c r="D62" t="inlineStr">
        <is>
          <t>VÄRMLANDS LÄN</t>
        </is>
      </c>
      <c r="E62" t="inlineStr">
        <is>
          <t>ARVIKA</t>
        </is>
      </c>
      <c r="G62" t="n">
        <v>5.9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72829-2021 artfynd.xlsx", "A 72829-2021")</f>
        <v/>
      </c>
      <c r="T62">
        <f>HYPERLINK("https://klasma.github.io/Logging_1784/kartor/A 72829-2021 karta.png", "A 72829-2021")</f>
        <v/>
      </c>
      <c r="U62">
        <f>HYPERLINK("https://klasma.github.io/Logging_1784/knärot/A 72829-2021 karta knärot.png", "A 72829-2021")</f>
        <v/>
      </c>
      <c r="V62">
        <f>HYPERLINK("https://klasma.github.io/Logging_1784/klagomål/A 72829-2021 FSC-klagomål.docx", "A 72829-2021")</f>
        <v/>
      </c>
      <c r="W62">
        <f>HYPERLINK("https://klasma.github.io/Logging_1784/klagomålsmail/A 72829-2021 FSC-klagomål mail.docx", "A 72829-2021")</f>
        <v/>
      </c>
      <c r="X62">
        <f>HYPERLINK("https://klasma.github.io/Logging_1784/tillsyn/A 72829-2021 tillsynsbegäran.docx", "A 72829-2021")</f>
        <v/>
      </c>
      <c r="Y62">
        <f>HYPERLINK("https://klasma.github.io/Logging_1784/tillsynsmail/A 72829-2021 tillsynsbegäran mail.docx", "A 72829-2021")</f>
        <v/>
      </c>
    </row>
    <row r="63" ht="15" customHeight="1">
      <c r="A63" t="inlineStr">
        <is>
          <t>A 73999-2021</t>
        </is>
      </c>
      <c r="B63" s="1" t="n">
        <v>44557</v>
      </c>
      <c r="C63" s="1" t="n">
        <v>45727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73999-2021 artfynd.xlsx", "A 73999-2021")</f>
        <v/>
      </c>
      <c r="T63">
        <f>HYPERLINK("https://klasma.github.io/Logging_1784/kartor/A 73999-2021 karta.png", "A 73999-2021")</f>
        <v/>
      </c>
      <c r="U63">
        <f>HYPERLINK("https://klasma.github.io/Logging_1784/knärot/A 73999-2021 karta knärot.png", "A 73999-2021")</f>
        <v/>
      </c>
      <c r="V63">
        <f>HYPERLINK("https://klasma.github.io/Logging_1784/klagomål/A 73999-2021 FSC-klagomål.docx", "A 73999-2021")</f>
        <v/>
      </c>
      <c r="W63">
        <f>HYPERLINK("https://klasma.github.io/Logging_1784/klagomålsmail/A 73999-2021 FSC-klagomål mail.docx", "A 73999-2021")</f>
        <v/>
      </c>
      <c r="X63">
        <f>HYPERLINK("https://klasma.github.io/Logging_1784/tillsyn/A 73999-2021 tillsynsbegäran.docx", "A 73999-2021")</f>
        <v/>
      </c>
      <c r="Y63">
        <f>HYPERLINK("https://klasma.github.io/Logging_1784/tillsynsmail/A 73999-2021 tillsynsbegäran mail.docx", "A 73999-2021")</f>
        <v/>
      </c>
    </row>
    <row r="64" ht="15" customHeight="1">
      <c r="A64" t="inlineStr">
        <is>
          <t>A 6814-2022</t>
        </is>
      </c>
      <c r="B64" s="1" t="n">
        <v>44602</v>
      </c>
      <c r="C64" s="1" t="n">
        <v>45727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6814-2022 artfynd.xlsx", "A 6814-2022")</f>
        <v/>
      </c>
      <c r="T64">
        <f>HYPERLINK("https://klasma.github.io/Logging_1784/kartor/A 6814-2022 karta.png", "A 6814-2022")</f>
        <v/>
      </c>
      <c r="V64">
        <f>HYPERLINK("https://klasma.github.io/Logging_1784/klagomål/A 6814-2022 FSC-klagomål.docx", "A 6814-2022")</f>
        <v/>
      </c>
      <c r="W64">
        <f>HYPERLINK("https://klasma.github.io/Logging_1784/klagomålsmail/A 6814-2022 FSC-klagomål mail.docx", "A 6814-2022")</f>
        <v/>
      </c>
      <c r="X64">
        <f>HYPERLINK("https://klasma.github.io/Logging_1784/tillsyn/A 6814-2022 tillsynsbegäran.docx", "A 6814-2022")</f>
        <v/>
      </c>
      <c r="Y64">
        <f>HYPERLINK("https://klasma.github.io/Logging_1784/tillsynsmail/A 6814-2022 tillsynsbegäran mail.docx", "A 6814-2022")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45727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24756-2022</t>
        </is>
      </c>
      <c r="B66" s="1" t="n">
        <v>44728</v>
      </c>
      <c r="C66" s="1" t="n">
        <v>45727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HYPERLINK("https://klasma.github.io/Logging_1784/artfynd/A 24756-2022 artfynd.xlsx", "A 24756-2022")</f>
        <v/>
      </c>
      <c r="T66">
        <f>HYPERLINK("https://klasma.github.io/Logging_1784/kartor/A 24756-2022 karta.png", "A 24756-2022")</f>
        <v/>
      </c>
      <c r="V66">
        <f>HYPERLINK("https://klasma.github.io/Logging_1784/klagomål/A 24756-2022 FSC-klagomål.docx", "A 24756-2022")</f>
        <v/>
      </c>
      <c r="W66">
        <f>HYPERLINK("https://klasma.github.io/Logging_1784/klagomålsmail/A 24756-2022 FSC-klagomål mail.docx", "A 24756-2022")</f>
        <v/>
      </c>
      <c r="X66">
        <f>HYPERLINK("https://klasma.github.io/Logging_1784/tillsyn/A 24756-2022 tillsynsbegäran.docx", "A 24756-2022")</f>
        <v/>
      </c>
      <c r="Y66">
        <f>HYPERLINK("https://klasma.github.io/Logging_1784/tillsynsmail/A 24756-2022 tillsynsbegäran mail.docx", "A 24756-2022")</f>
        <v/>
      </c>
      <c r="Z66">
        <f>HYPERLINK("https://klasma.github.io/Logging_1784/fåglar/A 24756-2022 prioriterade fågelarter.docx", "A 24756-2022")</f>
        <v/>
      </c>
    </row>
    <row r="67" ht="15" customHeight="1">
      <c r="A67" t="inlineStr">
        <is>
          <t>A 46927-2022</t>
        </is>
      </c>
      <c r="B67" s="1" t="n">
        <v>44851</v>
      </c>
      <c r="C67" s="1" t="n">
        <v>45727</v>
      </c>
      <c r="D67" t="inlineStr">
        <is>
          <t>VÄRMLANDS LÄN</t>
        </is>
      </c>
      <c r="E67" t="inlineStr">
        <is>
          <t>ARVIKA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46927-2022 artfynd.xlsx", "A 46927-2022")</f>
        <v/>
      </c>
      <c r="T67">
        <f>HYPERLINK("https://klasma.github.io/Logging_1784/kartor/A 46927-2022 karta.png", "A 46927-2022")</f>
        <v/>
      </c>
      <c r="U67">
        <f>HYPERLINK("https://klasma.github.io/Logging_1784/knärot/A 46927-2022 karta knärot.png", "A 46927-2022")</f>
        <v/>
      </c>
      <c r="V67">
        <f>HYPERLINK("https://klasma.github.io/Logging_1784/klagomål/A 46927-2022 FSC-klagomål.docx", "A 46927-2022")</f>
        <v/>
      </c>
      <c r="W67">
        <f>HYPERLINK("https://klasma.github.io/Logging_1784/klagomålsmail/A 46927-2022 FSC-klagomål mail.docx", "A 46927-2022")</f>
        <v/>
      </c>
      <c r="X67">
        <f>HYPERLINK("https://klasma.github.io/Logging_1784/tillsyn/A 46927-2022 tillsynsbegäran.docx", "A 46927-2022")</f>
        <v/>
      </c>
      <c r="Y67">
        <f>HYPERLINK("https://klasma.github.io/Logging_1784/tillsynsmail/A 46927-2022 tillsynsbegäran mail.docx", "A 46927-2022")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45727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56676-2022</t>
        </is>
      </c>
      <c r="B69" s="1" t="n">
        <v>44893</v>
      </c>
      <c r="C69" s="1" t="n">
        <v>45727</v>
      </c>
      <c r="D69" t="inlineStr">
        <is>
          <t>VÄRMLANDS LÄN</t>
        </is>
      </c>
      <c r="E69" t="inlineStr">
        <is>
          <t>ARVIKA</t>
        </is>
      </c>
      <c r="F69" t="inlineStr">
        <is>
          <t>Övriga Aktiebolag</t>
        </is>
      </c>
      <c r="G69" t="n">
        <v>5.2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56676-2022 artfynd.xlsx", "A 56676-2022")</f>
        <v/>
      </c>
      <c r="T69">
        <f>HYPERLINK("https://klasma.github.io/Logging_1784/kartor/A 56676-2022 karta.png", "A 56676-2022")</f>
        <v/>
      </c>
      <c r="U69">
        <f>HYPERLINK("https://klasma.github.io/Logging_1784/knärot/A 56676-2022 karta knärot.png", "A 56676-2022")</f>
        <v/>
      </c>
      <c r="V69">
        <f>HYPERLINK("https://klasma.github.io/Logging_1784/klagomål/A 56676-2022 FSC-klagomål.docx", "A 56676-2022")</f>
        <v/>
      </c>
      <c r="W69">
        <f>HYPERLINK("https://klasma.github.io/Logging_1784/klagomålsmail/A 56676-2022 FSC-klagomål mail.docx", "A 56676-2022")</f>
        <v/>
      </c>
      <c r="X69">
        <f>HYPERLINK("https://klasma.github.io/Logging_1784/tillsyn/A 56676-2022 tillsynsbegäran.docx", "A 56676-2022")</f>
        <v/>
      </c>
      <c r="Y69">
        <f>HYPERLINK("https://klasma.github.io/Logging_1784/tillsynsmail/A 56676-2022 tillsynsbegäran mail.docx", "A 56676-2022")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45727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10814-2023</t>
        </is>
      </c>
      <c r="B71" s="1" t="n">
        <v>44990</v>
      </c>
      <c r="C71" s="1" t="n">
        <v>45727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15145-2023</t>
        </is>
      </c>
      <c r="B72" s="1" t="n">
        <v>45016</v>
      </c>
      <c r="C72" s="1" t="n">
        <v>45727</v>
      </c>
      <c r="D72" t="inlineStr">
        <is>
          <t>VÄRMLANDS LÄN</t>
        </is>
      </c>
      <c r="E72" t="inlineStr">
        <is>
          <t>ARVIKA</t>
        </is>
      </c>
      <c r="G72" t="n">
        <v>2.9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15145-2023 artfynd.xlsx", "A 15145-2023")</f>
        <v/>
      </c>
      <c r="T72">
        <f>HYPERLINK("https://klasma.github.io/Logging_1784/kartor/A 15145-2023 karta.png", "A 15145-2023")</f>
        <v/>
      </c>
      <c r="U72">
        <f>HYPERLINK("https://klasma.github.io/Logging_1784/knärot/A 15145-2023 karta knärot.png", "A 15145-2023")</f>
        <v/>
      </c>
      <c r="V72">
        <f>HYPERLINK("https://klasma.github.io/Logging_1784/klagomål/A 15145-2023 FSC-klagomål.docx", "A 15145-2023")</f>
        <v/>
      </c>
      <c r="W72">
        <f>HYPERLINK("https://klasma.github.io/Logging_1784/klagomålsmail/A 15145-2023 FSC-klagomål mail.docx", "A 15145-2023")</f>
        <v/>
      </c>
      <c r="X72">
        <f>HYPERLINK("https://klasma.github.io/Logging_1784/tillsyn/A 15145-2023 tillsynsbegäran.docx", "A 15145-2023")</f>
        <v/>
      </c>
      <c r="Y72">
        <f>HYPERLINK("https://klasma.github.io/Logging_1784/tillsynsmail/A 15145-2023 tillsynsbegäran mail.docx", "A 15145-2023")</f>
        <v/>
      </c>
    </row>
    <row r="73" ht="15" customHeight="1">
      <c r="A73" t="inlineStr">
        <is>
          <t>A 16391-2023</t>
        </is>
      </c>
      <c r="B73" s="1" t="n">
        <v>45029</v>
      </c>
      <c r="C73" s="1" t="n">
        <v>45727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24239-2023</t>
        </is>
      </c>
      <c r="B74" s="1" t="n">
        <v>45079</v>
      </c>
      <c r="C74" s="1" t="n">
        <v>45727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24239-2023 artfynd.xlsx", "A 24239-2023")</f>
        <v/>
      </c>
      <c r="T74">
        <f>HYPERLINK("https://klasma.github.io/Logging_1784/kartor/A 24239-2023 karta.png", "A 24239-2023")</f>
        <v/>
      </c>
      <c r="U74">
        <f>HYPERLINK("https://klasma.github.io/Logging_1784/knärot/A 24239-2023 karta knärot.png", "A 24239-2023")</f>
        <v/>
      </c>
      <c r="V74">
        <f>HYPERLINK("https://klasma.github.io/Logging_1784/klagomål/A 24239-2023 FSC-klagomål.docx", "A 24239-2023")</f>
        <v/>
      </c>
      <c r="W74">
        <f>HYPERLINK("https://klasma.github.io/Logging_1784/klagomålsmail/A 24239-2023 FSC-klagomål mail.docx", "A 24239-2023")</f>
        <v/>
      </c>
      <c r="X74">
        <f>HYPERLINK("https://klasma.github.io/Logging_1784/tillsyn/A 24239-2023 tillsynsbegäran.docx", "A 24239-2023")</f>
        <v/>
      </c>
      <c r="Y74">
        <f>HYPERLINK("https://klasma.github.io/Logging_1784/tillsynsmail/A 24239-2023 tillsynsbegäran mail.docx", "A 24239-2023")</f>
        <v/>
      </c>
    </row>
    <row r="75" ht="15" customHeight="1">
      <c r="A75" t="inlineStr">
        <is>
          <t>A 25913-2023</t>
        </is>
      </c>
      <c r="B75" s="1" t="n">
        <v>45090</v>
      </c>
      <c r="C75" s="1" t="n">
        <v>45727</v>
      </c>
      <c r="D75" t="inlineStr">
        <is>
          <t>VÄRMLANDS LÄN</t>
        </is>
      </c>
      <c r="E75" t="inlineStr">
        <is>
          <t>ARVIKA</t>
        </is>
      </c>
      <c r="G75" t="n">
        <v>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25913-2023 artfynd.xlsx", "A 25913-2023")</f>
        <v/>
      </c>
      <c r="T75">
        <f>HYPERLINK("https://klasma.github.io/Logging_1784/kartor/A 25913-2023 karta.png", "A 25913-2023")</f>
        <v/>
      </c>
      <c r="V75">
        <f>HYPERLINK("https://klasma.github.io/Logging_1784/klagomål/A 25913-2023 FSC-klagomål.docx", "A 25913-2023")</f>
        <v/>
      </c>
      <c r="W75">
        <f>HYPERLINK("https://klasma.github.io/Logging_1784/klagomålsmail/A 25913-2023 FSC-klagomål mail.docx", "A 25913-2023")</f>
        <v/>
      </c>
      <c r="X75">
        <f>HYPERLINK("https://klasma.github.io/Logging_1784/tillsyn/A 25913-2023 tillsynsbegäran.docx", "A 25913-2023")</f>
        <v/>
      </c>
      <c r="Y75">
        <f>HYPERLINK("https://klasma.github.io/Logging_1784/tillsynsmail/A 25913-2023 tillsynsbegäran mail.docx", "A 25913-2023")</f>
        <v/>
      </c>
      <c r="Z75">
        <f>HYPERLINK("https://klasma.github.io/Logging_1784/fåglar/A 25913-2023 prioriterade fågelarter.docx", "A 25913-2023")</f>
        <v/>
      </c>
    </row>
    <row r="76" ht="15" customHeight="1">
      <c r="A76" t="inlineStr">
        <is>
          <t>A 32877-2023</t>
        </is>
      </c>
      <c r="B76" s="1" t="n">
        <v>45124</v>
      </c>
      <c r="C76" s="1" t="n">
        <v>45727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HYPERLINK("https://klasma.github.io/Logging_1784/artfynd/A 32877-2023 artfynd.xlsx", "A 32877-2023")</f>
        <v/>
      </c>
      <c r="T76">
        <f>HYPERLINK("https://klasma.github.io/Logging_1784/kartor/A 32877-2023 karta.png", "A 32877-2023")</f>
        <v/>
      </c>
      <c r="U76">
        <f>HYPERLINK("https://klasma.github.io/Logging_1784/knärot/A 32877-2023 karta knärot.png", "A 32877-2023")</f>
        <v/>
      </c>
      <c r="V76">
        <f>HYPERLINK("https://klasma.github.io/Logging_1784/klagomål/A 32877-2023 FSC-klagomål.docx", "A 32877-2023")</f>
        <v/>
      </c>
      <c r="W76">
        <f>HYPERLINK("https://klasma.github.io/Logging_1784/klagomålsmail/A 32877-2023 FSC-klagomål mail.docx", "A 32877-2023")</f>
        <v/>
      </c>
      <c r="X76">
        <f>HYPERLINK("https://klasma.github.io/Logging_1784/tillsyn/A 32877-2023 tillsynsbegäran.docx", "A 32877-2023")</f>
        <v/>
      </c>
      <c r="Y76">
        <f>HYPERLINK("https://klasma.github.io/Logging_1784/tillsynsmail/A 32877-2023 tillsynsbegäran mail.docx", "A 32877-2023")</f>
        <v/>
      </c>
    </row>
    <row r="77" ht="15" customHeight="1">
      <c r="A77" t="inlineStr">
        <is>
          <t>A 43388-2023</t>
        </is>
      </c>
      <c r="B77" s="1" t="n">
        <v>45183</v>
      </c>
      <c r="C77" s="1" t="n">
        <v>45727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43388-2023 artfynd.xlsx", "A 43388-2023")</f>
        <v/>
      </c>
      <c r="T77">
        <f>HYPERLINK("https://klasma.github.io/Logging_1784/kartor/A 43388-2023 karta.png", "A 43388-2023")</f>
        <v/>
      </c>
      <c r="U77">
        <f>HYPERLINK("https://klasma.github.io/Logging_1784/knärot/A 43388-2023 karta knärot.png", "A 43388-2023")</f>
        <v/>
      </c>
      <c r="V77">
        <f>HYPERLINK("https://klasma.github.io/Logging_1784/klagomål/A 43388-2023 FSC-klagomål.docx", "A 43388-2023")</f>
        <v/>
      </c>
      <c r="W77">
        <f>HYPERLINK("https://klasma.github.io/Logging_1784/klagomålsmail/A 43388-2023 FSC-klagomål mail.docx", "A 43388-2023")</f>
        <v/>
      </c>
      <c r="X77">
        <f>HYPERLINK("https://klasma.github.io/Logging_1784/tillsyn/A 43388-2023 tillsynsbegäran.docx", "A 43388-2023")</f>
        <v/>
      </c>
      <c r="Y77">
        <f>HYPERLINK("https://klasma.github.io/Logging_1784/tillsynsmail/A 43388-2023 tillsynsbegäran mail.docx", "A 43388-2023")</f>
        <v/>
      </c>
    </row>
    <row r="78" ht="15" customHeight="1">
      <c r="A78" t="inlineStr">
        <is>
          <t>A 47141-2023</t>
        </is>
      </c>
      <c r="B78" s="1" t="n">
        <v>45201</v>
      </c>
      <c r="C78" s="1" t="n">
        <v>45727</v>
      </c>
      <c r="D78" t="inlineStr">
        <is>
          <t>VÄRMLANDS LÄN</t>
        </is>
      </c>
      <c r="E78" t="inlineStr">
        <is>
          <t>ARVIKA</t>
        </is>
      </c>
      <c r="G78" t="n">
        <v>3.7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47141-2023 artfynd.xlsx", "A 47141-2023")</f>
        <v/>
      </c>
      <c r="T78">
        <f>HYPERLINK("https://klasma.github.io/Logging_1784/kartor/A 47141-2023 karta.png", "A 47141-2023")</f>
        <v/>
      </c>
      <c r="U78">
        <f>HYPERLINK("https://klasma.github.io/Logging_1784/knärot/A 47141-2023 karta knärot.png", "A 47141-2023")</f>
        <v/>
      </c>
      <c r="V78">
        <f>HYPERLINK("https://klasma.github.io/Logging_1784/klagomål/A 47141-2023 FSC-klagomål.docx", "A 47141-2023")</f>
        <v/>
      </c>
      <c r="W78">
        <f>HYPERLINK("https://klasma.github.io/Logging_1784/klagomålsmail/A 47141-2023 FSC-klagomål mail.docx", "A 47141-2023")</f>
        <v/>
      </c>
      <c r="X78">
        <f>HYPERLINK("https://klasma.github.io/Logging_1784/tillsyn/A 47141-2023 tillsynsbegäran.docx", "A 47141-2023")</f>
        <v/>
      </c>
      <c r="Y78">
        <f>HYPERLINK("https://klasma.github.io/Logging_1784/tillsynsmail/A 47141-2023 tillsynsbegäran mail.docx", "A 47141-2023")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45727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53630-2023</t>
        </is>
      </c>
      <c r="B80" s="1" t="n">
        <v>45230</v>
      </c>
      <c r="C80" s="1" t="n">
        <v>45727</v>
      </c>
      <c r="D80" t="inlineStr">
        <is>
          <t>VÄRMLANDS LÄN</t>
        </is>
      </c>
      <c r="E80" t="inlineStr">
        <is>
          <t>ARVIKA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HYPERLINK("https://klasma.github.io/Logging_1784/artfynd/A 53630-2023 artfynd.xlsx", "A 53630-2023")</f>
        <v/>
      </c>
      <c r="T80">
        <f>HYPERLINK("https://klasma.github.io/Logging_1784/kartor/A 53630-2023 karta.png", "A 53630-2023")</f>
        <v/>
      </c>
      <c r="V80">
        <f>HYPERLINK("https://klasma.github.io/Logging_1784/klagomål/A 53630-2023 FSC-klagomål.docx", "A 53630-2023")</f>
        <v/>
      </c>
      <c r="W80">
        <f>HYPERLINK("https://klasma.github.io/Logging_1784/klagomålsmail/A 53630-2023 FSC-klagomål mail.docx", "A 53630-2023")</f>
        <v/>
      </c>
      <c r="X80">
        <f>HYPERLINK("https://klasma.github.io/Logging_1784/tillsyn/A 53630-2023 tillsynsbegäran.docx", "A 53630-2023")</f>
        <v/>
      </c>
      <c r="Y80">
        <f>HYPERLINK("https://klasma.github.io/Logging_1784/tillsynsmail/A 53630-2023 tillsynsbegäran mail.docx", "A 53630-2023")</f>
        <v/>
      </c>
    </row>
    <row r="81" ht="15" customHeight="1">
      <c r="A81" t="inlineStr">
        <is>
          <t>A 61004-2023</t>
        </is>
      </c>
      <c r="B81" s="1" t="n">
        <v>45261</v>
      </c>
      <c r="C81" s="1" t="n">
        <v>45727</v>
      </c>
      <c r="D81" t="inlineStr">
        <is>
          <t>VÄRMLANDS LÄN</t>
        </is>
      </c>
      <c r="E81" t="inlineStr">
        <is>
          <t>ARVIKA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61004-2023 artfynd.xlsx", "A 61004-2023")</f>
        <v/>
      </c>
      <c r="T81">
        <f>HYPERLINK("https://klasma.github.io/Logging_1784/kartor/A 61004-2023 karta.png", "A 61004-2023")</f>
        <v/>
      </c>
      <c r="U81">
        <f>HYPERLINK("https://klasma.github.io/Logging_1784/knärot/A 61004-2023 karta knärot.png", "A 61004-2023")</f>
        <v/>
      </c>
      <c r="V81">
        <f>HYPERLINK("https://klasma.github.io/Logging_1784/klagomål/A 61004-2023 FSC-klagomål.docx", "A 61004-2023")</f>
        <v/>
      </c>
      <c r="W81">
        <f>HYPERLINK("https://klasma.github.io/Logging_1784/klagomålsmail/A 61004-2023 FSC-klagomål mail.docx", "A 61004-2023")</f>
        <v/>
      </c>
      <c r="X81">
        <f>HYPERLINK("https://klasma.github.io/Logging_1784/tillsyn/A 61004-2023 tillsynsbegäran.docx", "A 61004-2023")</f>
        <v/>
      </c>
      <c r="Y81">
        <f>HYPERLINK("https://klasma.github.io/Logging_1784/tillsynsmail/A 61004-2023 tillsynsbegäran mail.docx", "A 61004-2023")</f>
        <v/>
      </c>
    </row>
    <row r="82" ht="15" customHeight="1">
      <c r="A82" t="inlineStr">
        <is>
          <t>A 9629-2024</t>
        </is>
      </c>
      <c r="B82" s="1" t="n">
        <v>45362</v>
      </c>
      <c r="C82" s="1" t="n">
        <v>45727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HYPERLINK("https://klasma.github.io/Logging_1784/artfynd/A 9629-2024 artfynd.xlsx", "A 9629-2024")</f>
        <v/>
      </c>
      <c r="T82">
        <f>HYPERLINK("https://klasma.github.io/Logging_1784/kartor/A 9629-2024 karta.png", "A 9629-2024")</f>
        <v/>
      </c>
      <c r="V82">
        <f>HYPERLINK("https://klasma.github.io/Logging_1784/klagomål/A 9629-2024 FSC-klagomål.docx", "A 9629-2024")</f>
        <v/>
      </c>
      <c r="W82">
        <f>HYPERLINK("https://klasma.github.io/Logging_1784/klagomålsmail/A 9629-2024 FSC-klagomål mail.docx", "A 9629-2024")</f>
        <v/>
      </c>
      <c r="X82">
        <f>HYPERLINK("https://klasma.github.io/Logging_1784/tillsyn/A 9629-2024 tillsynsbegäran.docx", "A 9629-2024")</f>
        <v/>
      </c>
      <c r="Y82">
        <f>HYPERLINK("https://klasma.github.io/Logging_1784/tillsynsmail/A 9629-2024 tillsynsbegäran mail.docx", "A 9629-2024")</f>
        <v/>
      </c>
      <c r="Z82">
        <f>HYPERLINK("https://klasma.github.io/Logging_1784/fåglar/A 9629-2024 prioriterade fågelarter.docx", "A 9629-2024")</f>
        <v/>
      </c>
    </row>
    <row r="83" ht="15" customHeight="1">
      <c r="A83" t="inlineStr">
        <is>
          <t>A 14030-2024</t>
        </is>
      </c>
      <c r="B83" s="1" t="n">
        <v>45392</v>
      </c>
      <c r="C83" s="1" t="n">
        <v>45727</v>
      </c>
      <c r="D83" t="inlineStr">
        <is>
          <t>VÄRMLANDS LÄN</t>
        </is>
      </c>
      <c r="E83" t="inlineStr">
        <is>
          <t>ARVIKA</t>
        </is>
      </c>
      <c r="F83" t="inlineStr">
        <is>
          <t>Kyrkan</t>
        </is>
      </c>
      <c r="G83" t="n">
        <v>32.2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14030-2024 artfynd.xlsx", "A 14030-2024")</f>
        <v/>
      </c>
      <c r="T83">
        <f>HYPERLINK("https://klasma.github.io/Logging_1784/kartor/A 14030-2024 karta.png", "A 14030-2024")</f>
        <v/>
      </c>
      <c r="U83">
        <f>HYPERLINK("https://klasma.github.io/Logging_1784/knärot/A 14030-2024 karta knärot.png", "A 14030-2024")</f>
        <v/>
      </c>
      <c r="V83">
        <f>HYPERLINK("https://klasma.github.io/Logging_1784/klagomål/A 14030-2024 FSC-klagomål.docx", "A 14030-2024")</f>
        <v/>
      </c>
      <c r="W83">
        <f>HYPERLINK("https://klasma.github.io/Logging_1784/klagomålsmail/A 14030-2024 FSC-klagomål mail.docx", "A 14030-2024")</f>
        <v/>
      </c>
      <c r="X83">
        <f>HYPERLINK("https://klasma.github.io/Logging_1784/tillsyn/A 14030-2024 tillsynsbegäran.docx", "A 14030-2024")</f>
        <v/>
      </c>
      <c r="Y83">
        <f>HYPERLINK("https://klasma.github.io/Logging_1784/tillsynsmail/A 14030-2024 tillsynsbegäran mail.docx", "A 14030-2024")</f>
        <v/>
      </c>
    </row>
    <row r="84" ht="15" customHeight="1">
      <c r="A84" t="inlineStr">
        <is>
          <t>A 17928-2024</t>
        </is>
      </c>
      <c r="B84" s="1" t="n">
        <v>45419</v>
      </c>
      <c r="C84" s="1" t="n">
        <v>45727</v>
      </c>
      <c r="D84" t="inlineStr">
        <is>
          <t>VÄRMLANDS LÄN</t>
        </is>
      </c>
      <c r="E84" t="inlineStr">
        <is>
          <t>ARVIKA</t>
        </is>
      </c>
      <c r="G84" t="n">
        <v>6.7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Bårdlav</t>
        </is>
      </c>
      <c r="S84">
        <f>HYPERLINK("https://klasma.github.io/Logging_1784/artfynd/A 17928-2024 artfynd.xlsx", "A 17928-2024")</f>
        <v/>
      </c>
      <c r="T84">
        <f>HYPERLINK("https://klasma.github.io/Logging_1784/kartor/A 17928-2024 karta.png", "A 17928-2024")</f>
        <v/>
      </c>
      <c r="V84">
        <f>HYPERLINK("https://klasma.github.io/Logging_1784/klagomål/A 17928-2024 FSC-klagomål.docx", "A 17928-2024")</f>
        <v/>
      </c>
      <c r="W84">
        <f>HYPERLINK("https://klasma.github.io/Logging_1784/klagomålsmail/A 17928-2024 FSC-klagomål mail.docx", "A 17928-2024")</f>
        <v/>
      </c>
      <c r="X84">
        <f>HYPERLINK("https://klasma.github.io/Logging_1784/tillsyn/A 17928-2024 tillsynsbegäran.docx", "A 17928-2024")</f>
        <v/>
      </c>
      <c r="Y84">
        <f>HYPERLINK("https://klasma.github.io/Logging_1784/tillsynsmail/A 17928-2024 tillsynsbegäran mail.docx", "A 17928-2024")</f>
        <v/>
      </c>
    </row>
    <row r="85" ht="15" customHeight="1">
      <c r="A85" t="inlineStr">
        <is>
          <t>A 19026-2024</t>
        </is>
      </c>
      <c r="B85" s="1" t="n">
        <v>45427</v>
      </c>
      <c r="C85" s="1" t="n">
        <v>45727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HYPERLINK("https://klasma.github.io/Logging_1784/artfynd/A 19026-2024 artfynd.xlsx", "A 19026-2024")</f>
        <v/>
      </c>
      <c r="T85">
        <f>HYPERLINK("https://klasma.github.io/Logging_1784/kartor/A 19026-2024 karta.png", "A 19026-2024")</f>
        <v/>
      </c>
      <c r="V85">
        <f>HYPERLINK("https://klasma.github.io/Logging_1784/klagomål/A 19026-2024 FSC-klagomål.docx", "A 19026-2024")</f>
        <v/>
      </c>
      <c r="W85">
        <f>HYPERLINK("https://klasma.github.io/Logging_1784/klagomålsmail/A 19026-2024 FSC-klagomål mail.docx", "A 19026-2024")</f>
        <v/>
      </c>
      <c r="X85">
        <f>HYPERLINK("https://klasma.github.io/Logging_1784/tillsyn/A 19026-2024 tillsynsbegäran.docx", "A 19026-2024")</f>
        <v/>
      </c>
      <c r="Y85">
        <f>HYPERLINK("https://klasma.github.io/Logging_1784/tillsynsmail/A 19026-2024 tillsynsbegäran mail.docx", "A 19026-2024")</f>
        <v/>
      </c>
    </row>
    <row r="86" ht="15" customHeight="1">
      <c r="A86" t="inlineStr">
        <is>
          <t>A 23083-2024</t>
        </is>
      </c>
      <c r="B86" s="1" t="n">
        <v>45450</v>
      </c>
      <c r="C86" s="1" t="n">
        <v>45727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23083-2024 artfynd.xlsx", "A 23083-2024")</f>
        <v/>
      </c>
      <c r="T86">
        <f>HYPERLINK("https://klasma.github.io/Logging_1784/kartor/A 23083-2024 karta.png", "A 23083-2024")</f>
        <v/>
      </c>
      <c r="U86">
        <f>HYPERLINK("https://klasma.github.io/Logging_1784/knärot/A 23083-2024 karta knärot.png", "A 23083-2024")</f>
        <v/>
      </c>
      <c r="V86">
        <f>HYPERLINK("https://klasma.github.io/Logging_1784/klagomål/A 23083-2024 FSC-klagomål.docx", "A 23083-2024")</f>
        <v/>
      </c>
      <c r="W86">
        <f>HYPERLINK("https://klasma.github.io/Logging_1784/klagomålsmail/A 23083-2024 FSC-klagomål mail.docx", "A 23083-2024")</f>
        <v/>
      </c>
      <c r="X86">
        <f>HYPERLINK("https://klasma.github.io/Logging_1784/tillsyn/A 23083-2024 tillsynsbegäran.docx", "A 23083-2024")</f>
        <v/>
      </c>
      <c r="Y86">
        <f>HYPERLINK("https://klasma.github.io/Logging_1784/tillsynsmail/A 23083-2024 tillsynsbegäran mail.docx", "A 23083-2024")</f>
        <v/>
      </c>
    </row>
    <row r="87" ht="15" customHeight="1">
      <c r="A87" t="inlineStr">
        <is>
          <t>A 36475-2024</t>
        </is>
      </c>
      <c r="B87" s="1" t="n">
        <v>45537</v>
      </c>
      <c r="C87" s="1" t="n">
        <v>45727</v>
      </c>
      <c r="D87" t="inlineStr">
        <is>
          <t>VÄRMLANDS LÄN</t>
        </is>
      </c>
      <c r="E87" t="inlineStr">
        <is>
          <t>ARVIKA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Slåttergubbemal</t>
        </is>
      </c>
      <c r="S87">
        <f>HYPERLINK("https://klasma.github.io/Logging_1784/artfynd/A 36475-2024 artfynd.xlsx", "A 36475-2024")</f>
        <v/>
      </c>
      <c r="T87">
        <f>HYPERLINK("https://klasma.github.io/Logging_1784/kartor/A 36475-2024 karta.png", "A 36475-2024")</f>
        <v/>
      </c>
      <c r="V87">
        <f>HYPERLINK("https://klasma.github.io/Logging_1784/klagomål/A 36475-2024 FSC-klagomål.docx", "A 36475-2024")</f>
        <v/>
      </c>
      <c r="W87">
        <f>HYPERLINK("https://klasma.github.io/Logging_1784/klagomålsmail/A 36475-2024 FSC-klagomål mail.docx", "A 36475-2024")</f>
        <v/>
      </c>
      <c r="X87">
        <f>HYPERLINK("https://klasma.github.io/Logging_1784/tillsyn/A 36475-2024 tillsynsbegäran.docx", "A 36475-2024")</f>
        <v/>
      </c>
      <c r="Y87">
        <f>HYPERLINK("https://klasma.github.io/Logging_1784/tillsynsmail/A 36475-2024 tillsynsbegäran mail.docx", "A 36475-2024")</f>
        <v/>
      </c>
    </row>
    <row r="88" ht="15" customHeight="1">
      <c r="A88" t="inlineStr">
        <is>
          <t>A 47217-2024</t>
        </is>
      </c>
      <c r="B88" s="1" t="n">
        <v>45586</v>
      </c>
      <c r="C88" s="1" t="n">
        <v>45727</v>
      </c>
      <c r="D88" t="inlineStr">
        <is>
          <t>VÄRMLANDS LÄN</t>
        </is>
      </c>
      <c r="E88" t="inlineStr">
        <is>
          <t>ARVIKA</t>
        </is>
      </c>
      <c r="G88" t="n">
        <v>5.6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47217-2024 artfynd.xlsx", "A 47217-2024")</f>
        <v/>
      </c>
      <c r="T88">
        <f>HYPERLINK("https://klasma.github.io/Logging_1784/kartor/A 47217-2024 karta.png", "A 47217-2024")</f>
        <v/>
      </c>
      <c r="U88">
        <f>HYPERLINK("https://klasma.github.io/Logging_1784/knärot/A 47217-2024 karta knärot.png", "A 47217-2024")</f>
        <v/>
      </c>
      <c r="V88">
        <f>HYPERLINK("https://klasma.github.io/Logging_1784/klagomål/A 47217-2024 FSC-klagomål.docx", "A 47217-2024")</f>
        <v/>
      </c>
      <c r="W88">
        <f>HYPERLINK("https://klasma.github.io/Logging_1784/klagomålsmail/A 47217-2024 FSC-klagomål mail.docx", "A 47217-2024")</f>
        <v/>
      </c>
      <c r="X88">
        <f>HYPERLINK("https://klasma.github.io/Logging_1784/tillsyn/A 47217-2024 tillsynsbegäran.docx", "A 47217-2024")</f>
        <v/>
      </c>
      <c r="Y88">
        <f>HYPERLINK("https://klasma.github.io/Logging_1784/tillsynsmail/A 47217-2024 tillsynsbegäran mail.docx", "A 47217-2024")</f>
        <v/>
      </c>
    </row>
    <row r="89" ht="15" customHeight="1">
      <c r="A89" t="inlineStr">
        <is>
          <t>A 48010-2024</t>
        </is>
      </c>
      <c r="B89" s="1" t="n">
        <v>45589</v>
      </c>
      <c r="C89" s="1" t="n">
        <v>45727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48010-2024 artfynd.xlsx", "A 48010-2024")</f>
        <v/>
      </c>
      <c r="T89">
        <f>HYPERLINK("https://klasma.github.io/Logging_1784/kartor/A 48010-2024 karta.png", "A 48010-2024")</f>
        <v/>
      </c>
      <c r="U89">
        <f>HYPERLINK("https://klasma.github.io/Logging_1784/knärot/A 48010-2024 karta knärot.png", "A 48010-2024")</f>
        <v/>
      </c>
      <c r="V89">
        <f>HYPERLINK("https://klasma.github.io/Logging_1784/klagomål/A 48010-2024 FSC-klagomål.docx", "A 48010-2024")</f>
        <v/>
      </c>
      <c r="W89">
        <f>HYPERLINK("https://klasma.github.io/Logging_1784/klagomålsmail/A 48010-2024 FSC-klagomål mail.docx", "A 48010-2024")</f>
        <v/>
      </c>
      <c r="X89">
        <f>HYPERLINK("https://klasma.github.io/Logging_1784/tillsyn/A 48010-2024 tillsynsbegäran.docx", "A 48010-2024")</f>
        <v/>
      </c>
      <c r="Y89">
        <f>HYPERLINK("https://klasma.github.io/Logging_1784/tillsynsmail/A 48010-2024 tillsynsbegäran mail.docx", "A 48010-2024")</f>
        <v/>
      </c>
    </row>
    <row r="90" ht="15" customHeight="1">
      <c r="A90" t="inlineStr">
        <is>
          <t>A 58108-2024</t>
        </is>
      </c>
      <c r="B90" s="1" t="n">
        <v>45632</v>
      </c>
      <c r="C90" s="1" t="n">
        <v>45727</v>
      </c>
      <c r="D90" t="inlineStr">
        <is>
          <t>VÄRMLANDS LÄN</t>
        </is>
      </c>
      <c r="E90" t="inlineStr">
        <is>
          <t>ARVIKA</t>
        </is>
      </c>
      <c r="G90" t="n">
        <v>10.5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58108-2024 artfynd.xlsx", "A 58108-2024")</f>
        <v/>
      </c>
      <c r="T90">
        <f>HYPERLINK("https://klasma.github.io/Logging_1784/kartor/A 58108-2024 karta.png", "A 58108-2024")</f>
        <v/>
      </c>
      <c r="U90">
        <f>HYPERLINK("https://klasma.github.io/Logging_1784/knärot/A 58108-2024 karta knärot.png", "A 58108-2024")</f>
        <v/>
      </c>
      <c r="V90">
        <f>HYPERLINK("https://klasma.github.io/Logging_1784/klagomål/A 58108-2024 FSC-klagomål.docx", "A 58108-2024")</f>
        <v/>
      </c>
      <c r="W90">
        <f>HYPERLINK("https://klasma.github.io/Logging_1784/klagomålsmail/A 58108-2024 FSC-klagomål mail.docx", "A 58108-2024")</f>
        <v/>
      </c>
      <c r="X90">
        <f>HYPERLINK("https://klasma.github.io/Logging_1784/tillsyn/A 58108-2024 tillsynsbegäran.docx", "A 58108-2024")</f>
        <v/>
      </c>
      <c r="Y90">
        <f>HYPERLINK("https://klasma.github.io/Logging_1784/tillsynsmail/A 58108-2024 tillsynsbegäran mail.docx", "A 58108-2024")</f>
        <v/>
      </c>
    </row>
    <row r="91" ht="15" customHeight="1">
      <c r="A91" t="inlineStr">
        <is>
          <t>A 865-2025</t>
        </is>
      </c>
      <c r="B91" s="1" t="n">
        <v>45665</v>
      </c>
      <c r="C91" s="1" t="n">
        <v>45727</v>
      </c>
      <c r="D91" t="inlineStr">
        <is>
          <t>VÄRMLANDS LÄN</t>
        </is>
      </c>
      <c r="E91" t="inlineStr">
        <is>
          <t>ARVIKA</t>
        </is>
      </c>
      <c r="G91" t="n">
        <v>7.7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HYPERLINK("https://klasma.github.io/Logging_1784/artfynd/A 865-2025 artfynd.xlsx", "A 865-2025")</f>
        <v/>
      </c>
      <c r="T91">
        <f>HYPERLINK("https://klasma.github.io/Logging_1784/kartor/A 865-2025 karta.png", "A 865-2025")</f>
        <v/>
      </c>
      <c r="V91">
        <f>HYPERLINK("https://klasma.github.io/Logging_1784/klagomål/A 865-2025 FSC-klagomål.docx", "A 865-2025")</f>
        <v/>
      </c>
      <c r="W91">
        <f>HYPERLINK("https://klasma.github.io/Logging_1784/klagomålsmail/A 865-2025 FSC-klagomål mail.docx", "A 865-2025")</f>
        <v/>
      </c>
      <c r="X91">
        <f>HYPERLINK("https://klasma.github.io/Logging_1784/tillsyn/A 865-2025 tillsynsbegäran.docx", "A 865-2025")</f>
        <v/>
      </c>
      <c r="Y91">
        <f>HYPERLINK("https://klasma.github.io/Logging_1784/tillsynsmail/A 865-2025 tillsynsbegäran mail.docx", "A 865-2025")</f>
        <v/>
      </c>
    </row>
    <row r="92" ht="15" customHeight="1">
      <c r="A92" t="inlineStr">
        <is>
          <t>A 5779-2025</t>
        </is>
      </c>
      <c r="B92" s="1" t="n">
        <v>45694</v>
      </c>
      <c r="C92" s="1" t="n">
        <v>45727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HYPERLINK("https://klasma.github.io/Logging_1784/artfynd/A 5779-2025 artfynd.xlsx", "A 5779-2025")</f>
        <v/>
      </c>
      <c r="T92">
        <f>HYPERLINK("https://klasma.github.io/Logging_1784/kartor/A 5779-2025 karta.png", "A 5779-2025")</f>
        <v/>
      </c>
      <c r="V92">
        <f>HYPERLINK("https://klasma.github.io/Logging_1784/klagomål/A 5779-2025 FSC-klagomål.docx", "A 5779-2025")</f>
        <v/>
      </c>
      <c r="W92">
        <f>HYPERLINK("https://klasma.github.io/Logging_1784/klagomålsmail/A 5779-2025 FSC-klagomål mail.docx", "A 5779-2025")</f>
        <v/>
      </c>
      <c r="X92">
        <f>HYPERLINK("https://klasma.github.io/Logging_1784/tillsyn/A 5779-2025 tillsynsbegäran.docx", "A 5779-2025")</f>
        <v/>
      </c>
      <c r="Y92">
        <f>HYPERLINK("https://klasma.github.io/Logging_1784/tillsynsmail/A 5779-2025 tillsynsbegäran mail.docx", "A 5779-2025")</f>
        <v/>
      </c>
    </row>
    <row r="93" ht="15" customHeight="1">
      <c r="A93" t="inlineStr">
        <is>
          <t>A 6966-2025</t>
        </is>
      </c>
      <c r="B93" s="1" t="n">
        <v>45701</v>
      </c>
      <c r="C93" s="1" t="n">
        <v>45727</v>
      </c>
      <c r="D93" t="inlineStr">
        <is>
          <t>VÄRMLANDS LÄN</t>
        </is>
      </c>
      <c r="E93" t="inlineStr">
        <is>
          <t>ARVIKA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6966-2025 artfynd.xlsx", "A 6966-2025")</f>
        <v/>
      </c>
      <c r="T93">
        <f>HYPERLINK("https://klasma.github.io/Logging_1784/kartor/A 6966-2025 karta.png", "A 6966-2025")</f>
        <v/>
      </c>
      <c r="U93">
        <f>HYPERLINK("https://klasma.github.io/Logging_1784/knärot/A 6966-2025 karta knärot.png", "A 6966-2025")</f>
        <v/>
      </c>
      <c r="V93">
        <f>HYPERLINK("https://klasma.github.io/Logging_1784/klagomål/A 6966-2025 FSC-klagomål.docx", "A 6966-2025")</f>
        <v/>
      </c>
      <c r="W93">
        <f>HYPERLINK("https://klasma.github.io/Logging_1784/klagomålsmail/A 6966-2025 FSC-klagomål mail.docx", "A 6966-2025")</f>
        <v/>
      </c>
      <c r="X93">
        <f>HYPERLINK("https://klasma.github.io/Logging_1784/tillsyn/A 6966-2025 tillsynsbegäran.docx", "A 6966-2025")</f>
        <v/>
      </c>
      <c r="Y93">
        <f>HYPERLINK("https://klasma.github.io/Logging_1784/tillsynsmail/A 6966-2025 tillsynsbegäran mail.docx", "A 6966-2025")</f>
        <v/>
      </c>
    </row>
    <row r="94" ht="15" customHeight="1">
      <c r="A94" t="inlineStr">
        <is>
          <t>A 7350-2025</t>
        </is>
      </c>
      <c r="B94" s="1" t="n">
        <v>45703</v>
      </c>
      <c r="C94" s="1" t="n">
        <v>45727</v>
      </c>
      <c r="D94" t="inlineStr">
        <is>
          <t>VÄRMLANDS LÄN</t>
        </is>
      </c>
      <c r="E94" t="inlineStr">
        <is>
          <t>ARVIKA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HYPERLINK("https://klasma.github.io/Logging_1784/artfynd/A 7350-2025 artfynd.xlsx", "A 7350-2025")</f>
        <v/>
      </c>
      <c r="T94">
        <f>HYPERLINK("https://klasma.github.io/Logging_1784/kartor/A 7350-2025 karta.png", "A 7350-2025")</f>
        <v/>
      </c>
      <c r="V94">
        <f>HYPERLINK("https://klasma.github.io/Logging_1784/klagomål/A 7350-2025 FSC-klagomål.docx", "A 7350-2025")</f>
        <v/>
      </c>
      <c r="W94">
        <f>HYPERLINK("https://klasma.github.io/Logging_1784/klagomålsmail/A 7350-2025 FSC-klagomål mail.docx", "A 7350-2025")</f>
        <v/>
      </c>
      <c r="X94">
        <f>HYPERLINK("https://klasma.github.io/Logging_1784/tillsyn/A 7350-2025 tillsynsbegäran.docx", "A 7350-2025")</f>
        <v/>
      </c>
      <c r="Y94">
        <f>HYPERLINK("https://klasma.github.io/Logging_1784/tillsynsmail/A 7350-2025 tillsynsbegäran mail.docx", "A 7350-2025")</f>
        <v/>
      </c>
      <c r="Z94">
        <f>HYPERLINK("https://klasma.github.io/Logging_1784/fåglar/A 7350-2025 prioriterade fågelarter.docx", "A 7350-2025")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45727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45727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45727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45727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45727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45727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45727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45727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45727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45727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45727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45727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45727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45727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45727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45727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45727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45727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45727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45727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45727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45727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45727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45727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45727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45727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45727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45727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45727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45727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45727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45727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45727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45727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45727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45727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45727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45727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45727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45727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45727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45727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45727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45727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45727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45727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45727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45727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45727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45727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45727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45727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45727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45727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45727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45727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45727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45727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45727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45727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45727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45727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45727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45727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45727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45727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45727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45727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45727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45727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45727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45727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45727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45727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45727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45727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45727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45727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45727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45727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45727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45727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45727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45727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45727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45727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45727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45727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45727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45727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45727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45727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45727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45727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45727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45727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45727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45727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45727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45727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45727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45727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45727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45727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45727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45727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45727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45727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45727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45727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45727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45727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45727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45727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45727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45727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45727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45727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45727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45727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45727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45727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45727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45727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45727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45727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45727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45727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45727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45727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45727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45727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45727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45727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45727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45727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45727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45727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45727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45727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45727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45727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45727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45727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45727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45727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45727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45727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45727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45727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45727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45727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45727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45727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45727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45727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45727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45727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45727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45727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45727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45727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45727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45727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45727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45727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45727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45727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45727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45727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45727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45727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45727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45727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45727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45727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45727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45727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45727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45727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45727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45727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45727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45727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45727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45727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45727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45727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45727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45727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45727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45727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45727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45727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45727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45727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45727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45727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45727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45727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45727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45727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45727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45727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45727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45727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45727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45727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45727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45727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45727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45727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45727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45727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45727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45727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45727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45727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45727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45727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45727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45727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45727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45727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45727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45727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45727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45727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45727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45727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45727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45727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45727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45727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45727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45727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45727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45727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45727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45727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45727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45727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45727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45727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45727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45727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45727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45727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45727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45727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45727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45727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45727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45727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45727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45727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45727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45727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45727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45727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45727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45727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45727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45727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45727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45727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45727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45727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45727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45727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45727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45727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45727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45727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45727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45727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45727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45727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45727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45727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45727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45727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45727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45727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45727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45727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45727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45727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45727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45727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45727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45727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45727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45727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45727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45727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45727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45727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45727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45727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45727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45727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45727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45727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45727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45727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45727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45727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45727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45727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45727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45727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45727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45727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45727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45727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45727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45727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45727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45727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45727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45727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45727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45727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45727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45727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45727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45727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45727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45727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45727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45727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45727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45727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45727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45727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45727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45727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45727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45727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45727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45727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45727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45727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45727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45727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45727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45727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45727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45727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45727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45727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45727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45727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45727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45727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45727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45727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45727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45727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45727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45727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45727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45727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45727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45727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45727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45727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45727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45727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45727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45727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45727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45727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45727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45727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45727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45727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45727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45727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45727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45727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45727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45727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45727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45727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45727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45727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45727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45727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45727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45727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45727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45727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45727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45727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45727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45727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45727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45727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45727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45727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45727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45727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45727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45727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45727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45727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45727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45727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45727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45727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45727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45727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45727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45727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45727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45727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45727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45727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45727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45727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45727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45727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45727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45727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45727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45727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45727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45727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45727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45727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45727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45727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45727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45727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45727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45727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45727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45727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45727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45727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45727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45727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45727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45727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45727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45727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45727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45727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45727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45727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45727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45727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45727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45727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45727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45727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45727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45727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45727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45727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45727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45727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45727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45727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45727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45727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45727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45727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45727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45727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45727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45727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45727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45727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45727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45727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45727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45727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45727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45727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45727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45727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45727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45727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45727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45727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45727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45727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45727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45727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45727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45727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45727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45727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45727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45727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45727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45727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45727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45727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45727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45727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45727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45727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45727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45727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45727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45727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45727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45727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45727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45727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45727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45727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45727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45727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45727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45727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45727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45727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45727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45727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45727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45727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45727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45727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45727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45727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45727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45727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45727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45727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45727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45727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45727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45727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45727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45727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45727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45727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45727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45727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45727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45727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45727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45727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45727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45727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45727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45727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45727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45727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45727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45727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45727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45727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45727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45727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45727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45727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45727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45727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45727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45727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45727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45727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45727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45727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45727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45727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45727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45727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45727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45727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45727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45727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45727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45727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45727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45727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45727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45727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45727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45727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45727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45727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45727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45727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45727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45727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45727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45727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45727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45727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45727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45727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45727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45727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45727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45727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45727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45727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45727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45727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45727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45727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45727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45727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45727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45727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45727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45727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45727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45727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45727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45727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45727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45727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45727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45727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45727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45727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45727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45727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45727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45727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45727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45727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45727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45727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45727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45727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45727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45727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45727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45727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45727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45727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45727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45727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45727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45727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45727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45727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45727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45727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45727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45727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45727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45727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45727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45727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45727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45727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45727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45727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45727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45727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45727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45727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45727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45727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45727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45727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45727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45727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45727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45727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45727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45727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45727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45727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45727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45727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45727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45727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45727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45727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45727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45727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45727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45727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45727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45727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45727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45727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45727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45727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45727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45727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45727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45727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45727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45727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45727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45727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45727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45727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45727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45727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45727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45727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45727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45727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45727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45727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45727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45727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45727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45727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45727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45727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45727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45727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45727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45727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45727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45727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45727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45727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45727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45727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45727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45727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45727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45727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45727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45727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45727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45727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45727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45727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45727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45727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45727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45727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45727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45727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45727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45727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45727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45727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45727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45727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45727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45727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45727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45727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45727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45727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45727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45727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45727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45727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45727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45727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45727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45727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45727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45727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45727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45727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45727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45727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45727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45727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45727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45727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45727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45727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45727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45727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45727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45727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45727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45727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45727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45727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45727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45727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45727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45727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45727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45727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45727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45727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45727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45727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45727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45727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45727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45727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45727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45727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45727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45727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45727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45727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45727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45727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45727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45727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45727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45727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45727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45727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45727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45727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45727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45727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45727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45727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45727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45727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45727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45727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45727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45727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45727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45727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45727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45727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45727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45727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45727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45727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45727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45727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45727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45727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45727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45727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45727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45727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45727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45727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45727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45727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45727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45727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45727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45727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45727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45727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45727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45727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45727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45727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45727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45727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45727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45727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45727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45727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45727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45727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45727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45727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45727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45727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45727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45727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45727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45727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45727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45727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45727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45727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45727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45727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45727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45727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45727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45727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45727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45727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45727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45727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45727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45727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45727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45727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45727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45727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45727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45727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45727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45727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45727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45727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45727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45727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45727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45727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45727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45727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45727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45727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45727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45727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45727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45727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45727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45727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45727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45727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45727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45727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45727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45727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45727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45727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45727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45727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45727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45727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45727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45727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45727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45727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45727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45727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45727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45727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45727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45727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45727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45727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45727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45727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45727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45727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45727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45727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45727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45727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45727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45727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45727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45727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45727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45727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45727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45727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45727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45727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45727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45727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45727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45727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45727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45727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45727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45727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45727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45727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45727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45727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45727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45727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45727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45727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45727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45727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45727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45727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45727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45727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45727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45727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45727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45727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45727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45727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45727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45727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45727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45727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45727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45727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45727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45727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45727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45727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45727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45727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45727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45727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45727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45727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45727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45727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45727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45727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45727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45727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45727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45727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45727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45727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45727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45727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45727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45727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45727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45727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45727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45727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45727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45727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45727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45727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45727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45727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45727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45727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45727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45727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45727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45727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45727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45727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45727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45727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45727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45727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45727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45727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45727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45727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45727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45727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45727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45727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45727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45727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45727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45727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45727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45727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45727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45727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45727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45727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45727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45727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45727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45727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45727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45727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45727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45727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45727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45727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45727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45727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45727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45727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45727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45727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45727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45727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45727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45727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45727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45727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45727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45727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45727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45727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45727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45727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45727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45727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45727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45727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45727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45727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45727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45727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45727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45727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45727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45727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45727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45727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45727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45727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45727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45727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45727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45727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45727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45727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45727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45727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45727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45727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45727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45727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45727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45727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45727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45727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45727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45727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45727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45727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45727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45727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45727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45727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45727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45727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45727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45727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45727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45727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45727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45727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45727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45727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45727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45727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45727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45727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45727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45727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45727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45727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45727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45727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45727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45727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45727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45727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45727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45727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45727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45727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45727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45727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45727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45727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45727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45727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45727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45727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45727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45727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45727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45727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45727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45727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45727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45727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45727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45727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45727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45727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45727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45727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45727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45727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45727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45727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45727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45727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45727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45727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45727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45727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45727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45727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45727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45727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45727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45727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45727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45727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45727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45727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45727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45727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45727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45727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45727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45727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45727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45727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45727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45727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45727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45727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45727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45727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45727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45727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45727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45727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45727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45727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45727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45727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45727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45727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45727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45727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45727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45727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45727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45727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45727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45727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45727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45727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45727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45727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45727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45727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45727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45727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45727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45727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45727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45727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45727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45727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45727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45727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45727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45727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45727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45727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45727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45727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45727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45727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45727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45727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45727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45727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45727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45727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45727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45727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45727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45727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45727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45727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45727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45727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45727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45727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45727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45727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45727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45727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45727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45727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45727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45727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45727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45727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45727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45727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45727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45727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45727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45727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45727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45727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45727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45727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45727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45727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45727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45727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45727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45727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45727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45727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45727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45727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45727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45727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45727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45727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45727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45727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45727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45727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45727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45727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45727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45727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45727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45727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45727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45727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45727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45727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45727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45727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45727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45727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45727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45727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45727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45727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45727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45727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45727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45727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45727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45727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45727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45727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45727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45727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45727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45727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45727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45727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45727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45727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45727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45727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45727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45727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45727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45727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45727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45727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45727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45727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45727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45727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45727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45727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45727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45727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45727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45727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45727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45727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45727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45727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45727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45727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45727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45727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45727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45727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45727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45727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45727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45727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45727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45727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45727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45727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45727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45727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45727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45727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45727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45727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45727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45727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45727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45727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45727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45727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45727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45727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45727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45727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45727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45727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45727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45727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45727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45727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45727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45727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45727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45727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45727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45727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45727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45727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45727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45727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45727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45727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45727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45727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45727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45727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45727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45727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45727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45727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45727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45727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45727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45727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45727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45727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45727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45727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45727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45727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45727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45727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45727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45727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45727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45727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45727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45727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45727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45727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45727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45727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45727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45727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45727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45727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45727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45727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45727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45727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45727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45727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45727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45727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45727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45727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45727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45727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45727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45727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45727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45727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45727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45727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45727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45727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45727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45727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45727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45727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45727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45727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45727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45727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45727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45727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45727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45727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45727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45727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45727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45727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45727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45727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45727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45727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45727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45727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45727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45727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45727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45727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45727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45727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45727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45727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45727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45727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45727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45727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45727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45727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45727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45727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45727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45727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45727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45727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45727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45727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45727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45727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45727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45727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45727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45727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45727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45727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45727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45727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45727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45727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45727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45727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45727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45727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45727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45727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45727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45727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45727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45727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45727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45727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45727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45727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45727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45727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45727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45727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45727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45727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45727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45727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45727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45727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45727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45727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45727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45727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45727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45727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45727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45727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45727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45727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45727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45727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45727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45727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45727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45727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45727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45727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45727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45727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45727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45727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45727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45727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45727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45727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45727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45727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45727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45727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45727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45727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45727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45727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45727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45727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45727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45727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45727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45727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45727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45727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45727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45727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45727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45727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45727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45727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45727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45727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45727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45727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45727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45727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45727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45727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45727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45727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45727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45727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45727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45727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45727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45727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45727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45727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45727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45727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45727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45727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45727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45727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45727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45727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45727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45727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45727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45727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45727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45727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45727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45727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45727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45727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45727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45727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45727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45727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45727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45727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45727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45727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45727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45727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45727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45727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45727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45727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45727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45727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45727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45727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45727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45727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45727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45727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45727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45727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45727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45727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45727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45727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45727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45727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45727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45727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45727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45727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45727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45727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45727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45727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45727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45727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45727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45727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45727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45727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45727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45727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45727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45727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45727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45727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45727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45727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45727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45727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45727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45727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45727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45727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45727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45727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45727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45727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45727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45727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45727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45727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45727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45727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45727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45727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45727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45727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45727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45727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45727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45727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45727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45727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45727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45727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45727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45727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45727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45727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45727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45727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45727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45727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45727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45727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45727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45727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45727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45727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45727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45727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45727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45727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45727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45727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45727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45727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45727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45727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45727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45727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45727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45727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45727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45727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45727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45727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45727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45727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45727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45727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45727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45727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45727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45727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45727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45727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45727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45727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45727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45727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45727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45727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45727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45727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45727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45727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45727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45727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45727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45727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45727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45727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45727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45727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45727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45727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45727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45727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6186-2025</t>
        </is>
      </c>
      <c r="B2262" s="1" t="n">
        <v>45698</v>
      </c>
      <c r="C2262" s="1" t="n">
        <v>45727</v>
      </c>
      <c r="D2262" t="inlineStr">
        <is>
          <t>VÄRMLANDS LÄN</t>
        </is>
      </c>
      <c r="E2262" t="inlineStr">
        <is>
          <t>ARVIKA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6223-2025</t>
        </is>
      </c>
      <c r="B2263" s="1" t="n">
        <v>45698</v>
      </c>
      <c r="C2263" s="1" t="n">
        <v>45727</v>
      </c>
      <c r="D2263" t="inlineStr">
        <is>
          <t>VÄRMLANDS LÄN</t>
        </is>
      </c>
      <c r="E2263" t="inlineStr">
        <is>
          <t>ARVIKA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45727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6250-2025</t>
        </is>
      </c>
      <c r="B2265" s="1" t="n">
        <v>45698</v>
      </c>
      <c r="C2265" s="1" t="n">
        <v>45727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6110-2025</t>
        </is>
      </c>
      <c r="B2266" s="1" t="n">
        <v>45698</v>
      </c>
      <c r="C2266" s="1" t="n">
        <v>45727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45727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45727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45727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45727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45727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45727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45727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45727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7741-2025</t>
        </is>
      </c>
      <c r="B2275" s="1" t="n">
        <v>45706</v>
      </c>
      <c r="C2275" s="1" t="n">
        <v>45727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7842-2025</t>
        </is>
      </c>
      <c r="B2276" s="1" t="n">
        <v>45706</v>
      </c>
      <c r="C2276" s="1" t="n">
        <v>45727</v>
      </c>
      <c r="D2276" t="inlineStr">
        <is>
          <t>VÄRMLANDS LÄN</t>
        </is>
      </c>
      <c r="E2276" t="inlineStr">
        <is>
          <t>ARVIKA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45727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45727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45727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7980-2025</t>
        </is>
      </c>
      <c r="B2280" s="1" t="n">
        <v>45707</v>
      </c>
      <c r="C2280" s="1" t="n">
        <v>45727</v>
      </c>
      <c r="D2280" t="inlineStr">
        <is>
          <t>VÄRMLANDS LÄN</t>
        </is>
      </c>
      <c r="E2280" t="inlineStr">
        <is>
          <t>ARVIKA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45727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45727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45727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45727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45727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45727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45727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45727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45727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45727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45727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45727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45727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45727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45727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9749-2025</t>
        </is>
      </c>
      <c r="B2296" s="1" t="n">
        <v>45716</v>
      </c>
      <c r="C2296" s="1" t="n">
        <v>45727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45727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45727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45727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10475-2025</t>
        </is>
      </c>
      <c r="B2300" s="1" t="n">
        <v>45720</v>
      </c>
      <c r="C2300" s="1" t="n">
        <v>45727</v>
      </c>
      <c r="D2300" t="inlineStr">
        <is>
          <t>VÄRMLANDS LÄN</t>
        </is>
      </c>
      <c r="E2300" t="inlineStr">
        <is>
          <t>ARVIKA</t>
        </is>
      </c>
      <c r="F2300" t="inlineStr">
        <is>
          <t>Kyrkan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45727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10256-2025</t>
        </is>
      </c>
      <c r="B2302" s="1" t="n">
        <v>45720</v>
      </c>
      <c r="C2302" s="1" t="n">
        <v>45727</v>
      </c>
      <c r="D2302" t="inlineStr">
        <is>
          <t>VÄRMLANDS LÄN</t>
        </is>
      </c>
      <c r="E2302" t="inlineStr">
        <is>
          <t>ARVIKA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10276-2025</t>
        </is>
      </c>
      <c r="B2303" s="1" t="n">
        <v>45720</v>
      </c>
      <c r="C2303" s="1" t="n">
        <v>45727</v>
      </c>
      <c r="D2303" t="inlineStr">
        <is>
          <t>VÄRMLANDS LÄN</t>
        </is>
      </c>
      <c r="E2303" t="inlineStr">
        <is>
          <t>ARVIKA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45727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10404-2025</t>
        </is>
      </c>
      <c r="B2305" s="1" t="n">
        <v>45720</v>
      </c>
      <c r="C2305" s="1" t="n">
        <v>45727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45727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45727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10648-2025</t>
        </is>
      </c>
      <c r="B2308" s="1" t="n">
        <v>45721</v>
      </c>
      <c r="C2308" s="1" t="n">
        <v>45727</v>
      </c>
      <c r="D2308" t="inlineStr">
        <is>
          <t>VÄRMLANDS LÄN</t>
        </is>
      </c>
      <c r="E2308" t="inlineStr">
        <is>
          <t>ARVIKA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10572-2025</t>
        </is>
      </c>
      <c r="B2309" s="1" t="n">
        <v>45721</v>
      </c>
      <c r="C2309" s="1" t="n">
        <v>45727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10599-2025</t>
        </is>
      </c>
      <c r="B2310" s="1" t="n">
        <v>45721</v>
      </c>
      <c r="C2310" s="1" t="n">
        <v>45727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45727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45727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45727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>
      <c r="A2314" t="inlineStr">
        <is>
          <t>A 11321-2025</t>
        </is>
      </c>
      <c r="B2314" s="1" t="n">
        <v>45726</v>
      </c>
      <c r="C2314" s="1" t="n">
        <v>45727</v>
      </c>
      <c r="D2314" t="inlineStr">
        <is>
          <t>VÄRMLANDS LÄN</t>
        </is>
      </c>
      <c r="E2314" t="inlineStr">
        <is>
          <t>ARVIKA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2025-03-11T17:14:52Z</dcterms:created>
  <dcterms:modified xmlns:dcterms="http://purl.org/dc/terms/" xmlns:xsi="http://www.w3.org/2001/XMLSchema-instance" xsi:type="dcterms:W3CDTF">2025-03-11T17:14:54Z</dcterms:modified>
</cp:coreProperties>
</file>