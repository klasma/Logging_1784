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46143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46143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46143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46143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46143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46143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46143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46143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46143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46143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46143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46143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46143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46143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46143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27397-2025</t>
        </is>
      </c>
      <c r="B17" s="1" t="n">
        <v>45812</v>
      </c>
      <c r="C17" s="1" t="n">
        <v>46143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Tjäder
Fläcknycklar</t>
        </is>
      </c>
      <c r="S17">
        <f>HYPERLINK("https://klasma.github.io/Logging_1784/artfynd/A 27397-2025 artfynd.xlsx", "A 27397-2025")</f>
        <v/>
      </c>
      <c r="T17">
        <f>HYPERLINK("https://klasma.github.io/Logging_1784/kartor/A 27397-2025 karta.png", "A 27397-2025")</f>
        <v/>
      </c>
      <c r="V17">
        <f>HYPERLINK("https://klasma.github.io/Logging_1784/klagomål/A 27397-2025 FSC-klagomål.docx", "A 27397-2025")</f>
        <v/>
      </c>
      <c r="W17">
        <f>HYPERLINK("https://klasma.github.io/Logging_1784/klagomålsmail/A 27397-2025 FSC-klagomål mail.docx", "A 27397-2025")</f>
        <v/>
      </c>
      <c r="X17">
        <f>HYPERLINK("https://klasma.github.io/Logging_1784/tillsyn/A 27397-2025 tillsynsbegäran.docx", "A 27397-2025")</f>
        <v/>
      </c>
      <c r="Y17">
        <f>HYPERLINK("https://klasma.github.io/Logging_1784/tillsynsmail/A 27397-2025 tillsynsbegäran mail.docx", "A 27397-2025")</f>
        <v/>
      </c>
      <c r="Z17">
        <f>HYPERLINK("https://klasma.github.io/Logging_1784/fåglar/A 27397-2025 prioriterade fågelarter.docx", "A 27397-2025")</f>
        <v/>
      </c>
    </row>
    <row r="18" ht="15" customHeight="1">
      <c r="A18" t="inlineStr">
        <is>
          <t>A 5936-2025</t>
        </is>
      </c>
      <c r="B18" s="1" t="n">
        <v>45695</v>
      </c>
      <c r="C18" s="1" t="n">
        <v>46143</v>
      </c>
      <c r="D18" t="inlineStr">
        <is>
          <t>VÄRMLANDS LÄN</t>
        </is>
      </c>
      <c r="E18" t="inlineStr">
        <is>
          <t>ARVIKA</t>
        </is>
      </c>
      <c r="G18" t="n">
        <v>8.300000000000001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Mindre hackspett
Talltita</t>
        </is>
      </c>
      <c r="S18">
        <f>HYPERLINK("https://klasma.github.io/Logging_1784/artfynd/A 5936-2025 artfynd.xlsx", "A 5936-2025")</f>
        <v/>
      </c>
      <c r="T18">
        <f>HYPERLINK("https://klasma.github.io/Logging_1784/kartor/A 5936-2025 karta.png", "A 5936-2025")</f>
        <v/>
      </c>
      <c r="U18">
        <f>HYPERLINK("https://klasma.github.io/Logging_1784/knärot/A 5936-2025 karta knärot.png", "A 5936-2025")</f>
        <v/>
      </c>
      <c r="V18">
        <f>HYPERLINK("https://klasma.github.io/Logging_1784/klagomål/A 5936-2025 FSC-klagomål.docx", "A 5936-2025")</f>
        <v/>
      </c>
      <c r="W18">
        <f>HYPERLINK("https://klasma.github.io/Logging_1784/klagomålsmail/A 5936-2025 FSC-klagomål mail.docx", "A 5936-2025")</f>
        <v/>
      </c>
      <c r="X18">
        <f>HYPERLINK("https://klasma.github.io/Logging_1784/tillsyn/A 5936-2025 tillsynsbegäran.docx", "A 5936-2025")</f>
        <v/>
      </c>
      <c r="Y18">
        <f>HYPERLINK("https://klasma.github.io/Logging_1784/tillsynsmail/A 5936-2025 tillsynsbegäran mail.docx", "A 5936-2025")</f>
        <v/>
      </c>
      <c r="Z18">
        <f>HYPERLINK("https://klasma.github.io/Logging_1784/fåglar/A 5936-2025 prioriterade fågelarter.docx", "A 5936-2025")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46143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7583-2026</t>
        </is>
      </c>
      <c r="B20" s="1" t="n">
        <v>46061</v>
      </c>
      <c r="C20" s="1" t="n">
        <v>46143</v>
      </c>
      <c r="D20" t="inlineStr">
        <is>
          <t>VÄRMLANDS LÄN</t>
        </is>
      </c>
      <c r="E20" t="inlineStr">
        <is>
          <t>ARVIKA</t>
        </is>
      </c>
      <c r="G20" t="n">
        <v>3.3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Tretåig hackspett
Orre</t>
        </is>
      </c>
      <c r="S20">
        <f>HYPERLINK("https://klasma.github.io/Logging_1784/artfynd/A 7583-2026 artfynd.xlsx", "A 7583-2026")</f>
        <v/>
      </c>
      <c r="T20">
        <f>HYPERLINK("https://klasma.github.io/Logging_1784/kartor/A 7583-2026 karta.png", "A 7583-2026")</f>
        <v/>
      </c>
      <c r="V20">
        <f>HYPERLINK("https://klasma.github.io/Logging_1784/klagomål/A 7583-2026 FSC-klagomål.docx", "A 7583-2026")</f>
        <v/>
      </c>
      <c r="W20">
        <f>HYPERLINK("https://klasma.github.io/Logging_1784/klagomålsmail/A 7583-2026 FSC-klagomål mail.docx", "A 7583-2026")</f>
        <v/>
      </c>
      <c r="X20">
        <f>HYPERLINK("https://klasma.github.io/Logging_1784/tillsyn/A 7583-2026 tillsynsbegäran.docx", "A 7583-2026")</f>
        <v/>
      </c>
      <c r="Y20">
        <f>HYPERLINK("https://klasma.github.io/Logging_1784/tillsynsmail/A 7583-2026 tillsynsbegäran mail.docx", "A 7583-2026")</f>
        <v/>
      </c>
      <c r="Z20">
        <f>HYPERLINK("https://klasma.github.io/Logging_1784/fåglar/A 7583-2026 prioriterade fågelarter.docx", "A 7583-2026")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46143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46143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46143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46143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46143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46143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1506-2024</t>
        </is>
      </c>
      <c r="B27" s="1" t="n">
        <v>45306</v>
      </c>
      <c r="C27" s="1" t="n">
        <v>46143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Mattlummer</t>
        </is>
      </c>
      <c r="S27">
        <f>HYPERLINK("https://klasma.github.io/Logging_1784/artfynd/A 1506-2024 artfynd.xlsx", "A 1506-2024")</f>
        <v/>
      </c>
      <c r="T27">
        <f>HYPERLINK("https://klasma.github.io/Logging_1784/kartor/A 1506-2024 karta.png", "A 1506-2024")</f>
        <v/>
      </c>
      <c r="V27">
        <f>HYPERLINK("https://klasma.github.io/Logging_1784/klagomål/A 1506-2024 FSC-klagomål.docx", "A 1506-2024")</f>
        <v/>
      </c>
      <c r="W27">
        <f>HYPERLINK("https://klasma.github.io/Logging_1784/klagomålsmail/A 1506-2024 FSC-klagomål mail.docx", "A 1506-2024")</f>
        <v/>
      </c>
      <c r="X27">
        <f>HYPERLINK("https://klasma.github.io/Logging_1784/tillsyn/A 1506-2024 tillsynsbegäran.docx", "A 1506-2024")</f>
        <v/>
      </c>
      <c r="Y27">
        <f>HYPERLINK("https://klasma.github.io/Logging_1784/tillsynsmail/A 1506-2024 tillsynsbegäran mail.docx", "A 1506-2024")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46143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46143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46143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46143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46143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51595-2025</t>
        </is>
      </c>
      <c r="B33" s="1" t="n">
        <v>45951.36814814815</v>
      </c>
      <c r="C33" s="1" t="n">
        <v>46143</v>
      </c>
      <c r="D33" t="inlineStr">
        <is>
          <t>VÄRMLANDS LÄN</t>
        </is>
      </c>
      <c r="E33" t="inlineStr">
        <is>
          <t>ARVIKA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Kattfotslav
Tjäder</t>
        </is>
      </c>
      <c r="S33">
        <f>HYPERLINK("https://klasma.github.io/Logging_1784/artfynd/A 51595-2025 artfynd.xlsx", "A 51595-2025")</f>
        <v/>
      </c>
      <c r="T33">
        <f>HYPERLINK("https://klasma.github.io/Logging_1784/kartor/A 51595-2025 karta.png", "A 51595-2025")</f>
        <v/>
      </c>
      <c r="V33">
        <f>HYPERLINK("https://klasma.github.io/Logging_1784/klagomål/A 51595-2025 FSC-klagomål.docx", "A 51595-2025")</f>
        <v/>
      </c>
      <c r="W33">
        <f>HYPERLINK("https://klasma.github.io/Logging_1784/klagomålsmail/A 51595-2025 FSC-klagomål mail.docx", "A 51595-2025")</f>
        <v/>
      </c>
      <c r="X33">
        <f>HYPERLINK("https://klasma.github.io/Logging_1784/tillsyn/A 51595-2025 tillsynsbegäran.docx", "A 51595-2025")</f>
        <v/>
      </c>
      <c r="Y33">
        <f>HYPERLINK("https://klasma.github.io/Logging_1784/tillsynsmail/A 51595-2025 tillsynsbegäran mail.docx", "A 51595-2025")</f>
        <v/>
      </c>
      <c r="Z33">
        <f>HYPERLINK("https://klasma.github.io/Logging_1784/fåglar/A 51595-2025 prioriterade fågelarter.docx", "A 51595-2025")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46143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46143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12887-2026</t>
        </is>
      </c>
      <c r="B36" s="1" t="n">
        <v>46092.5500462963</v>
      </c>
      <c r="C36" s="1" t="n">
        <v>46143</v>
      </c>
      <c r="D36" t="inlineStr">
        <is>
          <t>VÄRMLANDS LÄN</t>
        </is>
      </c>
      <c r="E36" t="inlineStr">
        <is>
          <t>ARVIKA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12887-2026 artfynd.xlsx", "A 12887-2026")</f>
        <v/>
      </c>
      <c r="T36">
        <f>HYPERLINK("https://klasma.github.io/Logging_1784/kartor/A 12887-2026 karta.png", "A 12887-2026")</f>
        <v/>
      </c>
      <c r="V36">
        <f>HYPERLINK("https://klasma.github.io/Logging_1784/klagomål/A 12887-2026 FSC-klagomål.docx", "A 12887-2026")</f>
        <v/>
      </c>
      <c r="W36">
        <f>HYPERLINK("https://klasma.github.io/Logging_1784/klagomålsmail/A 12887-2026 FSC-klagomål mail.docx", "A 12887-2026")</f>
        <v/>
      </c>
      <c r="X36">
        <f>HYPERLINK("https://klasma.github.io/Logging_1784/tillsyn/A 12887-2026 tillsynsbegäran.docx", "A 12887-2026")</f>
        <v/>
      </c>
      <c r="Y36">
        <f>HYPERLINK("https://klasma.github.io/Logging_1784/tillsynsmail/A 12887-2026 tillsynsbegäran mail.docx", "A 12887-2026")</f>
        <v/>
      </c>
      <c r="Z36">
        <f>HYPERLINK("https://klasma.github.io/Logging_1784/fåglar/A 12887-2026 prioriterade fågelarter.docx", "A 12887-2026")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46143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46143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46143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46143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46143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46143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46143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46143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46143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46143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46143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25477-2025</t>
        </is>
      </c>
      <c r="B48" s="1" t="n">
        <v>45802</v>
      </c>
      <c r="C48" s="1" t="n">
        <v>46143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HYPERLINK("https://klasma.github.io/Logging_1784/artfynd/A 25477-2025 artfynd.xlsx", "A 25477-2025")</f>
        <v/>
      </c>
      <c r="T48">
        <f>HYPERLINK("https://klasma.github.io/Logging_1784/kartor/A 25477-2025 karta.png", "A 25477-2025")</f>
        <v/>
      </c>
      <c r="V48">
        <f>HYPERLINK("https://klasma.github.io/Logging_1784/klagomål/A 25477-2025 FSC-klagomål.docx", "A 25477-2025")</f>
        <v/>
      </c>
      <c r="W48">
        <f>HYPERLINK("https://klasma.github.io/Logging_1784/klagomålsmail/A 25477-2025 FSC-klagomål mail.docx", "A 25477-2025")</f>
        <v/>
      </c>
      <c r="X48">
        <f>HYPERLINK("https://klasma.github.io/Logging_1784/tillsyn/A 25477-2025 tillsynsbegäran.docx", "A 25477-2025")</f>
        <v/>
      </c>
      <c r="Y48">
        <f>HYPERLINK("https://klasma.github.io/Logging_1784/tillsynsmail/A 25477-2025 tillsynsbegäran mail.docx", "A 25477-2025")</f>
        <v/>
      </c>
    </row>
    <row r="49" ht="15" customHeight="1">
      <c r="A49" t="inlineStr">
        <is>
          <t>A 26079-2025</t>
        </is>
      </c>
      <c r="B49" s="1" t="n">
        <v>45805.34167824074</v>
      </c>
      <c r="C49" s="1" t="n">
        <v>46143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26079-2025 artfynd.xlsx", "A 26079-2025")</f>
        <v/>
      </c>
      <c r="T49">
        <f>HYPERLINK("https://klasma.github.io/Logging_1784/kartor/A 26079-2025 karta.png", "A 26079-2025")</f>
        <v/>
      </c>
      <c r="V49">
        <f>HYPERLINK("https://klasma.github.io/Logging_1784/klagomål/A 26079-2025 FSC-klagomål.docx", "A 26079-2025")</f>
        <v/>
      </c>
      <c r="W49">
        <f>HYPERLINK("https://klasma.github.io/Logging_1784/klagomålsmail/A 26079-2025 FSC-klagomål mail.docx", "A 26079-2025")</f>
        <v/>
      </c>
      <c r="X49">
        <f>HYPERLINK("https://klasma.github.io/Logging_1784/tillsyn/A 26079-2025 tillsynsbegäran.docx", "A 26079-2025")</f>
        <v/>
      </c>
      <c r="Y49">
        <f>HYPERLINK("https://klasma.github.io/Logging_1784/tillsynsmail/A 26079-2025 tillsynsbegäran mail.docx", "A 26079-2025")</f>
        <v/>
      </c>
    </row>
    <row r="50" ht="15" customHeight="1">
      <c r="A50" t="inlineStr">
        <is>
          <t>A 36475-2024</t>
        </is>
      </c>
      <c r="B50" s="1" t="n">
        <v>45537</v>
      </c>
      <c r="C50" s="1" t="n">
        <v>46143</v>
      </c>
      <c r="D50" t="inlineStr">
        <is>
          <t>VÄRMLANDS LÄN</t>
        </is>
      </c>
      <c r="E50" t="inlineStr">
        <is>
          <t>ARVIKA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Slåttergubbemal</t>
        </is>
      </c>
      <c r="S50">
        <f>HYPERLINK("https://klasma.github.io/Logging_1784/artfynd/A 36475-2024 artfynd.xlsx", "A 36475-2024")</f>
        <v/>
      </c>
      <c r="T50">
        <f>HYPERLINK("https://klasma.github.io/Logging_1784/kartor/A 36475-2024 karta.png", "A 36475-2024")</f>
        <v/>
      </c>
      <c r="V50">
        <f>HYPERLINK("https://klasma.github.io/Logging_1784/klagomål/A 36475-2024 FSC-klagomål.docx", "A 36475-2024")</f>
        <v/>
      </c>
      <c r="W50">
        <f>HYPERLINK("https://klasma.github.io/Logging_1784/klagomålsmail/A 36475-2024 FSC-klagomål mail.docx", "A 36475-2024")</f>
        <v/>
      </c>
      <c r="X50">
        <f>HYPERLINK("https://klasma.github.io/Logging_1784/tillsyn/A 36475-2024 tillsynsbegäran.docx", "A 36475-2024")</f>
        <v/>
      </c>
      <c r="Y50">
        <f>HYPERLINK("https://klasma.github.io/Logging_1784/tillsynsmail/A 36475-2024 tillsynsbegäran mail.docx", "A 36475-2024")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46143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29160-2025</t>
        </is>
      </c>
      <c r="B52" s="1" t="n">
        <v>45821</v>
      </c>
      <c r="C52" s="1" t="n">
        <v>46143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HYPERLINK("https://klasma.github.io/Logging_1784/artfynd/A 29160-2025 artfynd.xlsx", "A 29160-2025")</f>
        <v/>
      </c>
      <c r="T52">
        <f>HYPERLINK("https://klasma.github.io/Logging_1784/kartor/A 29160-2025 karta.png", "A 29160-2025")</f>
        <v/>
      </c>
      <c r="V52">
        <f>HYPERLINK("https://klasma.github.io/Logging_1784/klagomål/A 29160-2025 FSC-klagomål.docx", "A 29160-2025")</f>
        <v/>
      </c>
      <c r="W52">
        <f>HYPERLINK("https://klasma.github.io/Logging_1784/klagomålsmail/A 29160-2025 FSC-klagomål mail.docx", "A 29160-2025")</f>
        <v/>
      </c>
      <c r="X52">
        <f>HYPERLINK("https://klasma.github.io/Logging_1784/tillsyn/A 29160-2025 tillsynsbegäran.docx", "A 29160-2025")</f>
        <v/>
      </c>
      <c r="Y52">
        <f>HYPERLINK("https://klasma.github.io/Logging_1784/tillsynsmail/A 29160-2025 tillsynsbegäran mail.docx", "A 29160-2025")</f>
        <v/>
      </c>
      <c r="Z52">
        <f>HYPERLINK("https://klasma.github.io/Logging_1784/fåglar/A 29160-2025 prioriterade fågelarter.docx", "A 29160-2025")</f>
        <v/>
      </c>
    </row>
    <row r="53" ht="15" customHeight="1">
      <c r="A53" t="inlineStr">
        <is>
          <t>A 29432-2025</t>
        </is>
      </c>
      <c r="B53" s="1" t="n">
        <v>45824</v>
      </c>
      <c r="C53" s="1" t="n">
        <v>46143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29432-2025 artfynd.xlsx", "A 29432-2025")</f>
        <v/>
      </c>
      <c r="T53">
        <f>HYPERLINK("https://klasma.github.io/Logging_1784/kartor/A 29432-2025 karta.png", "A 29432-2025")</f>
        <v/>
      </c>
      <c r="V53">
        <f>HYPERLINK("https://klasma.github.io/Logging_1784/klagomål/A 29432-2025 FSC-klagomål.docx", "A 29432-2025")</f>
        <v/>
      </c>
      <c r="W53">
        <f>HYPERLINK("https://klasma.github.io/Logging_1784/klagomålsmail/A 29432-2025 FSC-klagomål mail.docx", "A 29432-2025")</f>
        <v/>
      </c>
      <c r="X53">
        <f>HYPERLINK("https://klasma.github.io/Logging_1784/tillsyn/A 29432-2025 tillsynsbegäran.docx", "A 29432-2025")</f>
        <v/>
      </c>
      <c r="Y53">
        <f>HYPERLINK("https://klasma.github.io/Logging_1784/tillsynsmail/A 29432-2025 tillsynsbegäran mail.docx", "A 29432-2025")</f>
        <v/>
      </c>
    </row>
    <row r="54" ht="15" customHeight="1">
      <c r="A54" t="inlineStr">
        <is>
          <t>A 30071-2025</t>
        </is>
      </c>
      <c r="B54" s="1" t="n">
        <v>45826</v>
      </c>
      <c r="C54" s="1" t="n">
        <v>46143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HYPERLINK("https://klasma.github.io/Logging_1784/artfynd/A 30071-2025 artfynd.xlsx", "A 30071-2025")</f>
        <v/>
      </c>
      <c r="T54">
        <f>HYPERLINK("https://klasma.github.io/Logging_1784/kartor/A 30071-2025 karta.png", "A 30071-2025")</f>
        <v/>
      </c>
      <c r="V54">
        <f>HYPERLINK("https://klasma.github.io/Logging_1784/klagomål/A 30071-2025 FSC-klagomål.docx", "A 30071-2025")</f>
        <v/>
      </c>
      <c r="W54">
        <f>HYPERLINK("https://klasma.github.io/Logging_1784/klagomålsmail/A 30071-2025 FSC-klagomål mail.docx", "A 30071-2025")</f>
        <v/>
      </c>
      <c r="X54">
        <f>HYPERLINK("https://klasma.github.io/Logging_1784/tillsyn/A 30071-2025 tillsynsbegäran.docx", "A 30071-2025")</f>
        <v/>
      </c>
      <c r="Y54">
        <f>HYPERLINK("https://klasma.github.io/Logging_1784/tillsynsmail/A 30071-2025 tillsynsbegäran mail.docx", "A 30071-2025")</f>
        <v/>
      </c>
    </row>
    <row r="55" ht="15" customHeight="1">
      <c r="A55" t="inlineStr">
        <is>
          <t>A 31588-2025</t>
        </is>
      </c>
      <c r="B55" s="1" t="n">
        <v>45833</v>
      </c>
      <c r="C55" s="1" t="n">
        <v>46143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31588-2025 artfynd.xlsx", "A 31588-2025")</f>
        <v/>
      </c>
      <c r="T55">
        <f>HYPERLINK("https://klasma.github.io/Logging_1784/kartor/A 31588-2025 karta.png", "A 31588-2025")</f>
        <v/>
      </c>
      <c r="V55">
        <f>HYPERLINK("https://klasma.github.io/Logging_1784/klagomål/A 31588-2025 FSC-klagomål.docx", "A 31588-2025")</f>
        <v/>
      </c>
      <c r="W55">
        <f>HYPERLINK("https://klasma.github.io/Logging_1784/klagomålsmail/A 31588-2025 FSC-klagomål mail.docx", "A 31588-2025")</f>
        <v/>
      </c>
      <c r="X55">
        <f>HYPERLINK("https://klasma.github.io/Logging_1784/tillsyn/A 31588-2025 tillsynsbegäran.docx", "A 31588-2025")</f>
        <v/>
      </c>
      <c r="Y55">
        <f>HYPERLINK("https://klasma.github.io/Logging_1784/tillsynsmail/A 31588-2025 tillsynsbegäran mail.docx", "A 31588-2025")</f>
        <v/>
      </c>
    </row>
    <row r="56" ht="15" customHeight="1">
      <c r="A56" t="inlineStr">
        <is>
          <t>A 13490-2025</t>
        </is>
      </c>
      <c r="B56" s="1" t="n">
        <v>45736</v>
      </c>
      <c r="C56" s="1" t="n">
        <v>46143</v>
      </c>
      <c r="D56" t="inlineStr">
        <is>
          <t>VÄRMLANDS LÄN</t>
        </is>
      </c>
      <c r="E56" t="inlineStr">
        <is>
          <t>ARVIKA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Sångsvan</t>
        </is>
      </c>
      <c r="S56">
        <f>HYPERLINK("https://klasma.github.io/Logging_1784/artfynd/A 13490-2025 artfynd.xlsx", "A 13490-2025")</f>
        <v/>
      </c>
      <c r="T56">
        <f>HYPERLINK("https://klasma.github.io/Logging_1784/kartor/A 13490-2025 karta.png", "A 13490-2025")</f>
        <v/>
      </c>
      <c r="V56">
        <f>HYPERLINK("https://klasma.github.io/Logging_1784/klagomål/A 13490-2025 FSC-klagomål.docx", "A 13490-2025")</f>
        <v/>
      </c>
      <c r="W56">
        <f>HYPERLINK("https://klasma.github.io/Logging_1784/klagomålsmail/A 13490-2025 FSC-klagomål mail.docx", "A 13490-2025")</f>
        <v/>
      </c>
      <c r="X56">
        <f>HYPERLINK("https://klasma.github.io/Logging_1784/tillsyn/A 13490-2025 tillsynsbegäran.docx", "A 13490-2025")</f>
        <v/>
      </c>
      <c r="Y56">
        <f>HYPERLINK("https://klasma.github.io/Logging_1784/tillsynsmail/A 13490-2025 tillsynsbegäran mail.docx", "A 13490-2025")</f>
        <v/>
      </c>
      <c r="Z56">
        <f>HYPERLINK("https://klasma.github.io/Logging_1784/fåglar/A 13490-2025 prioriterade fågelarter.docx", "A 13490-2025")</f>
        <v/>
      </c>
    </row>
    <row r="57" ht="15" customHeight="1">
      <c r="A57" t="inlineStr">
        <is>
          <t>A 43388-2023</t>
        </is>
      </c>
      <c r="B57" s="1" t="n">
        <v>45183</v>
      </c>
      <c r="C57" s="1" t="n">
        <v>46143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43388-2023 artfynd.xlsx", "A 43388-2023")</f>
        <v/>
      </c>
      <c r="T57">
        <f>HYPERLINK("https://klasma.github.io/Logging_1784/kartor/A 43388-2023 karta.png", "A 43388-2023")</f>
        <v/>
      </c>
      <c r="U57">
        <f>HYPERLINK("https://klasma.github.io/Logging_1784/knärot/A 43388-2023 karta knärot.png", "A 43388-2023")</f>
        <v/>
      </c>
      <c r="V57">
        <f>HYPERLINK("https://klasma.github.io/Logging_1784/klagomål/A 43388-2023 FSC-klagomål.docx", "A 43388-2023")</f>
        <v/>
      </c>
      <c r="W57">
        <f>HYPERLINK("https://klasma.github.io/Logging_1784/klagomålsmail/A 43388-2023 FSC-klagomål mail.docx", "A 43388-2023")</f>
        <v/>
      </c>
      <c r="X57">
        <f>HYPERLINK("https://klasma.github.io/Logging_1784/tillsyn/A 43388-2023 tillsynsbegäran.docx", "A 43388-2023")</f>
        <v/>
      </c>
      <c r="Y57">
        <f>HYPERLINK("https://klasma.github.io/Logging_1784/tillsynsmail/A 43388-2023 tillsynsbegäran mail.docx", "A 43388-2023")</f>
        <v/>
      </c>
    </row>
    <row r="58" ht="15" customHeight="1">
      <c r="A58" t="inlineStr">
        <is>
          <t>A 51537-2025</t>
        </is>
      </c>
      <c r="B58" s="1" t="n">
        <v>45950.6937962963</v>
      </c>
      <c r="C58" s="1" t="n">
        <v>46143</v>
      </c>
      <c r="D58" t="inlineStr">
        <is>
          <t>VÄRMLANDS LÄN</t>
        </is>
      </c>
      <c r="E58" t="inlineStr">
        <is>
          <t>ARVIKA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51537-2025 artfynd.xlsx", "A 51537-2025")</f>
        <v/>
      </c>
      <c r="T58">
        <f>HYPERLINK("https://klasma.github.io/Logging_1784/kartor/A 51537-2025 karta.png", "A 51537-2025")</f>
        <v/>
      </c>
      <c r="U58">
        <f>HYPERLINK("https://klasma.github.io/Logging_1784/knärot/A 51537-2025 karta knärot.png", "A 51537-2025")</f>
        <v/>
      </c>
      <c r="V58">
        <f>HYPERLINK("https://klasma.github.io/Logging_1784/klagomål/A 51537-2025 FSC-klagomål.docx", "A 51537-2025")</f>
        <v/>
      </c>
      <c r="W58">
        <f>HYPERLINK("https://klasma.github.io/Logging_1784/klagomålsmail/A 51537-2025 FSC-klagomål mail.docx", "A 51537-2025")</f>
        <v/>
      </c>
      <c r="X58">
        <f>HYPERLINK("https://klasma.github.io/Logging_1784/tillsyn/A 51537-2025 tillsynsbegäran.docx", "A 51537-2025")</f>
        <v/>
      </c>
      <c r="Y58">
        <f>HYPERLINK("https://klasma.github.io/Logging_1784/tillsynsmail/A 51537-2025 tillsynsbegäran mail.docx", "A 51537-2025")</f>
        <v/>
      </c>
    </row>
    <row r="59" ht="15" customHeight="1">
      <c r="A59" t="inlineStr">
        <is>
          <t>A 16391-2023</t>
        </is>
      </c>
      <c r="B59" s="1" t="n">
        <v>45029.35077546296</v>
      </c>
      <c r="C59" s="1" t="n">
        <v>46143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46143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46143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46143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46143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46143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46143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59300-2025</t>
        </is>
      </c>
      <c r="B66" s="1" t="n">
        <v>45988.86268518519</v>
      </c>
      <c r="C66" s="1" t="n">
        <v>46143</v>
      </c>
      <c r="D66" t="inlineStr">
        <is>
          <t>VÄRMLANDS LÄN</t>
        </is>
      </c>
      <c r="E66" t="inlineStr">
        <is>
          <t>ARVIKA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HYPERLINK("https://klasma.github.io/Logging_1784/artfynd/A 59300-2025 artfynd.xlsx", "A 59300-2025")</f>
        <v/>
      </c>
      <c r="T66">
        <f>HYPERLINK("https://klasma.github.io/Logging_1784/kartor/A 59300-2025 karta.png", "A 59300-2025")</f>
        <v/>
      </c>
      <c r="V66">
        <f>HYPERLINK("https://klasma.github.io/Logging_1784/klagomål/A 59300-2025 FSC-klagomål.docx", "A 59300-2025")</f>
        <v/>
      </c>
      <c r="W66">
        <f>HYPERLINK("https://klasma.github.io/Logging_1784/klagomålsmail/A 59300-2025 FSC-klagomål mail.docx", "A 59300-2025")</f>
        <v/>
      </c>
      <c r="X66">
        <f>HYPERLINK("https://klasma.github.io/Logging_1784/tillsyn/A 59300-2025 tillsynsbegäran.docx", "A 59300-2025")</f>
        <v/>
      </c>
      <c r="Y66">
        <f>HYPERLINK("https://klasma.github.io/Logging_1784/tillsynsmail/A 59300-2025 tillsynsbegäran mail.docx", "A 59300-2025")</f>
        <v/>
      </c>
    </row>
    <row r="67" ht="15" customHeight="1">
      <c r="A67" t="inlineStr">
        <is>
          <t>A 60586-2025</t>
        </is>
      </c>
      <c r="B67" s="1" t="n">
        <v>45996</v>
      </c>
      <c r="C67" s="1" t="n">
        <v>46143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HYPERLINK("https://klasma.github.io/Logging_1784/artfynd/A 60586-2025 artfynd.xlsx", "A 60586-2025")</f>
        <v/>
      </c>
      <c r="T67">
        <f>HYPERLINK("https://klasma.github.io/Logging_1784/kartor/A 60586-2025 karta.png", "A 60586-2025")</f>
        <v/>
      </c>
      <c r="V67">
        <f>HYPERLINK("https://klasma.github.io/Logging_1784/klagomål/A 60586-2025 FSC-klagomål.docx", "A 60586-2025")</f>
        <v/>
      </c>
      <c r="W67">
        <f>HYPERLINK("https://klasma.github.io/Logging_1784/klagomålsmail/A 60586-2025 FSC-klagomål mail.docx", "A 60586-2025")</f>
        <v/>
      </c>
      <c r="X67">
        <f>HYPERLINK("https://klasma.github.io/Logging_1784/tillsyn/A 60586-2025 tillsynsbegäran.docx", "A 60586-2025")</f>
        <v/>
      </c>
      <c r="Y67">
        <f>HYPERLINK("https://klasma.github.io/Logging_1784/tillsynsmail/A 60586-2025 tillsynsbegäran mail.docx", "A 60586-2025")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46143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46143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46143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9761-2026</t>
        </is>
      </c>
      <c r="B71" s="1" t="n">
        <v>46072.55359953704</v>
      </c>
      <c r="C71" s="1" t="n">
        <v>46143</v>
      </c>
      <c r="D71" t="inlineStr">
        <is>
          <t>VÄRMLANDS LÄN</t>
        </is>
      </c>
      <c r="E71" t="inlineStr">
        <is>
          <t>ARVIKA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HYPERLINK("https://klasma.github.io/Logging_1784/artfynd/A 9761-2026 artfynd.xlsx", "A 9761-2026")</f>
        <v/>
      </c>
      <c r="T71">
        <f>HYPERLINK("https://klasma.github.io/Logging_1784/kartor/A 9761-2026 karta.png", "A 9761-2026")</f>
        <v/>
      </c>
      <c r="V71">
        <f>HYPERLINK("https://klasma.github.io/Logging_1784/klagomål/A 9761-2026 FSC-klagomål.docx", "A 9761-2026")</f>
        <v/>
      </c>
      <c r="W71">
        <f>HYPERLINK("https://klasma.github.io/Logging_1784/klagomålsmail/A 9761-2026 FSC-klagomål mail.docx", "A 9761-2026")</f>
        <v/>
      </c>
      <c r="X71">
        <f>HYPERLINK("https://klasma.github.io/Logging_1784/tillsyn/A 9761-2026 tillsynsbegäran.docx", "A 9761-2026")</f>
        <v/>
      </c>
      <c r="Y71">
        <f>HYPERLINK("https://klasma.github.io/Logging_1784/tillsynsmail/A 9761-2026 tillsynsbegäran mail.docx", "A 9761-2026")</f>
        <v/>
      </c>
    </row>
    <row r="72" ht="15" customHeight="1">
      <c r="A72" t="inlineStr">
        <is>
          <t>A 11416-2026</t>
        </is>
      </c>
      <c r="B72" s="1" t="n">
        <v>46083.46903935185</v>
      </c>
      <c r="C72" s="1" t="n">
        <v>46143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11416-2026 artfynd.xlsx", "A 11416-2026")</f>
        <v/>
      </c>
      <c r="T72">
        <f>HYPERLINK("https://klasma.github.io/Logging_1784/kartor/A 11416-2026 karta.png", "A 11416-2026")</f>
        <v/>
      </c>
      <c r="U72">
        <f>HYPERLINK("https://klasma.github.io/Logging_1784/knärot/A 11416-2026 karta knärot.png", "A 11416-2026")</f>
        <v/>
      </c>
      <c r="V72">
        <f>HYPERLINK("https://klasma.github.io/Logging_1784/klagomål/A 11416-2026 FSC-klagomål.docx", "A 11416-2026")</f>
        <v/>
      </c>
      <c r="W72">
        <f>HYPERLINK("https://klasma.github.io/Logging_1784/klagomålsmail/A 11416-2026 FSC-klagomål mail.docx", "A 11416-2026")</f>
        <v/>
      </c>
      <c r="X72">
        <f>HYPERLINK("https://klasma.github.io/Logging_1784/tillsyn/A 11416-2026 tillsynsbegäran.docx", "A 11416-2026")</f>
        <v/>
      </c>
      <c r="Y72">
        <f>HYPERLINK("https://klasma.github.io/Logging_1784/tillsynsmail/A 11416-2026 tillsynsbegäran mail.docx", "A 11416-2026")</f>
        <v/>
      </c>
    </row>
    <row r="73" ht="15" customHeight="1">
      <c r="A73" t="inlineStr">
        <is>
          <t>A 14342-2025</t>
        </is>
      </c>
      <c r="B73" s="1" t="n">
        <v>45741</v>
      </c>
      <c r="C73" s="1" t="n">
        <v>46143</v>
      </c>
      <c r="D73" t="inlineStr">
        <is>
          <t>VÄRMLANDS LÄN</t>
        </is>
      </c>
      <c r="E73" t="inlineStr">
        <is>
          <t>ARVIKA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HYPERLINK("https://klasma.github.io/Logging_1784/artfynd/A 14342-2025 artfynd.xlsx", "A 14342-2025")</f>
        <v/>
      </c>
      <c r="T73">
        <f>HYPERLINK("https://klasma.github.io/Logging_1784/kartor/A 14342-2025 karta.png", "A 14342-2025")</f>
        <v/>
      </c>
      <c r="V73">
        <f>HYPERLINK("https://klasma.github.io/Logging_1784/klagomål/A 14342-2025 FSC-klagomål.docx", "A 14342-2025")</f>
        <v/>
      </c>
      <c r="W73">
        <f>HYPERLINK("https://klasma.github.io/Logging_1784/klagomålsmail/A 14342-2025 FSC-klagomål mail.docx", "A 14342-2025")</f>
        <v/>
      </c>
      <c r="X73">
        <f>HYPERLINK("https://klasma.github.io/Logging_1784/tillsyn/A 14342-2025 tillsynsbegäran.docx", "A 14342-2025")</f>
        <v/>
      </c>
      <c r="Y73">
        <f>HYPERLINK("https://klasma.github.io/Logging_1784/tillsynsmail/A 14342-2025 tillsynsbegäran mail.docx", "A 14342-2025")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46143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14768-2025</t>
        </is>
      </c>
      <c r="B75" s="1" t="n">
        <v>45742.68377314815</v>
      </c>
      <c r="C75" s="1" t="n">
        <v>46143</v>
      </c>
      <c r="D75" t="inlineStr">
        <is>
          <t>VÄRMLANDS LÄN</t>
        </is>
      </c>
      <c r="E75" t="inlineStr">
        <is>
          <t>ARVIKA</t>
        </is>
      </c>
      <c r="G75" t="n">
        <v>11.7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HYPERLINK("https://klasma.github.io/Logging_1784/artfynd/A 14768-2025 artfynd.xlsx", "A 14768-2025")</f>
        <v/>
      </c>
      <c r="T75">
        <f>HYPERLINK("https://klasma.github.io/Logging_1784/kartor/A 14768-2025 karta.png", "A 14768-2025")</f>
        <v/>
      </c>
      <c r="V75">
        <f>HYPERLINK("https://klasma.github.io/Logging_1784/klagomål/A 14768-2025 FSC-klagomål.docx", "A 14768-2025")</f>
        <v/>
      </c>
      <c r="W75">
        <f>HYPERLINK("https://klasma.github.io/Logging_1784/klagomålsmail/A 14768-2025 FSC-klagomål mail.docx", "A 14768-2025")</f>
        <v/>
      </c>
      <c r="X75">
        <f>HYPERLINK("https://klasma.github.io/Logging_1784/tillsyn/A 14768-2025 tillsynsbegäran.docx", "A 14768-2025")</f>
        <v/>
      </c>
      <c r="Y75">
        <f>HYPERLINK("https://klasma.github.io/Logging_1784/tillsynsmail/A 14768-2025 tillsynsbegäran mail.docx", "A 14768-2025")</f>
        <v/>
      </c>
      <c r="Z75">
        <f>HYPERLINK("https://klasma.github.io/Logging_1784/fåglar/A 14768-2025 prioriterade fågelarter.docx", "A 14768-2025")</f>
        <v/>
      </c>
    </row>
    <row r="76" ht="15" customHeight="1">
      <c r="A76" t="inlineStr">
        <is>
          <t>A 20722-2026</t>
        </is>
      </c>
      <c r="B76" s="1" t="n">
        <v>46141.54280092593</v>
      </c>
      <c r="C76" s="1" t="n">
        <v>46143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HYPERLINK("https://klasma.github.io/Logging_1784/artfynd/A 20722-2026 artfynd.xlsx", "A 20722-2026")</f>
        <v/>
      </c>
      <c r="T76">
        <f>HYPERLINK("https://klasma.github.io/Logging_1784/kartor/A 20722-2026 karta.png", "A 20722-2026")</f>
        <v/>
      </c>
      <c r="V76">
        <f>HYPERLINK("https://klasma.github.io/Logging_1784/klagomål/A 20722-2026 FSC-klagomål.docx", "A 20722-2026")</f>
        <v/>
      </c>
      <c r="W76">
        <f>HYPERLINK("https://klasma.github.io/Logging_1784/klagomålsmail/A 20722-2026 FSC-klagomål mail.docx", "A 20722-2026")</f>
        <v/>
      </c>
      <c r="X76">
        <f>HYPERLINK("https://klasma.github.io/Logging_1784/tillsyn/A 20722-2026 tillsynsbegäran.docx", "A 20722-2026")</f>
        <v/>
      </c>
      <c r="Y76">
        <f>HYPERLINK("https://klasma.github.io/Logging_1784/tillsynsmail/A 20722-2026 tillsynsbegäran mail.docx", "A 20722-2026")</f>
        <v/>
      </c>
      <c r="Z76">
        <f>HYPERLINK("https://klasma.github.io/Logging_1784/fåglar/A 20722-2026 prioriterade fågelarter.docx", "A 20722-2026")</f>
        <v/>
      </c>
    </row>
    <row r="77" ht="15" customHeight="1">
      <c r="A77" t="inlineStr">
        <is>
          <t>A 17079-2022</t>
        </is>
      </c>
      <c r="B77" s="1" t="n">
        <v>44677</v>
      </c>
      <c r="C77" s="1" t="n">
        <v>46143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17079-2022 artfynd.xlsx", "A 17079-2022")</f>
        <v/>
      </c>
      <c r="T77">
        <f>HYPERLINK("https://klasma.github.io/Logging_1784/kartor/A 17079-2022 karta.png", "A 17079-2022")</f>
        <v/>
      </c>
      <c r="V77">
        <f>HYPERLINK("https://klasma.github.io/Logging_1784/klagomål/A 17079-2022 FSC-klagomål.docx", "A 17079-2022")</f>
        <v/>
      </c>
      <c r="W77">
        <f>HYPERLINK("https://klasma.github.io/Logging_1784/klagomålsmail/A 17079-2022 FSC-klagomål mail.docx", "A 17079-2022")</f>
        <v/>
      </c>
      <c r="X77">
        <f>HYPERLINK("https://klasma.github.io/Logging_1784/tillsyn/A 17079-2022 tillsynsbegäran.docx", "A 17079-2022")</f>
        <v/>
      </c>
      <c r="Y77">
        <f>HYPERLINK("https://klasma.github.io/Logging_1784/tillsynsmail/A 17079-2022 tillsynsbegäran mail.docx", "A 17079-2022")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46143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46143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46143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46143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5779-2025</t>
        </is>
      </c>
      <c r="B82" s="1" t="n">
        <v>45694.62826388889</v>
      </c>
      <c r="C82" s="1" t="n">
        <v>46143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HYPERLINK("https://klasma.github.io/Logging_1784/artfynd/A 5779-2025 artfynd.xlsx", "A 5779-2025")</f>
        <v/>
      </c>
      <c r="T82">
        <f>HYPERLINK("https://klasma.github.io/Logging_1784/kartor/A 5779-2025 karta.png", "A 5779-2025")</f>
        <v/>
      </c>
      <c r="V82">
        <f>HYPERLINK("https://klasma.github.io/Logging_1784/klagomål/A 5779-2025 FSC-klagomål.docx", "A 5779-2025")</f>
        <v/>
      </c>
      <c r="W82">
        <f>HYPERLINK("https://klasma.github.io/Logging_1784/klagomålsmail/A 5779-2025 FSC-klagomål mail.docx", "A 5779-2025")</f>
        <v/>
      </c>
      <c r="X82">
        <f>HYPERLINK("https://klasma.github.io/Logging_1784/tillsyn/A 5779-2025 tillsynsbegäran.docx", "A 5779-2025")</f>
        <v/>
      </c>
      <c r="Y82">
        <f>HYPERLINK("https://klasma.github.io/Logging_1784/tillsynsmail/A 5779-2025 tillsynsbegäran mail.docx", "A 5779-2025")</f>
        <v/>
      </c>
    </row>
    <row r="83" ht="15" customHeight="1">
      <c r="A83" t="inlineStr">
        <is>
          <t>A 19137-2022</t>
        </is>
      </c>
      <c r="B83" s="1" t="n">
        <v>44691.61575231481</v>
      </c>
      <c r="C83" s="1" t="n">
        <v>46143</v>
      </c>
      <c r="D83" t="inlineStr">
        <is>
          <t>VÄRMLANDS LÄN</t>
        </is>
      </c>
      <c r="E83" t="inlineStr">
        <is>
          <t>ARVIKA</t>
        </is>
      </c>
      <c r="G83" t="n">
        <v>9.5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19137-2022 artfynd.xlsx", "A 19137-2022")</f>
        <v/>
      </c>
      <c r="T83">
        <f>HYPERLINK("https://klasma.github.io/Logging_1784/kartor/A 19137-2022 karta.png", "A 19137-2022")</f>
        <v/>
      </c>
      <c r="V83">
        <f>HYPERLINK("https://klasma.github.io/Logging_1784/klagomål/A 19137-2022 FSC-klagomål.docx", "A 19137-2022")</f>
        <v/>
      </c>
      <c r="W83">
        <f>HYPERLINK("https://klasma.github.io/Logging_1784/klagomålsmail/A 19137-2022 FSC-klagomål mail.docx", "A 19137-2022")</f>
        <v/>
      </c>
      <c r="X83">
        <f>HYPERLINK("https://klasma.github.io/Logging_1784/tillsyn/A 19137-2022 tillsynsbegäran.docx", "A 19137-2022")</f>
        <v/>
      </c>
      <c r="Y83">
        <f>HYPERLINK("https://klasma.github.io/Logging_1784/tillsynsmail/A 19137-2022 tillsynsbegäran mail.docx", "A 19137-2022")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46143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46143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46143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46143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46143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46143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46143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46143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46143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46143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46143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46143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46143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46143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46143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46143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46143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46143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46143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46143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46143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46143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46143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46143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46143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46143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46143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46143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46143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46143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38831-2021</t>
        </is>
      </c>
      <c r="B114" s="1" t="n">
        <v>44411</v>
      </c>
      <c r="C114" s="1" t="n">
        <v>46143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48794-2022</t>
        </is>
      </c>
      <c r="B115" s="1" t="n">
        <v>44859</v>
      </c>
      <c r="C115" s="1" t="n">
        <v>46143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22600-2022</t>
        </is>
      </c>
      <c r="B116" s="1" t="n">
        <v>44714.36386574074</v>
      </c>
      <c r="C116" s="1" t="n">
        <v>46143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15306-2022</t>
        </is>
      </c>
      <c r="B117" s="1" t="n">
        <v>44659.45706018519</v>
      </c>
      <c r="C117" s="1" t="n">
        <v>46143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21348-2022</t>
        </is>
      </c>
      <c r="B118" s="1" t="n">
        <v>44705</v>
      </c>
      <c r="C118" s="1" t="n">
        <v>46143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40455-2021</t>
        </is>
      </c>
      <c r="B119" s="1" t="n">
        <v>44419.8887962963</v>
      </c>
      <c r="C119" s="1" t="n">
        <v>46143</v>
      </c>
      <c r="D119" t="inlineStr">
        <is>
          <t>VÄRMLANDS LÄN</t>
        </is>
      </c>
      <c r="E119" t="inlineStr">
        <is>
          <t>ARVIKA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50560-2022</t>
        </is>
      </c>
      <c r="B120" s="1" t="n">
        <v>44866.62820601852</v>
      </c>
      <c r="C120" s="1" t="n">
        <v>46143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50954-2021</t>
        </is>
      </c>
      <c r="B121" s="1" t="n">
        <v>44460</v>
      </c>
      <c r="C121" s="1" t="n">
        <v>46143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9236-2022</t>
        </is>
      </c>
      <c r="B122" s="1" t="n">
        <v>44616</v>
      </c>
      <c r="C122" s="1" t="n">
        <v>46143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9657-2022</t>
        </is>
      </c>
      <c r="B123" s="1" t="n">
        <v>44617</v>
      </c>
      <c r="C123" s="1" t="n">
        <v>46143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46143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22757-2021</t>
        </is>
      </c>
      <c r="B125" s="1" t="n">
        <v>44327</v>
      </c>
      <c r="C125" s="1" t="n">
        <v>46143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55787-2022</t>
        </is>
      </c>
      <c r="B126" s="1" t="n">
        <v>44888.62709490741</v>
      </c>
      <c r="C126" s="1" t="n">
        <v>46143</v>
      </c>
      <c r="D126" t="inlineStr">
        <is>
          <t>VÄRMLANDS LÄN</t>
        </is>
      </c>
      <c r="E126" t="inlineStr">
        <is>
          <t>ARVIKA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53390-2021</t>
        </is>
      </c>
      <c r="B127" s="1" t="n">
        <v>44468</v>
      </c>
      <c r="C127" s="1" t="n">
        <v>46143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69719-2021</t>
        </is>
      </c>
      <c r="B128" s="1" t="n">
        <v>44532</v>
      </c>
      <c r="C128" s="1" t="n">
        <v>46143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69529-2021</t>
        </is>
      </c>
      <c r="B129" s="1" t="n">
        <v>44531</v>
      </c>
      <c r="C129" s="1" t="n">
        <v>46143</v>
      </c>
      <c r="D129" t="inlineStr">
        <is>
          <t>VÄRMLANDS LÄN</t>
        </is>
      </c>
      <c r="E129" t="inlineStr">
        <is>
          <t>ARVIKA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46143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46143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46143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50229-2021</t>
        </is>
      </c>
      <c r="B133" s="1" t="n">
        <v>44457.77009259259</v>
      </c>
      <c r="C133" s="1" t="n">
        <v>46143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10846-2022</t>
        </is>
      </c>
      <c r="B134" s="1" t="n">
        <v>44627.60471064815</v>
      </c>
      <c r="C134" s="1" t="n">
        <v>46143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46143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46143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46143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46143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68572-2021</t>
        </is>
      </c>
      <c r="B139" s="1" t="n">
        <v>44529</v>
      </c>
      <c r="C139" s="1" t="n">
        <v>46143</v>
      </c>
      <c r="D139" t="inlineStr">
        <is>
          <t>VÄRMLANDS LÄN</t>
        </is>
      </c>
      <c r="E139" t="inlineStr">
        <is>
          <t>ARVIKA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8634-2022</t>
        </is>
      </c>
      <c r="B140" s="1" t="n">
        <v>44613.62538194445</v>
      </c>
      <c r="C140" s="1" t="n">
        <v>46143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41329-2021</t>
        </is>
      </c>
      <c r="B141" s="1" t="n">
        <v>44424</v>
      </c>
      <c r="C141" s="1" t="n">
        <v>46143</v>
      </c>
      <c r="D141" t="inlineStr">
        <is>
          <t>VÄRMLANDS LÄN</t>
        </is>
      </c>
      <c r="E141" t="inlineStr">
        <is>
          <t>ARVIKA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51514-2021</t>
        </is>
      </c>
      <c r="B142" s="1" t="n">
        <v>44462.37420138889</v>
      </c>
      <c r="C142" s="1" t="n">
        <v>46143</v>
      </c>
      <c r="D142" t="inlineStr">
        <is>
          <t>VÄRMLANDS LÄN</t>
        </is>
      </c>
      <c r="E142" t="inlineStr">
        <is>
          <t>ARVIKA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30733-2021</t>
        </is>
      </c>
      <c r="B143" s="1" t="n">
        <v>44365</v>
      </c>
      <c r="C143" s="1" t="n">
        <v>46143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30746-2021</t>
        </is>
      </c>
      <c r="B144" s="1" t="n">
        <v>44365</v>
      </c>
      <c r="C144" s="1" t="n">
        <v>46143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46143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24137-2022</t>
        </is>
      </c>
      <c r="B146" s="1" t="n">
        <v>44725.4570949074</v>
      </c>
      <c r="C146" s="1" t="n">
        <v>46143</v>
      </c>
      <c r="D146" t="inlineStr">
        <is>
          <t>VÄRMLANDS LÄN</t>
        </is>
      </c>
      <c r="E146" t="inlineStr">
        <is>
          <t>ARVIKA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35174-2022</t>
        </is>
      </c>
      <c r="B147" s="1" t="n">
        <v>44797.60815972222</v>
      </c>
      <c r="C147" s="1" t="n">
        <v>46143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44824-2021</t>
        </is>
      </c>
      <c r="B148" s="1" t="n">
        <v>44438</v>
      </c>
      <c r="C148" s="1" t="n">
        <v>46143</v>
      </c>
      <c r="D148" t="inlineStr">
        <is>
          <t>VÄRMLANDS LÄN</t>
        </is>
      </c>
      <c r="E148" t="inlineStr">
        <is>
          <t>ARVIKA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47332-2021</t>
        </is>
      </c>
      <c r="B149" s="1" t="n">
        <v>44447.50265046296</v>
      </c>
      <c r="C149" s="1" t="n">
        <v>46143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46840-2021</t>
        </is>
      </c>
      <c r="B150" s="1" t="n">
        <v>44446</v>
      </c>
      <c r="C150" s="1" t="n">
        <v>46143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53392-2022</t>
        </is>
      </c>
      <c r="B151" s="1" t="n">
        <v>44874</v>
      </c>
      <c r="C151" s="1" t="n">
        <v>46143</v>
      </c>
      <c r="D151" t="inlineStr">
        <is>
          <t>VÄRMLANDS LÄN</t>
        </is>
      </c>
      <c r="E151" t="inlineStr">
        <is>
          <t>ARVIKA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58288-2021</t>
        </is>
      </c>
      <c r="B152" s="1" t="n">
        <v>44488</v>
      </c>
      <c r="C152" s="1" t="n">
        <v>46143</v>
      </c>
      <c r="D152" t="inlineStr">
        <is>
          <t>VÄRMLANDS LÄN</t>
        </is>
      </c>
      <c r="E152" t="inlineStr">
        <is>
          <t>ARVIKA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45294-2021</t>
        </is>
      </c>
      <c r="B153" s="1" t="n">
        <v>44439</v>
      </c>
      <c r="C153" s="1" t="n">
        <v>46143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15314-2022</t>
        </is>
      </c>
      <c r="B154" s="1" t="n">
        <v>44659.47733796296</v>
      </c>
      <c r="C154" s="1" t="n">
        <v>46143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23293-2021</t>
        </is>
      </c>
      <c r="B155" s="1" t="n">
        <v>44333</v>
      </c>
      <c r="C155" s="1" t="n">
        <v>46143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4061-2022</t>
        </is>
      </c>
      <c r="B156" s="1" t="n">
        <v>44588</v>
      </c>
      <c r="C156" s="1" t="n">
        <v>46143</v>
      </c>
      <c r="D156" t="inlineStr">
        <is>
          <t>VÄRMLANDS LÄN</t>
        </is>
      </c>
      <c r="E156" t="inlineStr">
        <is>
          <t>ARVIKA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28655-2021</t>
        </is>
      </c>
      <c r="B157" s="1" t="n">
        <v>44357.35731481481</v>
      </c>
      <c r="C157" s="1" t="n">
        <v>46143</v>
      </c>
      <c r="D157" t="inlineStr">
        <is>
          <t>VÄRMLANDS LÄN</t>
        </is>
      </c>
      <c r="E157" t="inlineStr">
        <is>
          <t>ARVIKA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73805-2021</t>
        </is>
      </c>
      <c r="B158" s="1" t="n">
        <v>44552.71710648148</v>
      </c>
      <c r="C158" s="1" t="n">
        <v>46143</v>
      </c>
      <c r="D158" t="inlineStr">
        <is>
          <t>VÄRMLANDS LÄN</t>
        </is>
      </c>
      <c r="E158" t="inlineStr">
        <is>
          <t>ARVIKA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55902-2021</t>
        </is>
      </c>
      <c r="B159" s="1" t="n">
        <v>44476.88310185185</v>
      </c>
      <c r="C159" s="1" t="n">
        <v>46143</v>
      </c>
      <c r="D159" t="inlineStr">
        <is>
          <t>VÄRMLANDS LÄN</t>
        </is>
      </c>
      <c r="E159" t="inlineStr">
        <is>
          <t>ARVIKA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61835-2021</t>
        </is>
      </c>
      <c r="B160" s="1" t="n">
        <v>44501.88946759259</v>
      </c>
      <c r="C160" s="1" t="n">
        <v>46143</v>
      </c>
      <c r="D160" t="inlineStr">
        <is>
          <t>VÄRMLANDS LÄN</t>
        </is>
      </c>
      <c r="E160" t="inlineStr">
        <is>
          <t>ARVIKA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13514-2022</t>
        </is>
      </c>
      <c r="B161" s="1" t="n">
        <v>44648.34890046297</v>
      </c>
      <c r="C161" s="1" t="n">
        <v>46143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35116-2022</t>
        </is>
      </c>
      <c r="B162" s="1" t="n">
        <v>44797.45269675926</v>
      </c>
      <c r="C162" s="1" t="n">
        <v>46143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10842-2022</t>
        </is>
      </c>
      <c r="B163" s="1" t="n">
        <v>44627.57815972222</v>
      </c>
      <c r="C163" s="1" t="n">
        <v>46143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21382-2021</t>
        </is>
      </c>
      <c r="B164" s="1" t="n">
        <v>44320</v>
      </c>
      <c r="C164" s="1" t="n">
        <v>46143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39195-2021</t>
        </is>
      </c>
      <c r="B165" s="1" t="n">
        <v>44413</v>
      </c>
      <c r="C165" s="1" t="n">
        <v>46143</v>
      </c>
      <c r="D165" t="inlineStr">
        <is>
          <t>VÄRMLANDS LÄN</t>
        </is>
      </c>
      <c r="E165" t="inlineStr">
        <is>
          <t>ARVIKA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61520-2021</t>
        </is>
      </c>
      <c r="B166" s="1" t="n">
        <v>44501.37252314815</v>
      </c>
      <c r="C166" s="1" t="n">
        <v>46143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47004-2022</t>
        </is>
      </c>
      <c r="B167" s="1" t="n">
        <v>44852.31881944444</v>
      </c>
      <c r="C167" s="1" t="n">
        <v>46143</v>
      </c>
      <c r="D167" t="inlineStr">
        <is>
          <t>VÄRMLANDS LÄN</t>
        </is>
      </c>
      <c r="E167" t="inlineStr">
        <is>
          <t>ARVIKA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31829-2022</t>
        </is>
      </c>
      <c r="B168" s="1" t="n">
        <v>44776</v>
      </c>
      <c r="C168" s="1" t="n">
        <v>46143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32723-2022</t>
        </is>
      </c>
      <c r="B169" s="1" t="n">
        <v>44783.66143518518</v>
      </c>
      <c r="C169" s="1" t="n">
        <v>46143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32287-2022</t>
        </is>
      </c>
      <c r="B170" s="1" t="n">
        <v>44781</v>
      </c>
      <c r="C170" s="1" t="n">
        <v>46143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26999-2021</t>
        </is>
      </c>
      <c r="B171" s="1" t="n">
        <v>44350.34581018519</v>
      </c>
      <c r="C171" s="1" t="n">
        <v>46143</v>
      </c>
      <c r="D171" t="inlineStr">
        <is>
          <t>VÄRMLANDS LÄN</t>
        </is>
      </c>
      <c r="E171" t="inlineStr">
        <is>
          <t>ARVIKA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70381-2021</t>
        </is>
      </c>
      <c r="B172" s="1" t="n">
        <v>44536.52726851852</v>
      </c>
      <c r="C172" s="1" t="n">
        <v>46143</v>
      </c>
      <c r="D172" t="inlineStr">
        <is>
          <t>VÄRMLANDS LÄN</t>
        </is>
      </c>
      <c r="E172" t="inlineStr">
        <is>
          <t>ARVIKA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38894-2022</t>
        </is>
      </c>
      <c r="B173" s="1" t="n">
        <v>44816</v>
      </c>
      <c r="C173" s="1" t="n">
        <v>46143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33189-2022</t>
        </is>
      </c>
      <c r="B174" s="1" t="n">
        <v>44785.63675925926</v>
      </c>
      <c r="C174" s="1" t="n">
        <v>46143</v>
      </c>
      <c r="D174" t="inlineStr">
        <is>
          <t>VÄRMLANDS LÄN</t>
        </is>
      </c>
      <c r="E174" t="inlineStr">
        <is>
          <t>ARVIKA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16256-2022</t>
        </is>
      </c>
      <c r="B175" s="1" t="n">
        <v>44669</v>
      </c>
      <c r="C175" s="1" t="n">
        <v>46143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48727-2021</t>
        </is>
      </c>
      <c r="B176" s="1" t="n">
        <v>44452.59486111111</v>
      </c>
      <c r="C176" s="1" t="n">
        <v>46143</v>
      </c>
      <c r="D176" t="inlineStr">
        <is>
          <t>VÄRMLANDS LÄN</t>
        </is>
      </c>
      <c r="E176" t="inlineStr">
        <is>
          <t>ARVIKA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30983-2022</t>
        </is>
      </c>
      <c r="B177" s="1" t="n">
        <v>44768.51357638889</v>
      </c>
      <c r="C177" s="1" t="n">
        <v>46143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9080-2022</t>
        </is>
      </c>
      <c r="B178" s="1" t="n">
        <v>44615</v>
      </c>
      <c r="C178" s="1" t="n">
        <v>46143</v>
      </c>
      <c r="D178" t="inlineStr">
        <is>
          <t>VÄRMLANDS LÄN</t>
        </is>
      </c>
      <c r="E178" t="inlineStr">
        <is>
          <t>ARVIKA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67654-2021</t>
        </is>
      </c>
      <c r="B179" s="1" t="n">
        <v>44524</v>
      </c>
      <c r="C179" s="1" t="n">
        <v>46143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42163-2021</t>
        </is>
      </c>
      <c r="B180" s="1" t="n">
        <v>44426</v>
      </c>
      <c r="C180" s="1" t="n">
        <v>46143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31797-2022</t>
        </is>
      </c>
      <c r="B181" s="1" t="n">
        <v>44776</v>
      </c>
      <c r="C181" s="1" t="n">
        <v>46143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48966-2022</t>
        </is>
      </c>
      <c r="B182" s="1" t="n">
        <v>44860.33234953704</v>
      </c>
      <c r="C182" s="1" t="n">
        <v>46143</v>
      </c>
      <c r="D182" t="inlineStr">
        <is>
          <t>VÄRMLANDS LÄN</t>
        </is>
      </c>
      <c r="E182" t="inlineStr">
        <is>
          <t>ARVIKA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38342-2022</t>
        </is>
      </c>
      <c r="B183" s="1" t="n">
        <v>44812.61857638889</v>
      </c>
      <c r="C183" s="1" t="n">
        <v>46143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20176-2022</t>
        </is>
      </c>
      <c r="B184" s="1" t="n">
        <v>44698</v>
      </c>
      <c r="C184" s="1" t="n">
        <v>46143</v>
      </c>
      <c r="D184" t="inlineStr">
        <is>
          <t>VÄRMLANDS LÄN</t>
        </is>
      </c>
      <c r="E184" t="inlineStr">
        <is>
          <t>ARVIKA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66553-2021</t>
        </is>
      </c>
      <c r="B185" s="1" t="n">
        <v>44519.40490740741</v>
      </c>
      <c r="C185" s="1" t="n">
        <v>46143</v>
      </c>
      <c r="D185" t="inlineStr">
        <is>
          <t>VÄRMLANDS LÄN</t>
        </is>
      </c>
      <c r="E185" t="inlineStr">
        <is>
          <t>ARVIKA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42734-2021</t>
        </is>
      </c>
      <c r="B186" s="1" t="n">
        <v>44428</v>
      </c>
      <c r="C186" s="1" t="n">
        <v>46143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7144-2022</t>
        </is>
      </c>
      <c r="B187" s="1" t="n">
        <v>44603</v>
      </c>
      <c r="C187" s="1" t="n">
        <v>46143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55792-2022</t>
        </is>
      </c>
      <c r="B188" s="1" t="n">
        <v>44888.63201388889</v>
      </c>
      <c r="C188" s="1" t="n">
        <v>46143</v>
      </c>
      <c r="D188" t="inlineStr">
        <is>
          <t>VÄRMLANDS LÄN</t>
        </is>
      </c>
      <c r="E188" t="inlineStr">
        <is>
          <t>ARVIKA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9122-2022</t>
        </is>
      </c>
      <c r="B189" s="1" t="n">
        <v>44615.56917824074</v>
      </c>
      <c r="C189" s="1" t="n">
        <v>46143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42160-2022</t>
        </is>
      </c>
      <c r="B190" s="1" t="n">
        <v>44830</v>
      </c>
      <c r="C190" s="1" t="n">
        <v>46143</v>
      </c>
      <c r="D190" t="inlineStr">
        <is>
          <t>VÄRMLANDS LÄN</t>
        </is>
      </c>
      <c r="E190" t="inlineStr">
        <is>
          <t>ARVIKA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46143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23061-2022</t>
        </is>
      </c>
      <c r="B192" s="1" t="n">
        <v>44718</v>
      </c>
      <c r="C192" s="1" t="n">
        <v>46143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23078-2022</t>
        </is>
      </c>
      <c r="B193" s="1" t="n">
        <v>44718</v>
      </c>
      <c r="C193" s="1" t="n">
        <v>46143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74331-2021</t>
        </is>
      </c>
      <c r="B194" s="1" t="n">
        <v>44559</v>
      </c>
      <c r="C194" s="1" t="n">
        <v>46143</v>
      </c>
      <c r="D194" t="inlineStr">
        <is>
          <t>VÄRMLANDS LÄN</t>
        </is>
      </c>
      <c r="E194" t="inlineStr">
        <is>
          <t>ARVIKA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46143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46143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46143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22604-2022</t>
        </is>
      </c>
      <c r="B198" s="1" t="n">
        <v>44714.3706712963</v>
      </c>
      <c r="C198" s="1" t="n">
        <v>46143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73208-2021</t>
        </is>
      </c>
      <c r="B199" s="1" t="n">
        <v>44550.64060185185</v>
      </c>
      <c r="C199" s="1" t="n">
        <v>46143</v>
      </c>
      <c r="D199" t="inlineStr">
        <is>
          <t>VÄRMLANDS LÄN</t>
        </is>
      </c>
      <c r="E199" t="inlineStr">
        <is>
          <t>ARVIKA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44067-2021</t>
        </is>
      </c>
      <c r="B200" s="1" t="n">
        <v>44434</v>
      </c>
      <c r="C200" s="1" t="n">
        <v>46143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3443-2022</t>
        </is>
      </c>
      <c r="B201" s="1" t="n">
        <v>44585.56623842593</v>
      </c>
      <c r="C201" s="1" t="n">
        <v>46143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55791-2021</t>
        </is>
      </c>
      <c r="B202" s="1" t="n">
        <v>44476.569375</v>
      </c>
      <c r="C202" s="1" t="n">
        <v>46143</v>
      </c>
      <c r="D202" t="inlineStr">
        <is>
          <t>VÄRMLANDS LÄN</t>
        </is>
      </c>
      <c r="E202" t="inlineStr">
        <is>
          <t>ARVIKA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45716-2021</t>
        </is>
      </c>
      <c r="B203" s="1" t="n">
        <v>44435</v>
      </c>
      <c r="C203" s="1" t="n">
        <v>46143</v>
      </c>
      <c r="D203" t="inlineStr">
        <is>
          <t>VÄRMLANDS LÄN</t>
        </is>
      </c>
      <c r="E203" t="inlineStr">
        <is>
          <t>ARVIKA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42720-2021</t>
        </is>
      </c>
      <c r="B204" s="1" t="n">
        <v>44428</v>
      </c>
      <c r="C204" s="1" t="n">
        <v>46143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23075-2022</t>
        </is>
      </c>
      <c r="B205" s="1" t="n">
        <v>44718</v>
      </c>
      <c r="C205" s="1" t="n">
        <v>46143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42324-2022</t>
        </is>
      </c>
      <c r="B206" s="1" t="n">
        <v>44831.34027777778</v>
      </c>
      <c r="C206" s="1" t="n">
        <v>46143</v>
      </c>
      <c r="D206" t="inlineStr">
        <is>
          <t>VÄRMLANDS LÄN</t>
        </is>
      </c>
      <c r="E206" t="inlineStr">
        <is>
          <t>ARVIKA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14615-2022</t>
        </is>
      </c>
      <c r="B207" s="1" t="n">
        <v>44655</v>
      </c>
      <c r="C207" s="1" t="n">
        <v>46143</v>
      </c>
      <c r="D207" t="inlineStr">
        <is>
          <t>VÄRMLANDS LÄN</t>
        </is>
      </c>
      <c r="E207" t="inlineStr">
        <is>
          <t>ARVIKA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41450-2021</t>
        </is>
      </c>
      <c r="B208" s="1" t="n">
        <v>44424</v>
      </c>
      <c r="C208" s="1" t="n">
        <v>46143</v>
      </c>
      <c r="D208" t="inlineStr">
        <is>
          <t>VÄRMLANDS LÄN</t>
        </is>
      </c>
      <c r="E208" t="inlineStr">
        <is>
          <t>ARVIKA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19889-2022</t>
        </is>
      </c>
      <c r="B209" s="1" t="n">
        <v>44697.3821875</v>
      </c>
      <c r="C209" s="1" t="n">
        <v>46143</v>
      </c>
      <c r="D209" t="inlineStr">
        <is>
          <t>VÄRMLANDS LÄN</t>
        </is>
      </c>
      <c r="E209" t="inlineStr">
        <is>
          <t>ARVIKA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51553-2021</t>
        </is>
      </c>
      <c r="B210" s="1" t="n">
        <v>44462</v>
      </c>
      <c r="C210" s="1" t="n">
        <v>46143</v>
      </c>
      <c r="D210" t="inlineStr">
        <is>
          <t>VÄRMLANDS LÄN</t>
        </is>
      </c>
      <c r="E210" t="inlineStr">
        <is>
          <t>ARVIKA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54261-2021</t>
        </is>
      </c>
      <c r="B211" s="1" t="n">
        <v>44470</v>
      </c>
      <c r="C211" s="1" t="n">
        <v>46143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61834-2021</t>
        </is>
      </c>
      <c r="B212" s="1" t="n">
        <v>44501.88587962963</v>
      </c>
      <c r="C212" s="1" t="n">
        <v>46143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9374-2022</t>
        </is>
      </c>
      <c r="B213" s="1" t="n">
        <v>44616</v>
      </c>
      <c r="C213" s="1" t="n">
        <v>46143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41317-2021</t>
        </is>
      </c>
      <c r="B214" s="1" t="n">
        <v>44424</v>
      </c>
      <c r="C214" s="1" t="n">
        <v>46143</v>
      </c>
      <c r="D214" t="inlineStr">
        <is>
          <t>VÄRMLANDS LÄN</t>
        </is>
      </c>
      <c r="E214" t="inlineStr">
        <is>
          <t>ARVIKA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41320-2021</t>
        </is>
      </c>
      <c r="B215" s="1" t="n">
        <v>44424</v>
      </c>
      <c r="C215" s="1" t="n">
        <v>46143</v>
      </c>
      <c r="D215" t="inlineStr">
        <is>
          <t>VÄRMLANDS LÄN</t>
        </is>
      </c>
      <c r="E215" t="inlineStr">
        <is>
          <t>ARVIKA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41325-2021</t>
        </is>
      </c>
      <c r="B216" s="1" t="n">
        <v>44424</v>
      </c>
      <c r="C216" s="1" t="n">
        <v>46143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16104-2022</t>
        </is>
      </c>
      <c r="B217" s="1" t="n">
        <v>44665.60780092593</v>
      </c>
      <c r="C217" s="1" t="n">
        <v>46143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47119-2021</t>
        </is>
      </c>
      <c r="B218" s="1" t="n">
        <v>44446</v>
      </c>
      <c r="C218" s="1" t="n">
        <v>46143</v>
      </c>
      <c r="D218" t="inlineStr">
        <is>
          <t>VÄRMLANDS LÄN</t>
        </is>
      </c>
      <c r="E218" t="inlineStr">
        <is>
          <t>ARVIKA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64331-2021</t>
        </is>
      </c>
      <c r="B219" s="1" t="n">
        <v>44510</v>
      </c>
      <c r="C219" s="1" t="n">
        <v>46143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21303-2022</t>
        </is>
      </c>
      <c r="B220" s="1" t="n">
        <v>44705.53600694444</v>
      </c>
      <c r="C220" s="1" t="n">
        <v>46143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21052-2022</t>
        </is>
      </c>
      <c r="B221" s="1" t="n">
        <v>44704</v>
      </c>
      <c r="C221" s="1" t="n">
        <v>46143</v>
      </c>
      <c r="D221" t="inlineStr">
        <is>
          <t>VÄRMLANDS LÄN</t>
        </is>
      </c>
      <c r="E221" t="inlineStr">
        <is>
          <t>ARVIKA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4075-2022</t>
        </is>
      </c>
      <c r="B222" s="1" t="n">
        <v>44588.37962962963</v>
      </c>
      <c r="C222" s="1" t="n">
        <v>46143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71130-2021</t>
        </is>
      </c>
      <c r="B223" s="1" t="n">
        <v>44539</v>
      </c>
      <c r="C223" s="1" t="n">
        <v>46143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28548-2022</t>
        </is>
      </c>
      <c r="B224" s="1" t="n">
        <v>44748.4187037037</v>
      </c>
      <c r="C224" s="1" t="n">
        <v>46143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38707-2022</t>
        </is>
      </c>
      <c r="B225" s="1" t="n">
        <v>44814</v>
      </c>
      <c r="C225" s="1" t="n">
        <v>46143</v>
      </c>
      <c r="D225" t="inlineStr">
        <is>
          <t>VÄRMLANDS LÄN</t>
        </is>
      </c>
      <c r="E225" t="inlineStr">
        <is>
          <t>ARVIKA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17982-2024</t>
        </is>
      </c>
      <c r="B226" s="1" t="n">
        <v>45419.87510416667</v>
      </c>
      <c r="C226" s="1" t="n">
        <v>46143</v>
      </c>
      <c r="D226" t="inlineStr">
        <is>
          <t>VÄRMLANDS LÄN</t>
        </is>
      </c>
      <c r="E226" t="inlineStr">
        <is>
          <t>ARVIKA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20521-2025</t>
        </is>
      </c>
      <c r="B227" s="1" t="n">
        <v>45775.6015625</v>
      </c>
      <c r="C227" s="1" t="n">
        <v>46143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48488-2022</t>
        </is>
      </c>
      <c r="B228" s="1" t="n">
        <v>44858</v>
      </c>
      <c r="C228" s="1" t="n">
        <v>46143</v>
      </c>
      <c r="D228" t="inlineStr">
        <is>
          <t>VÄRMLANDS LÄN</t>
        </is>
      </c>
      <c r="E228" t="inlineStr">
        <is>
          <t>ARVIKA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382-2023</t>
        </is>
      </c>
      <c r="B229" s="1" t="n">
        <v>44922</v>
      </c>
      <c r="C229" s="1" t="n">
        <v>46143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1329-2022</t>
        </is>
      </c>
      <c r="B230" s="1" t="n">
        <v>44572</v>
      </c>
      <c r="C230" s="1" t="n">
        <v>46143</v>
      </c>
      <c r="D230" t="inlineStr">
        <is>
          <t>VÄRMLANDS LÄN</t>
        </is>
      </c>
      <c r="E230" t="inlineStr">
        <is>
          <t>ARVIKA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42163-2022</t>
        </is>
      </c>
      <c r="B231" s="1" t="n">
        <v>44830</v>
      </c>
      <c r="C231" s="1" t="n">
        <v>46143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14219-2024</t>
        </is>
      </c>
      <c r="B232" s="1" t="n">
        <v>45393.45599537037</v>
      </c>
      <c r="C232" s="1" t="n">
        <v>46143</v>
      </c>
      <c r="D232" t="inlineStr">
        <is>
          <t>VÄRMLANDS LÄN</t>
        </is>
      </c>
      <c r="E232" t="inlineStr">
        <is>
          <t>ARVIKA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21953-2023</t>
        </is>
      </c>
      <c r="B233" s="1" t="n">
        <v>45068</v>
      </c>
      <c r="C233" s="1" t="n">
        <v>46143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35492-2024</t>
        </is>
      </c>
      <c r="B234" s="1" t="n">
        <v>45531</v>
      </c>
      <c r="C234" s="1" t="n">
        <v>46143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45892-2024</t>
        </is>
      </c>
      <c r="B235" s="1" t="n">
        <v>45580</v>
      </c>
      <c r="C235" s="1" t="n">
        <v>46143</v>
      </c>
      <c r="D235" t="inlineStr">
        <is>
          <t>VÄRMLANDS LÄN</t>
        </is>
      </c>
      <c r="E235" t="inlineStr">
        <is>
          <t>ARVIKA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24668-2021</t>
        </is>
      </c>
      <c r="B236" s="1" t="n">
        <v>44340</v>
      </c>
      <c r="C236" s="1" t="n">
        <v>46143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50383-2024</t>
        </is>
      </c>
      <c r="B237" s="1" t="n">
        <v>45601.31583333333</v>
      </c>
      <c r="C237" s="1" t="n">
        <v>46143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59886-2021</t>
        </is>
      </c>
      <c r="B238" s="1" t="n">
        <v>44493</v>
      </c>
      <c r="C238" s="1" t="n">
        <v>46143</v>
      </c>
      <c r="D238" t="inlineStr">
        <is>
          <t>VÄRMLANDS LÄN</t>
        </is>
      </c>
      <c r="E238" t="inlineStr">
        <is>
          <t>ARVIKA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16815-2024</t>
        </is>
      </c>
      <c r="B239" s="1" t="n">
        <v>45411.46498842593</v>
      </c>
      <c r="C239" s="1" t="n">
        <v>46143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27617-2024</t>
        </is>
      </c>
      <c r="B240" s="1" t="n">
        <v>45474.84886574074</v>
      </c>
      <c r="C240" s="1" t="n">
        <v>46143</v>
      </c>
      <c r="D240" t="inlineStr">
        <is>
          <t>VÄRMLANDS LÄN</t>
        </is>
      </c>
      <c r="E240" t="inlineStr">
        <is>
          <t>ARVIKA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13809-2023</t>
        </is>
      </c>
      <c r="B241" s="1" t="n">
        <v>45007</v>
      </c>
      <c r="C241" s="1" t="n">
        <v>46143</v>
      </c>
      <c r="D241" t="inlineStr">
        <is>
          <t>VÄRMLANDS LÄN</t>
        </is>
      </c>
      <c r="E241" t="inlineStr">
        <is>
          <t>ARVIKA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53892-2022</t>
        </is>
      </c>
      <c r="B242" s="1" t="n">
        <v>44880</v>
      </c>
      <c r="C242" s="1" t="n">
        <v>46143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29401-2024</t>
        </is>
      </c>
      <c r="B243" s="1" t="n">
        <v>45483</v>
      </c>
      <c r="C243" s="1" t="n">
        <v>46143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56309-2024</t>
        </is>
      </c>
      <c r="B244" s="1" t="n">
        <v>45624.70613425926</v>
      </c>
      <c r="C244" s="1" t="n">
        <v>46143</v>
      </c>
      <c r="D244" t="inlineStr">
        <is>
          <t>VÄRMLANDS LÄN</t>
        </is>
      </c>
      <c r="E244" t="inlineStr">
        <is>
          <t>ARVIKA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44432-2021</t>
        </is>
      </c>
      <c r="B245" s="1" t="n">
        <v>44435</v>
      </c>
      <c r="C245" s="1" t="n">
        <v>46143</v>
      </c>
      <c r="D245" t="inlineStr">
        <is>
          <t>VÄRMLANDS LÄN</t>
        </is>
      </c>
      <c r="E245" t="inlineStr">
        <is>
          <t>ARVIKA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26424-2023</t>
        </is>
      </c>
      <c r="B246" s="1" t="n">
        <v>45092.39200231482</v>
      </c>
      <c r="C246" s="1" t="n">
        <v>46143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34347-2023</t>
        </is>
      </c>
      <c r="B247" s="1" t="n">
        <v>45131</v>
      </c>
      <c r="C247" s="1" t="n">
        <v>46143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22.7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55518-2021</t>
        </is>
      </c>
      <c r="B248" s="1" t="n">
        <v>44475</v>
      </c>
      <c r="C248" s="1" t="n">
        <v>46143</v>
      </c>
      <c r="D248" t="inlineStr">
        <is>
          <t>VÄRMLANDS LÄN</t>
        </is>
      </c>
      <c r="E248" t="inlineStr">
        <is>
          <t>ARVIKA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18238-2025</t>
        </is>
      </c>
      <c r="B249" s="1" t="n">
        <v>45761.98936342593</v>
      </c>
      <c r="C249" s="1" t="n">
        <v>46143</v>
      </c>
      <c r="D249" t="inlineStr">
        <is>
          <t>VÄRMLANDS LÄN</t>
        </is>
      </c>
      <c r="E249" t="inlineStr">
        <is>
          <t>ARVIKA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2155-2023</t>
        </is>
      </c>
      <c r="B250" s="1" t="n">
        <v>44941.59325231481</v>
      </c>
      <c r="C250" s="1" t="n">
        <v>46143</v>
      </c>
      <c r="D250" t="inlineStr">
        <is>
          <t>VÄRMLANDS LÄN</t>
        </is>
      </c>
      <c r="E250" t="inlineStr">
        <is>
          <t>ARVIKA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6030-2023</t>
        </is>
      </c>
      <c r="B251" s="1" t="n">
        <v>44964</v>
      </c>
      <c r="C251" s="1" t="n">
        <v>46143</v>
      </c>
      <c r="D251" t="inlineStr">
        <is>
          <t>VÄRMLANDS LÄN</t>
        </is>
      </c>
      <c r="E251" t="inlineStr">
        <is>
          <t>ARVIKA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8825-2025</t>
        </is>
      </c>
      <c r="B252" s="1" t="n">
        <v>45712.86552083334</v>
      </c>
      <c r="C252" s="1" t="n">
        <v>46143</v>
      </c>
      <c r="D252" t="inlineStr">
        <is>
          <t>VÄRMLANDS LÄN</t>
        </is>
      </c>
      <c r="E252" t="inlineStr">
        <is>
          <t>ARVIKA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929-2025</t>
        </is>
      </c>
      <c r="B253" s="1" t="n">
        <v>45665.84310185185</v>
      </c>
      <c r="C253" s="1" t="n">
        <v>46143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15918-2025</t>
        </is>
      </c>
      <c r="B254" s="1" t="n">
        <v>45749</v>
      </c>
      <c r="C254" s="1" t="n">
        <v>46143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18817-2025</t>
        </is>
      </c>
      <c r="B255" s="1" t="n">
        <v>45764</v>
      </c>
      <c r="C255" s="1" t="n">
        <v>46143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10404-2025</t>
        </is>
      </c>
      <c r="B256" s="1" t="n">
        <v>45720.61591435185</v>
      </c>
      <c r="C256" s="1" t="n">
        <v>46143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2046-2023</t>
        </is>
      </c>
      <c r="B257" s="1" t="n">
        <v>44938</v>
      </c>
      <c r="C257" s="1" t="n">
        <v>46143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21433-2022</t>
        </is>
      </c>
      <c r="B258" s="1" t="n">
        <v>44706.34313657408</v>
      </c>
      <c r="C258" s="1" t="n">
        <v>46143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24479-2024</t>
        </is>
      </c>
      <c r="B259" s="1" t="n">
        <v>45459</v>
      </c>
      <c r="C259" s="1" t="n">
        <v>46143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33360-2024</t>
        </is>
      </c>
      <c r="B260" s="1" t="n">
        <v>45519</v>
      </c>
      <c r="C260" s="1" t="n">
        <v>46143</v>
      </c>
      <c r="D260" t="inlineStr">
        <is>
          <t>VÄRMLANDS LÄN</t>
        </is>
      </c>
      <c r="E260" t="inlineStr">
        <is>
          <t>ARVIKA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13187-2025</t>
        </is>
      </c>
      <c r="B261" s="1" t="n">
        <v>45735.38898148148</v>
      </c>
      <c r="C261" s="1" t="n">
        <v>46143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60344-2023</t>
        </is>
      </c>
      <c r="B262" s="1" t="n">
        <v>45259</v>
      </c>
      <c r="C262" s="1" t="n">
        <v>46143</v>
      </c>
      <c r="D262" t="inlineStr">
        <is>
          <t>VÄRMLANDS LÄN</t>
        </is>
      </c>
      <c r="E262" t="inlineStr">
        <is>
          <t>ARVIKA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60528-2024</t>
        </is>
      </c>
      <c r="B263" s="1" t="n">
        <v>45643.70802083334</v>
      </c>
      <c r="C263" s="1" t="n">
        <v>46143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5322-2023</t>
        </is>
      </c>
      <c r="B264" s="1" t="n">
        <v>44959.57515046297</v>
      </c>
      <c r="C264" s="1" t="n">
        <v>46143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25275-2024</t>
        </is>
      </c>
      <c r="B265" s="1" t="n">
        <v>45462.62945601852</v>
      </c>
      <c r="C265" s="1" t="n">
        <v>46143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4506-2022</t>
        </is>
      </c>
      <c r="B266" s="1" t="n">
        <v>44589</v>
      </c>
      <c r="C266" s="1" t="n">
        <v>46143</v>
      </c>
      <c r="D266" t="inlineStr">
        <is>
          <t>VÄRMLANDS LÄN</t>
        </is>
      </c>
      <c r="E266" t="inlineStr">
        <is>
          <t>ARVIKA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40011-2022</t>
        </is>
      </c>
      <c r="B267" s="1" t="n">
        <v>44820</v>
      </c>
      <c r="C267" s="1" t="n">
        <v>46143</v>
      </c>
      <c r="D267" t="inlineStr">
        <is>
          <t>VÄRMLANDS LÄN</t>
        </is>
      </c>
      <c r="E267" t="inlineStr">
        <is>
          <t>ARVIKA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1257-2025</t>
        </is>
      </c>
      <c r="B268" s="1" t="n">
        <v>45667.47105324074</v>
      </c>
      <c r="C268" s="1" t="n">
        <v>46143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6241-2025</t>
        </is>
      </c>
      <c r="B269" s="1" t="n">
        <v>45698</v>
      </c>
      <c r="C269" s="1" t="n">
        <v>46143</v>
      </c>
      <c r="D269" t="inlineStr">
        <is>
          <t>VÄRMLANDS LÄN</t>
        </is>
      </c>
      <c r="E269" t="inlineStr">
        <is>
          <t>ARVIKA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HYPERLINK("https://klasma.github.io/Logging_1784/knärot/A 6241-2025 karta knärot.png", "A 6241-2025")</f>
        <v/>
      </c>
      <c r="V269">
        <f>HYPERLINK("https://klasma.github.io/Logging_1784/klagomål/A 6241-2025 FSC-klagomål.docx", "A 6241-2025")</f>
        <v/>
      </c>
      <c r="W269">
        <f>HYPERLINK("https://klasma.github.io/Logging_1784/klagomålsmail/A 6241-2025 FSC-klagomål mail.docx", "A 6241-2025")</f>
        <v/>
      </c>
      <c r="X269">
        <f>HYPERLINK("https://klasma.github.io/Logging_1784/tillsyn/A 6241-2025 tillsynsbegäran.docx", "A 6241-2025")</f>
        <v/>
      </c>
      <c r="Y269">
        <f>HYPERLINK("https://klasma.github.io/Logging_1784/tillsynsmail/A 6241-2025 tillsynsbegäran mail.docx", "A 6241-2025")</f>
        <v/>
      </c>
    </row>
    <row r="270" ht="15" customHeight="1">
      <c r="A270" t="inlineStr">
        <is>
          <t>A 10599-2025</t>
        </is>
      </c>
      <c r="B270" s="1" t="n">
        <v>45721</v>
      </c>
      <c r="C270" s="1" t="n">
        <v>46143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19158-2025</t>
        </is>
      </c>
      <c r="B271" s="1" t="n">
        <v>45769</v>
      </c>
      <c r="C271" s="1" t="n">
        <v>46143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43365-2023</t>
        </is>
      </c>
      <c r="B272" s="1" t="n">
        <v>45183.7125</v>
      </c>
      <c r="C272" s="1" t="n">
        <v>46143</v>
      </c>
      <c r="D272" t="inlineStr">
        <is>
          <t>VÄRMLANDS LÄN</t>
        </is>
      </c>
      <c r="E272" t="inlineStr">
        <is>
          <t>ARVIKA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69340-2021</t>
        </is>
      </c>
      <c r="B273" s="1" t="n">
        <v>44531</v>
      </c>
      <c r="C273" s="1" t="n">
        <v>46143</v>
      </c>
      <c r="D273" t="inlineStr">
        <is>
          <t>VÄRMLANDS LÄN</t>
        </is>
      </c>
      <c r="E273" t="inlineStr">
        <is>
          <t>ARVIKA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9690-2025</t>
        </is>
      </c>
      <c r="B274" s="1" t="n">
        <v>45716.36098379629</v>
      </c>
      <c r="C274" s="1" t="n">
        <v>46143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9691-2025</t>
        </is>
      </c>
      <c r="B275" s="1" t="n">
        <v>45716.36652777778</v>
      </c>
      <c r="C275" s="1" t="n">
        <v>46143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61544-2023</t>
        </is>
      </c>
      <c r="B276" s="1" t="n">
        <v>45265</v>
      </c>
      <c r="C276" s="1" t="n">
        <v>46143</v>
      </c>
      <c r="D276" t="inlineStr">
        <is>
          <t>VÄRMLANDS LÄN</t>
        </is>
      </c>
      <c r="E276" t="inlineStr">
        <is>
          <t>ARVIKA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45405-2023</t>
        </is>
      </c>
      <c r="B277" s="1" t="n">
        <v>45194.33592592592</v>
      </c>
      <c r="C277" s="1" t="n">
        <v>46143</v>
      </c>
      <c r="D277" t="inlineStr">
        <is>
          <t>VÄRMLANDS LÄN</t>
        </is>
      </c>
      <c r="E277" t="inlineStr">
        <is>
          <t>ARVIKA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16778-2025</t>
        </is>
      </c>
      <c r="B278" s="1" t="n">
        <v>45754.58761574074</v>
      </c>
      <c r="C278" s="1" t="n">
        <v>46143</v>
      </c>
      <c r="D278" t="inlineStr">
        <is>
          <t>VÄRMLANDS LÄN</t>
        </is>
      </c>
      <c r="E278" t="inlineStr">
        <is>
          <t>ARVIKA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15882-2025</t>
        </is>
      </c>
      <c r="B279" s="1" t="n">
        <v>45749.39099537037</v>
      </c>
      <c r="C279" s="1" t="n">
        <v>46143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19379-2025</t>
        </is>
      </c>
      <c r="B280" s="1" t="n">
        <v>45769.65373842593</v>
      </c>
      <c r="C280" s="1" t="n">
        <v>46143</v>
      </c>
      <c r="D280" t="inlineStr">
        <is>
          <t>VÄRMLANDS LÄN</t>
        </is>
      </c>
      <c r="E280" t="inlineStr">
        <is>
          <t>ARVIKA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19390-2025</t>
        </is>
      </c>
      <c r="B281" s="1" t="n">
        <v>45769</v>
      </c>
      <c r="C281" s="1" t="n">
        <v>46143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8702-2023</t>
        </is>
      </c>
      <c r="B282" s="1" t="n">
        <v>44978.36069444445</v>
      </c>
      <c r="C282" s="1" t="n">
        <v>46143</v>
      </c>
      <c r="D282" t="inlineStr">
        <is>
          <t>VÄRMLANDS LÄN</t>
        </is>
      </c>
      <c r="E282" t="inlineStr">
        <is>
          <t>ARVIKA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11713-2023</t>
        </is>
      </c>
      <c r="B283" s="1" t="n">
        <v>44994.54960648148</v>
      </c>
      <c r="C283" s="1" t="n">
        <v>46143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15697-2024</t>
        </is>
      </c>
      <c r="B284" s="1" t="n">
        <v>45404.46048611111</v>
      </c>
      <c r="C284" s="1" t="n">
        <v>46143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46758-2023</t>
        </is>
      </c>
      <c r="B285" s="1" t="n">
        <v>45198</v>
      </c>
      <c r="C285" s="1" t="n">
        <v>46143</v>
      </c>
      <c r="D285" t="inlineStr">
        <is>
          <t>VÄRMLANDS LÄN</t>
        </is>
      </c>
      <c r="E285" t="inlineStr">
        <is>
          <t>ARVIKA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27170-2024</t>
        </is>
      </c>
      <c r="B286" s="1" t="n">
        <v>45471</v>
      </c>
      <c r="C286" s="1" t="n">
        <v>46143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12689-2024</t>
        </is>
      </c>
      <c r="B287" s="1" t="n">
        <v>45384</v>
      </c>
      <c r="C287" s="1" t="n">
        <v>46143</v>
      </c>
      <c r="D287" t="inlineStr">
        <is>
          <t>VÄRMLANDS LÄN</t>
        </is>
      </c>
      <c r="E287" t="inlineStr">
        <is>
          <t>ARVIKA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64583-2023</t>
        </is>
      </c>
      <c r="B288" s="1" t="n">
        <v>45281.46321759259</v>
      </c>
      <c r="C288" s="1" t="n">
        <v>46143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64585-2023</t>
        </is>
      </c>
      <c r="B289" s="1" t="n">
        <v>45281.46854166667</v>
      </c>
      <c r="C289" s="1" t="n">
        <v>46143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31615-2023</t>
        </is>
      </c>
      <c r="B290" s="1" t="n">
        <v>45117.5430787037</v>
      </c>
      <c r="C290" s="1" t="n">
        <v>46143</v>
      </c>
      <c r="D290" t="inlineStr">
        <is>
          <t>VÄRMLANDS LÄN</t>
        </is>
      </c>
      <c r="E290" t="inlineStr">
        <is>
          <t>ARVIKA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57554-2024</t>
        </is>
      </c>
      <c r="B291" s="1" t="n">
        <v>45630</v>
      </c>
      <c r="C291" s="1" t="n">
        <v>46143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62170-2024</t>
        </is>
      </c>
      <c r="B292" s="1" t="n">
        <v>45657.62571759259</v>
      </c>
      <c r="C292" s="1" t="n">
        <v>46143</v>
      </c>
      <c r="D292" t="inlineStr">
        <is>
          <t>VÄRMLANDS LÄN</t>
        </is>
      </c>
      <c r="E292" t="inlineStr">
        <is>
          <t>ARVIKA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12826-2023</t>
        </is>
      </c>
      <c r="B293" s="1" t="n">
        <v>45000</v>
      </c>
      <c r="C293" s="1" t="n">
        <v>46143</v>
      </c>
      <c r="D293" t="inlineStr">
        <is>
          <t>VÄRMLANDS LÄN</t>
        </is>
      </c>
      <c r="E293" t="inlineStr">
        <is>
          <t>ARVIKA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37227-2024</t>
        </is>
      </c>
      <c r="B294" s="1" t="n">
        <v>45539.90851851852</v>
      </c>
      <c r="C294" s="1" t="n">
        <v>46143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8741-2023</t>
        </is>
      </c>
      <c r="B295" s="1" t="n">
        <v>44972</v>
      </c>
      <c r="C295" s="1" t="n">
        <v>46143</v>
      </c>
      <c r="D295" t="inlineStr">
        <is>
          <t>VÄRMLANDS LÄN</t>
        </is>
      </c>
      <c r="E295" t="inlineStr">
        <is>
          <t>ARVIKA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49880-2024</t>
        </is>
      </c>
      <c r="B296" s="1" t="n">
        <v>45597</v>
      </c>
      <c r="C296" s="1" t="n">
        <v>46143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12164-2025</t>
        </is>
      </c>
      <c r="B297" s="1" t="n">
        <v>45729.43119212963</v>
      </c>
      <c r="C297" s="1" t="n">
        <v>46143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12167-2025</t>
        </is>
      </c>
      <c r="B298" s="1" t="n">
        <v>45729.43538194444</v>
      </c>
      <c r="C298" s="1" t="n">
        <v>46143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32013-2024</t>
        </is>
      </c>
      <c r="B299" s="1" t="n">
        <v>45510</v>
      </c>
      <c r="C299" s="1" t="n">
        <v>46143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53398-2022</t>
        </is>
      </c>
      <c r="B300" s="1" t="n">
        <v>44874</v>
      </c>
      <c r="C300" s="1" t="n">
        <v>46143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14483-2025</t>
        </is>
      </c>
      <c r="B301" s="1" t="n">
        <v>45741</v>
      </c>
      <c r="C301" s="1" t="n">
        <v>46143</v>
      </c>
      <c r="D301" t="inlineStr">
        <is>
          <t>VÄRMLANDS LÄN</t>
        </is>
      </c>
      <c r="E301" t="inlineStr">
        <is>
          <t>ARVIKA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40981-2024</t>
        </is>
      </c>
      <c r="B302" s="1" t="n">
        <v>45558</v>
      </c>
      <c r="C302" s="1" t="n">
        <v>46143</v>
      </c>
      <c r="D302" t="inlineStr">
        <is>
          <t>VÄRMLANDS LÄN</t>
        </is>
      </c>
      <c r="E302" t="inlineStr">
        <is>
          <t>ARVIKA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61866-2024</t>
        </is>
      </c>
      <c r="B303" s="1" t="n">
        <v>45651</v>
      </c>
      <c r="C303" s="1" t="n">
        <v>46143</v>
      </c>
      <c r="D303" t="inlineStr">
        <is>
          <t>VÄRMLANDS LÄN</t>
        </is>
      </c>
      <c r="E303" t="inlineStr">
        <is>
          <t>ARVIKA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16104-2024</t>
        </is>
      </c>
      <c r="B304" s="1" t="n">
        <v>45406.45436342592</v>
      </c>
      <c r="C304" s="1" t="n">
        <v>46143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18078-2025</t>
        </is>
      </c>
      <c r="B305" s="1" t="n">
        <v>45761</v>
      </c>
      <c r="C305" s="1" t="n">
        <v>46143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20.9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18104-2025</t>
        </is>
      </c>
      <c r="B306" s="1" t="n">
        <v>45761</v>
      </c>
      <c r="C306" s="1" t="n">
        <v>46143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20357-2025</t>
        </is>
      </c>
      <c r="B307" s="1" t="n">
        <v>45775</v>
      </c>
      <c r="C307" s="1" t="n">
        <v>46143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61090-2024</t>
        </is>
      </c>
      <c r="B308" s="1" t="n">
        <v>45645</v>
      </c>
      <c r="C308" s="1" t="n">
        <v>46143</v>
      </c>
      <c r="D308" t="inlineStr">
        <is>
          <t>VÄRMLANDS LÄN</t>
        </is>
      </c>
      <c r="E308" t="inlineStr">
        <is>
          <t>ARVIKA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37240-2024</t>
        </is>
      </c>
      <c r="B309" s="1" t="n">
        <v>45540.34078703704</v>
      </c>
      <c r="C309" s="1" t="n">
        <v>46143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2134-2024</t>
        </is>
      </c>
      <c r="B310" s="1" t="n">
        <v>45309</v>
      </c>
      <c r="C310" s="1" t="n">
        <v>46143</v>
      </c>
      <c r="D310" t="inlineStr">
        <is>
          <t>VÄRMLANDS LÄN</t>
        </is>
      </c>
      <c r="E310" t="inlineStr">
        <is>
          <t>ARVIKA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47533-2024</t>
        </is>
      </c>
      <c r="B311" s="1" t="n">
        <v>45587</v>
      </c>
      <c r="C311" s="1" t="n">
        <v>46143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15923-2025</t>
        </is>
      </c>
      <c r="B312" s="1" t="n">
        <v>45749</v>
      </c>
      <c r="C312" s="1" t="n">
        <v>46143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10249-2025</t>
        </is>
      </c>
      <c r="B313" s="1" t="n">
        <v>45720.3612037037</v>
      </c>
      <c r="C313" s="1" t="n">
        <v>46143</v>
      </c>
      <c r="D313" t="inlineStr">
        <is>
          <t>VÄRMLANDS LÄN</t>
        </is>
      </c>
      <c r="E313" t="inlineStr">
        <is>
          <t>ARVIKA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24872-2023</t>
        </is>
      </c>
      <c r="B314" s="1" t="n">
        <v>45085</v>
      </c>
      <c r="C314" s="1" t="n">
        <v>46143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11679-2025</t>
        </is>
      </c>
      <c r="B315" s="1" t="n">
        <v>45727.53943287037</v>
      </c>
      <c r="C315" s="1" t="n">
        <v>46143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60968-2024</t>
        </is>
      </c>
      <c r="B316" s="1" t="n">
        <v>45645</v>
      </c>
      <c r="C316" s="1" t="n">
        <v>46143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60971-2024</t>
        </is>
      </c>
      <c r="B317" s="1" t="n">
        <v>45645</v>
      </c>
      <c r="C317" s="1" t="n">
        <v>46143</v>
      </c>
      <c r="D317" t="inlineStr">
        <is>
          <t>VÄRMLANDS LÄN</t>
        </is>
      </c>
      <c r="E317" t="inlineStr">
        <is>
          <t>ARVIKA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38687-2025</t>
        </is>
      </c>
      <c r="B318" s="1" t="n">
        <v>45884.65751157407</v>
      </c>
      <c r="C318" s="1" t="n">
        <v>46143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21329-2025</t>
        </is>
      </c>
      <c r="B319" s="1" t="n">
        <v>45782</v>
      </c>
      <c r="C319" s="1" t="n">
        <v>46143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58538-2023</t>
        </is>
      </c>
      <c r="B320" s="1" t="n">
        <v>45251</v>
      </c>
      <c r="C320" s="1" t="n">
        <v>46143</v>
      </c>
      <c r="D320" t="inlineStr">
        <is>
          <t>VÄRMLANDS LÄN</t>
        </is>
      </c>
      <c r="E320" t="inlineStr">
        <is>
          <t>ARVIKA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23267-2024</t>
        </is>
      </c>
      <c r="B321" s="1" t="n">
        <v>45453</v>
      </c>
      <c r="C321" s="1" t="n">
        <v>46143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2605-2025</t>
        </is>
      </c>
      <c r="B322" s="1" t="n">
        <v>45674.76526620371</v>
      </c>
      <c r="C322" s="1" t="n">
        <v>46143</v>
      </c>
      <c r="D322" t="inlineStr">
        <is>
          <t>VÄRMLANDS LÄN</t>
        </is>
      </c>
      <c r="E322" t="inlineStr">
        <is>
          <t>ARVIKA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23939-2025</t>
        </is>
      </c>
      <c r="B323" s="1" t="n">
        <v>45796.2993287037</v>
      </c>
      <c r="C323" s="1" t="n">
        <v>46143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23940-2025</t>
        </is>
      </c>
      <c r="B324" s="1" t="n">
        <v>45796.31008101852</v>
      </c>
      <c r="C324" s="1" t="n">
        <v>46143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24216-2025</t>
        </is>
      </c>
      <c r="B325" s="1" t="n">
        <v>45797.35528935185</v>
      </c>
      <c r="C325" s="1" t="n">
        <v>46143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31582-2024</t>
        </is>
      </c>
      <c r="B326" s="1" t="n">
        <v>45506.3546875</v>
      </c>
      <c r="C326" s="1" t="n">
        <v>46143</v>
      </c>
      <c r="D326" t="inlineStr">
        <is>
          <t>VÄRMLANDS LÄN</t>
        </is>
      </c>
      <c r="E326" t="inlineStr">
        <is>
          <t>ARVIKA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29301-2024</t>
        </is>
      </c>
      <c r="B327" s="1" t="n">
        <v>45483</v>
      </c>
      <c r="C327" s="1" t="n">
        <v>46143</v>
      </c>
      <c r="D327" t="inlineStr">
        <is>
          <t>VÄRMLANDS LÄN</t>
        </is>
      </c>
      <c r="E327" t="inlineStr">
        <is>
          <t>ARVIKA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18120-2024</t>
        </is>
      </c>
      <c r="B328" s="1" t="n">
        <v>45420</v>
      </c>
      <c r="C328" s="1" t="n">
        <v>46143</v>
      </c>
      <c r="D328" t="inlineStr">
        <is>
          <t>VÄRMLANDS LÄN</t>
        </is>
      </c>
      <c r="E328" t="inlineStr">
        <is>
          <t>ARVIKA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18651-2023</t>
        </is>
      </c>
      <c r="B329" s="1" t="n">
        <v>45043.53853009259</v>
      </c>
      <c r="C329" s="1" t="n">
        <v>46143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9236-2023</t>
        </is>
      </c>
      <c r="B330" s="1" t="n">
        <v>44980.54678240741</v>
      </c>
      <c r="C330" s="1" t="n">
        <v>46143</v>
      </c>
      <c r="D330" t="inlineStr">
        <is>
          <t>VÄRMLANDS LÄN</t>
        </is>
      </c>
      <c r="E330" t="inlineStr">
        <is>
          <t>ARVIKA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60844-2024</t>
        </is>
      </c>
      <c r="B331" s="1" t="n">
        <v>45644.65472222222</v>
      </c>
      <c r="C331" s="1" t="n">
        <v>46143</v>
      </c>
      <c r="D331" t="inlineStr">
        <is>
          <t>VÄRMLANDS LÄN</t>
        </is>
      </c>
      <c r="E331" t="inlineStr">
        <is>
          <t>ARVIKA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16014-2024</t>
        </is>
      </c>
      <c r="B332" s="1" t="n">
        <v>45405</v>
      </c>
      <c r="C332" s="1" t="n">
        <v>46143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58064-2024</t>
        </is>
      </c>
      <c r="B333" s="1" t="n">
        <v>45631</v>
      </c>
      <c r="C333" s="1" t="n">
        <v>46143</v>
      </c>
      <c r="D333" t="inlineStr">
        <is>
          <t>VÄRMLANDS LÄN</t>
        </is>
      </c>
      <c r="E333" t="inlineStr">
        <is>
          <t>ARVIKA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3144-2024</t>
        </is>
      </c>
      <c r="B334" s="1" t="n">
        <v>45316</v>
      </c>
      <c r="C334" s="1" t="n">
        <v>46143</v>
      </c>
      <c r="D334" t="inlineStr">
        <is>
          <t>VÄRMLANDS LÄN</t>
        </is>
      </c>
      <c r="E334" t="inlineStr">
        <is>
          <t>ARVIKA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38674-2025</t>
        </is>
      </c>
      <c r="B335" s="1" t="n">
        <v>45884</v>
      </c>
      <c r="C335" s="1" t="n">
        <v>46143</v>
      </c>
      <c r="D335" t="inlineStr">
        <is>
          <t>VÄRMLANDS LÄN</t>
        </is>
      </c>
      <c r="E335" t="inlineStr">
        <is>
          <t>ARVIKA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21866-2024</t>
        </is>
      </c>
      <c r="B336" s="1" t="n">
        <v>45443.31096064814</v>
      </c>
      <c r="C336" s="1" t="n">
        <v>46143</v>
      </c>
      <c r="D336" t="inlineStr">
        <is>
          <t>VÄRMLANDS LÄN</t>
        </is>
      </c>
      <c r="E336" t="inlineStr">
        <is>
          <t>ARVIKA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5360-2025</t>
        </is>
      </c>
      <c r="B337" s="1" t="n">
        <v>45692</v>
      </c>
      <c r="C337" s="1" t="n">
        <v>46143</v>
      </c>
      <c r="D337" t="inlineStr">
        <is>
          <t>VÄRMLANDS LÄN</t>
        </is>
      </c>
      <c r="E337" t="inlineStr">
        <is>
          <t>ARVIKA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34972-2025</t>
        </is>
      </c>
      <c r="B338" s="1" t="n">
        <v>45849</v>
      </c>
      <c r="C338" s="1" t="n">
        <v>46143</v>
      </c>
      <c r="D338" t="inlineStr">
        <is>
          <t>VÄRMLANDS LÄN</t>
        </is>
      </c>
      <c r="E338" t="inlineStr">
        <is>
          <t>ARVIKA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719-2022</t>
        </is>
      </c>
      <c r="B339" s="1" t="n">
        <v>44568</v>
      </c>
      <c r="C339" s="1" t="n">
        <v>46143</v>
      </c>
      <c r="D339" t="inlineStr">
        <is>
          <t>VÄRMLANDS LÄN</t>
        </is>
      </c>
      <c r="E339" t="inlineStr">
        <is>
          <t>ARVIKA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2356-2025</t>
        </is>
      </c>
      <c r="B340" s="1" t="n">
        <v>45673</v>
      </c>
      <c r="C340" s="1" t="n">
        <v>46143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38935-2025</t>
        </is>
      </c>
      <c r="B341" s="1" t="n">
        <v>45887</v>
      </c>
      <c r="C341" s="1" t="n">
        <v>46143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55730-2024</t>
        </is>
      </c>
      <c r="B342" s="1" t="n">
        <v>45622</v>
      </c>
      <c r="C342" s="1" t="n">
        <v>46143</v>
      </c>
      <c r="D342" t="inlineStr">
        <is>
          <t>VÄRMLANDS LÄN</t>
        </is>
      </c>
      <c r="E342" t="inlineStr">
        <is>
          <t>ARVIKA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24098-2025</t>
        </is>
      </c>
      <c r="B343" s="1" t="n">
        <v>45796.58342592593</v>
      </c>
      <c r="C343" s="1" t="n">
        <v>46143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6868-2024</t>
        </is>
      </c>
      <c r="B344" s="1" t="n">
        <v>45342</v>
      </c>
      <c r="C344" s="1" t="n">
        <v>46143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12151-2024</t>
        </is>
      </c>
      <c r="B345" s="1" t="n">
        <v>45377</v>
      </c>
      <c r="C345" s="1" t="n">
        <v>46143</v>
      </c>
      <c r="D345" t="inlineStr">
        <is>
          <t>VÄRMLANDS LÄN</t>
        </is>
      </c>
      <c r="E345" t="inlineStr">
        <is>
          <t>ARVIKA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24121-2025</t>
        </is>
      </c>
      <c r="B346" s="1" t="n">
        <v>45796.61950231482</v>
      </c>
      <c r="C346" s="1" t="n">
        <v>46143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39025-2024</t>
        </is>
      </c>
      <c r="B347" s="1" t="n">
        <v>45548.45241898148</v>
      </c>
      <c r="C347" s="1" t="n">
        <v>46143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38107-2023</t>
        </is>
      </c>
      <c r="B348" s="1" t="n">
        <v>45161</v>
      </c>
      <c r="C348" s="1" t="n">
        <v>46143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38643-2025</t>
        </is>
      </c>
      <c r="B349" s="1" t="n">
        <v>45884.57711805555</v>
      </c>
      <c r="C349" s="1" t="n">
        <v>46143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62603-2022</t>
        </is>
      </c>
      <c r="B350" s="1" t="n">
        <v>44917</v>
      </c>
      <c r="C350" s="1" t="n">
        <v>46143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62614-2022</t>
        </is>
      </c>
      <c r="B351" s="1" t="n">
        <v>44917</v>
      </c>
      <c r="C351" s="1" t="n">
        <v>46143</v>
      </c>
      <c r="D351" t="inlineStr">
        <is>
          <t>VÄRMLANDS LÄN</t>
        </is>
      </c>
      <c r="E351" t="inlineStr">
        <is>
          <t>ARVIKA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62624-2022</t>
        </is>
      </c>
      <c r="B352" s="1" t="n">
        <v>44917</v>
      </c>
      <c r="C352" s="1" t="n">
        <v>46143</v>
      </c>
      <c r="D352" t="inlineStr">
        <is>
          <t>VÄRMLANDS LÄN</t>
        </is>
      </c>
      <c r="E352" t="inlineStr">
        <is>
          <t>ARVIKA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48607-2024</t>
        </is>
      </c>
      <c r="B353" s="1" t="n">
        <v>45593</v>
      </c>
      <c r="C353" s="1" t="n">
        <v>46143</v>
      </c>
      <c r="D353" t="inlineStr">
        <is>
          <t>VÄRMLANDS LÄN</t>
        </is>
      </c>
      <c r="E353" t="inlineStr">
        <is>
          <t>ARVIKA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21069-2022</t>
        </is>
      </c>
      <c r="B354" s="1" t="n">
        <v>44704.50037037037</v>
      </c>
      <c r="C354" s="1" t="n">
        <v>46143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20386-2025</t>
        </is>
      </c>
      <c r="B355" s="1" t="n">
        <v>45775</v>
      </c>
      <c r="C355" s="1" t="n">
        <v>46143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46924-2022</t>
        </is>
      </c>
      <c r="B356" s="1" t="n">
        <v>44851.6909375</v>
      </c>
      <c r="C356" s="1" t="n">
        <v>46143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58143-2022</t>
        </is>
      </c>
      <c r="B357" s="1" t="n">
        <v>44900</v>
      </c>
      <c r="C357" s="1" t="n">
        <v>46143</v>
      </c>
      <c r="D357" t="inlineStr">
        <is>
          <t>VÄRMLANDS LÄN</t>
        </is>
      </c>
      <c r="E357" t="inlineStr">
        <is>
          <t>ARVIKA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31576-2024</t>
        </is>
      </c>
      <c r="B358" s="1" t="n">
        <v>45506</v>
      </c>
      <c r="C358" s="1" t="n">
        <v>46143</v>
      </c>
      <c r="D358" t="inlineStr">
        <is>
          <t>VÄRMLANDS LÄN</t>
        </is>
      </c>
      <c r="E358" t="inlineStr">
        <is>
          <t>ARVIKA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24601-2025</t>
        </is>
      </c>
      <c r="B359" s="1" t="n">
        <v>45798.5654050926</v>
      </c>
      <c r="C359" s="1" t="n">
        <v>46143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420-2025</t>
        </is>
      </c>
      <c r="B360" s="1" t="n">
        <v>45663.89625</v>
      </c>
      <c r="C360" s="1" t="n">
        <v>46143</v>
      </c>
      <c r="D360" t="inlineStr">
        <is>
          <t>VÄRMLANDS LÄN</t>
        </is>
      </c>
      <c r="E360" t="inlineStr">
        <is>
          <t>ARVIKA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36418-2024</t>
        </is>
      </c>
      <c r="B361" s="1" t="n">
        <v>45536.55913194444</v>
      </c>
      <c r="C361" s="1" t="n">
        <v>46143</v>
      </c>
      <c r="D361" t="inlineStr">
        <is>
          <t>VÄRMLANDS LÄN</t>
        </is>
      </c>
      <c r="E361" t="inlineStr">
        <is>
          <t>ARVIKA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24702-2025</t>
        </is>
      </c>
      <c r="B362" s="1" t="n">
        <v>45798.77590277778</v>
      </c>
      <c r="C362" s="1" t="n">
        <v>46143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17011-2024</t>
        </is>
      </c>
      <c r="B363" s="1" t="n">
        <v>45412</v>
      </c>
      <c r="C363" s="1" t="n">
        <v>46143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17704-2023</t>
        </is>
      </c>
      <c r="B364" s="1" t="n">
        <v>45035</v>
      </c>
      <c r="C364" s="1" t="n">
        <v>46143</v>
      </c>
      <c r="D364" t="inlineStr">
        <is>
          <t>VÄRMLANDS LÄN</t>
        </is>
      </c>
      <c r="E364" t="inlineStr">
        <is>
          <t>ARVIKA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23906-2025</t>
        </is>
      </c>
      <c r="B365" s="1" t="n">
        <v>45794.73674768519</v>
      </c>
      <c r="C365" s="1" t="n">
        <v>46143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24982-2025</t>
        </is>
      </c>
      <c r="B366" s="1" t="n">
        <v>45799.59756944444</v>
      </c>
      <c r="C366" s="1" t="n">
        <v>46143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38531-2023</t>
        </is>
      </c>
      <c r="B367" s="1" t="n">
        <v>45162.57219907407</v>
      </c>
      <c r="C367" s="1" t="n">
        <v>46143</v>
      </c>
      <c r="D367" t="inlineStr">
        <is>
          <t>VÄRMLANDS LÄN</t>
        </is>
      </c>
      <c r="E367" t="inlineStr">
        <is>
          <t>ARVIKA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25450-2025</t>
        </is>
      </c>
      <c r="B368" s="1" t="n">
        <v>45801.76153935185</v>
      </c>
      <c r="C368" s="1" t="n">
        <v>46143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25487-2025</t>
        </is>
      </c>
      <c r="B369" s="1" t="n">
        <v>45803.27170138889</v>
      </c>
      <c r="C369" s="1" t="n">
        <v>46143</v>
      </c>
      <c r="D369" t="inlineStr">
        <is>
          <t>VÄRMLANDS LÄN</t>
        </is>
      </c>
      <c r="E369" t="inlineStr">
        <is>
          <t>ARVIKA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25079-2025</t>
        </is>
      </c>
      <c r="B370" s="1" t="n">
        <v>45799.89287037037</v>
      </c>
      <c r="C370" s="1" t="n">
        <v>46143</v>
      </c>
      <c r="D370" t="inlineStr">
        <is>
          <t>VÄRMLANDS LÄN</t>
        </is>
      </c>
      <c r="E370" t="inlineStr">
        <is>
          <t>ARVIKA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1630-2025</t>
        </is>
      </c>
      <c r="B371" s="1" t="n">
        <v>45670.62909722222</v>
      </c>
      <c r="C371" s="1" t="n">
        <v>46143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25136-2025</t>
        </is>
      </c>
      <c r="B372" s="1" t="n">
        <v>45800.39258101852</v>
      </c>
      <c r="C372" s="1" t="n">
        <v>46143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30457-2023</t>
        </is>
      </c>
      <c r="B373" s="1" t="n">
        <v>45111</v>
      </c>
      <c r="C373" s="1" t="n">
        <v>46143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27755-2023</t>
        </is>
      </c>
      <c r="B374" s="1" t="n">
        <v>45098.38828703704</v>
      </c>
      <c r="C374" s="1" t="n">
        <v>46143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39019-2025</t>
        </is>
      </c>
      <c r="B375" s="1" t="n">
        <v>45888</v>
      </c>
      <c r="C375" s="1" t="n">
        <v>46143</v>
      </c>
      <c r="D375" t="inlineStr">
        <is>
          <t>VÄRMLANDS LÄN</t>
        </is>
      </c>
      <c r="E375" t="inlineStr">
        <is>
          <t>ARVIKA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25489-2025</t>
        </is>
      </c>
      <c r="B376" s="1" t="n">
        <v>45803</v>
      </c>
      <c r="C376" s="1" t="n">
        <v>46143</v>
      </c>
      <c r="D376" t="inlineStr">
        <is>
          <t>VÄRMLANDS LÄN</t>
        </is>
      </c>
      <c r="E376" t="inlineStr">
        <is>
          <t>ARVIKA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39443-2025</t>
        </is>
      </c>
      <c r="B377" s="1" t="n">
        <v>45889</v>
      </c>
      <c r="C377" s="1" t="n">
        <v>46143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18349-2024</t>
        </is>
      </c>
      <c r="B378" s="1" t="n">
        <v>45422</v>
      </c>
      <c r="C378" s="1" t="n">
        <v>46143</v>
      </c>
      <c r="D378" t="inlineStr">
        <is>
          <t>VÄRMLANDS LÄN</t>
        </is>
      </c>
      <c r="E378" t="inlineStr">
        <is>
          <t>ARVIKA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50393-2023</t>
        </is>
      </c>
      <c r="B379" s="1" t="n">
        <v>45216</v>
      </c>
      <c r="C379" s="1" t="n">
        <v>46143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50396-2023</t>
        </is>
      </c>
      <c r="B380" s="1" t="n">
        <v>45216</v>
      </c>
      <c r="C380" s="1" t="n">
        <v>46143</v>
      </c>
      <c r="D380" t="inlineStr">
        <is>
          <t>VÄRMLANDS LÄN</t>
        </is>
      </c>
      <c r="E380" t="inlineStr">
        <is>
          <t>ARVIKA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25077-2025</t>
        </is>
      </c>
      <c r="B381" s="1" t="n">
        <v>45799.87241898148</v>
      </c>
      <c r="C381" s="1" t="n">
        <v>46143</v>
      </c>
      <c r="D381" t="inlineStr">
        <is>
          <t>VÄRMLANDS LÄN</t>
        </is>
      </c>
      <c r="E381" t="inlineStr">
        <is>
          <t>ARVIKA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59399-2024</t>
        </is>
      </c>
      <c r="B382" s="1" t="n">
        <v>45638.37673611111</v>
      </c>
      <c r="C382" s="1" t="n">
        <v>46143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36959-2022</t>
        </is>
      </c>
      <c r="B383" s="1" t="n">
        <v>44806</v>
      </c>
      <c r="C383" s="1" t="n">
        <v>46143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56713-2022</t>
        </is>
      </c>
      <c r="B384" s="1" t="n">
        <v>44893.85011574074</v>
      </c>
      <c r="C384" s="1" t="n">
        <v>46143</v>
      </c>
      <c r="D384" t="inlineStr">
        <is>
          <t>VÄRMLANDS LÄN</t>
        </is>
      </c>
      <c r="E384" t="inlineStr">
        <is>
          <t>ARVIKA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15640-2025</t>
        </is>
      </c>
      <c r="B385" s="1" t="n">
        <v>45748</v>
      </c>
      <c r="C385" s="1" t="n">
        <v>46143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39392-2025</t>
        </is>
      </c>
      <c r="B386" s="1" t="n">
        <v>45889.62774305556</v>
      </c>
      <c r="C386" s="1" t="n">
        <v>46143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65950-2021</t>
        </is>
      </c>
      <c r="B387" s="1" t="n">
        <v>44517</v>
      </c>
      <c r="C387" s="1" t="n">
        <v>46143</v>
      </c>
      <c r="D387" t="inlineStr">
        <is>
          <t>VÄRMLANDS LÄN</t>
        </is>
      </c>
      <c r="E387" t="inlineStr">
        <is>
          <t>ARVIKA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39175-2025</t>
        </is>
      </c>
      <c r="B388" s="1" t="n">
        <v>45888.65628472222</v>
      </c>
      <c r="C388" s="1" t="n">
        <v>46143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25085-2025</t>
        </is>
      </c>
      <c r="B389" s="1" t="n">
        <v>45800.28986111111</v>
      </c>
      <c r="C389" s="1" t="n">
        <v>46143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25078-2025</t>
        </is>
      </c>
      <c r="B390" s="1" t="n">
        <v>45799.88644675926</v>
      </c>
      <c r="C390" s="1" t="n">
        <v>46143</v>
      </c>
      <c r="D390" t="inlineStr">
        <is>
          <t>VÄRMLANDS LÄN</t>
        </is>
      </c>
      <c r="E390" t="inlineStr">
        <is>
          <t>ARVIKA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31532-2023</t>
        </is>
      </c>
      <c r="B391" s="1" t="n">
        <v>45116.81061342593</v>
      </c>
      <c r="C391" s="1" t="n">
        <v>46143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40422-2024</t>
        </is>
      </c>
      <c r="B392" s="1" t="n">
        <v>45555</v>
      </c>
      <c r="C392" s="1" t="n">
        <v>46143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22914-2023</t>
        </is>
      </c>
      <c r="B393" s="1" t="n">
        <v>45072</v>
      </c>
      <c r="C393" s="1" t="n">
        <v>46143</v>
      </c>
      <c r="D393" t="inlineStr">
        <is>
          <t>VÄRMLANDS LÄN</t>
        </is>
      </c>
      <c r="E393" t="inlineStr">
        <is>
          <t>ARVIKA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22934-2023</t>
        </is>
      </c>
      <c r="B394" s="1" t="n">
        <v>45072</v>
      </c>
      <c r="C394" s="1" t="n">
        <v>46143</v>
      </c>
      <c r="D394" t="inlineStr">
        <is>
          <t>VÄRMLANDS LÄN</t>
        </is>
      </c>
      <c r="E394" t="inlineStr">
        <is>
          <t>ARVIKA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39391-2025</t>
        </is>
      </c>
      <c r="B395" s="1" t="n">
        <v>45889.62641203704</v>
      </c>
      <c r="C395" s="1" t="n">
        <v>46143</v>
      </c>
      <c r="D395" t="inlineStr">
        <is>
          <t>VÄRMLANDS LÄN</t>
        </is>
      </c>
      <c r="E395" t="inlineStr">
        <is>
          <t>ARVIKA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39093-2025</t>
        </is>
      </c>
      <c r="B396" s="1" t="n">
        <v>45888</v>
      </c>
      <c r="C396" s="1" t="n">
        <v>46143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35292-2021</t>
        </is>
      </c>
      <c r="B397" s="1" t="n">
        <v>44383</v>
      </c>
      <c r="C397" s="1" t="n">
        <v>46143</v>
      </c>
      <c r="D397" t="inlineStr">
        <is>
          <t>VÄRMLANDS LÄN</t>
        </is>
      </c>
      <c r="E397" t="inlineStr">
        <is>
          <t>ARVIKA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35294-2021</t>
        </is>
      </c>
      <c r="B398" s="1" t="n">
        <v>44383</v>
      </c>
      <c r="C398" s="1" t="n">
        <v>46143</v>
      </c>
      <c r="D398" t="inlineStr">
        <is>
          <t>VÄRMLANDS LÄN</t>
        </is>
      </c>
      <c r="E398" t="inlineStr">
        <is>
          <t>ARVIKA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39065-2025</t>
        </is>
      </c>
      <c r="B399" s="1" t="n">
        <v>45888</v>
      </c>
      <c r="C399" s="1" t="n">
        <v>46143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38984-2025</t>
        </is>
      </c>
      <c r="B400" s="1" t="n">
        <v>45888</v>
      </c>
      <c r="C400" s="1" t="n">
        <v>46143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39637-2025</t>
        </is>
      </c>
      <c r="B401" s="1" t="n">
        <v>45890</v>
      </c>
      <c r="C401" s="1" t="n">
        <v>46143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39596-2025</t>
        </is>
      </c>
      <c r="B402" s="1" t="n">
        <v>45890.54078703704</v>
      </c>
      <c r="C402" s="1" t="n">
        <v>46143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50371-2023</t>
        </is>
      </c>
      <c r="B403" s="1" t="n">
        <v>45216</v>
      </c>
      <c r="C403" s="1" t="n">
        <v>46143</v>
      </c>
      <c r="D403" t="inlineStr">
        <is>
          <t>VÄRMLANDS LÄN</t>
        </is>
      </c>
      <c r="E403" t="inlineStr">
        <is>
          <t>ARVIKA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39598-2025</t>
        </is>
      </c>
      <c r="B404" s="1" t="n">
        <v>45890.54863425926</v>
      </c>
      <c r="C404" s="1" t="n">
        <v>46143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25893-2025</t>
        </is>
      </c>
      <c r="B405" s="1" t="n">
        <v>45804.54006944445</v>
      </c>
      <c r="C405" s="1" t="n">
        <v>46143</v>
      </c>
      <c r="D405" t="inlineStr">
        <is>
          <t>VÄRMLANDS LÄN</t>
        </is>
      </c>
      <c r="E405" t="inlineStr">
        <is>
          <t>ARVIKA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25788-2025</t>
        </is>
      </c>
      <c r="B406" s="1" t="n">
        <v>45804</v>
      </c>
      <c r="C406" s="1" t="n">
        <v>46143</v>
      </c>
      <c r="D406" t="inlineStr">
        <is>
          <t>VÄRMLANDS LÄN</t>
        </is>
      </c>
      <c r="E406" t="inlineStr">
        <is>
          <t>ARVIKA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39640-2025</t>
        </is>
      </c>
      <c r="B407" s="1" t="n">
        <v>45890.60430555556</v>
      </c>
      <c r="C407" s="1" t="n">
        <v>46143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39606-2025</t>
        </is>
      </c>
      <c r="B408" s="1" t="n">
        <v>45890.55534722222</v>
      </c>
      <c r="C408" s="1" t="n">
        <v>46143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12162-2025</t>
        </is>
      </c>
      <c r="B409" s="1" t="n">
        <v>45729.42915509259</v>
      </c>
      <c r="C409" s="1" t="n">
        <v>46143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39583-2025</t>
        </is>
      </c>
      <c r="B410" s="1" t="n">
        <v>45890</v>
      </c>
      <c r="C410" s="1" t="n">
        <v>46143</v>
      </c>
      <c r="D410" t="inlineStr">
        <is>
          <t>VÄRMLANDS LÄN</t>
        </is>
      </c>
      <c r="E410" t="inlineStr">
        <is>
          <t>ARVIKA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39641-2025</t>
        </is>
      </c>
      <c r="B411" s="1" t="n">
        <v>45890.60829861111</v>
      </c>
      <c r="C411" s="1" t="n">
        <v>46143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39687-2025</t>
        </is>
      </c>
      <c r="B412" s="1" t="n">
        <v>45890.66885416667</v>
      </c>
      <c r="C412" s="1" t="n">
        <v>46143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25862-2025</t>
        </is>
      </c>
      <c r="B413" s="1" t="n">
        <v>45804</v>
      </c>
      <c r="C413" s="1" t="n">
        <v>46143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47046-2024</t>
        </is>
      </c>
      <c r="B414" s="1" t="n">
        <v>45586</v>
      </c>
      <c r="C414" s="1" t="n">
        <v>46143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42986-2022</t>
        </is>
      </c>
      <c r="B415" s="1" t="n">
        <v>44833.47828703704</v>
      </c>
      <c r="C415" s="1" t="n">
        <v>46143</v>
      </c>
      <c r="D415" t="inlineStr">
        <is>
          <t>VÄRMLANDS LÄN</t>
        </is>
      </c>
      <c r="E415" t="inlineStr">
        <is>
          <t>ARVIKA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39636-2025</t>
        </is>
      </c>
      <c r="B416" s="1" t="n">
        <v>45890.5974074074</v>
      </c>
      <c r="C416" s="1" t="n">
        <v>46143</v>
      </c>
      <c r="D416" t="inlineStr">
        <is>
          <t>VÄRMLANDS LÄN</t>
        </is>
      </c>
      <c r="E416" t="inlineStr">
        <is>
          <t>ARVIKA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39930-2025</t>
        </is>
      </c>
      <c r="B417" s="1" t="n">
        <v>45891.70458333333</v>
      </c>
      <c r="C417" s="1" t="n">
        <v>46143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39612-2025</t>
        </is>
      </c>
      <c r="B418" s="1" t="n">
        <v>45890.56244212963</v>
      </c>
      <c r="C418" s="1" t="n">
        <v>46143</v>
      </c>
      <c r="D418" t="inlineStr">
        <is>
          <t>VÄRMLANDS LÄN</t>
        </is>
      </c>
      <c r="E418" t="inlineStr">
        <is>
          <t>ARVIKA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39646-2025</t>
        </is>
      </c>
      <c r="B419" s="1" t="n">
        <v>45890.61451388889</v>
      </c>
      <c r="C419" s="1" t="n">
        <v>46143</v>
      </c>
      <c r="D419" t="inlineStr">
        <is>
          <t>VÄRMLANDS LÄN</t>
        </is>
      </c>
      <c r="E419" t="inlineStr">
        <is>
          <t>ARVIKA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40445-2025</t>
        </is>
      </c>
      <c r="B420" s="1" t="n">
        <v>45895.63373842592</v>
      </c>
      <c r="C420" s="1" t="n">
        <v>46143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310-2025</t>
        </is>
      </c>
      <c r="B421" s="1" t="n">
        <v>45660</v>
      </c>
      <c r="C421" s="1" t="n">
        <v>46143</v>
      </c>
      <c r="D421" t="inlineStr">
        <is>
          <t>VÄRMLANDS LÄN</t>
        </is>
      </c>
      <c r="E421" t="inlineStr">
        <is>
          <t>ARVIKA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40413-2025</t>
        </is>
      </c>
      <c r="B422" s="1" t="n">
        <v>45895</v>
      </c>
      <c r="C422" s="1" t="n">
        <v>46143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13761-2025</t>
        </is>
      </c>
      <c r="B423" s="1" t="n">
        <v>45737</v>
      </c>
      <c r="C423" s="1" t="n">
        <v>46143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45520-2023</t>
        </is>
      </c>
      <c r="B424" s="1" t="n">
        <v>45194</v>
      </c>
      <c r="C424" s="1" t="n">
        <v>46143</v>
      </c>
      <c r="D424" t="inlineStr">
        <is>
          <t>VÄRMLANDS LÄN</t>
        </is>
      </c>
      <c r="E424" t="inlineStr">
        <is>
          <t>ARVIKA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39980-2022</t>
        </is>
      </c>
      <c r="B425" s="1" t="n">
        <v>44820</v>
      </c>
      <c r="C425" s="1" t="n">
        <v>46143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44443-2021</t>
        </is>
      </c>
      <c r="B426" s="1" t="n">
        <v>44435</v>
      </c>
      <c r="C426" s="1" t="n">
        <v>46143</v>
      </c>
      <c r="D426" t="inlineStr">
        <is>
          <t>VÄRMLANDS LÄN</t>
        </is>
      </c>
      <c r="E426" t="inlineStr">
        <is>
          <t>ARVIKA</t>
        </is>
      </c>
      <c r="G426" t="n">
        <v>16.7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40188-2025</t>
        </is>
      </c>
      <c r="B427" s="1" t="n">
        <v>45894</v>
      </c>
      <c r="C427" s="1" t="n">
        <v>46143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37109-2024</t>
        </is>
      </c>
      <c r="B428" s="1" t="n">
        <v>45539</v>
      </c>
      <c r="C428" s="1" t="n">
        <v>46143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14774-2024</t>
        </is>
      </c>
      <c r="B429" s="1" t="n">
        <v>45397.73640046296</v>
      </c>
      <c r="C429" s="1" t="n">
        <v>46143</v>
      </c>
      <c r="D429" t="inlineStr">
        <is>
          <t>VÄRMLANDS LÄN</t>
        </is>
      </c>
      <c r="E429" t="inlineStr">
        <is>
          <t>ARVIKA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54211-2021</t>
        </is>
      </c>
      <c r="B430" s="1" t="n">
        <v>44470.61107638889</v>
      </c>
      <c r="C430" s="1" t="n">
        <v>46143</v>
      </c>
      <c r="D430" t="inlineStr">
        <is>
          <t>VÄRMLANDS LÄN</t>
        </is>
      </c>
      <c r="E430" t="inlineStr">
        <is>
          <t>ARVIKA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26878-2025</t>
        </is>
      </c>
      <c r="B431" s="1" t="n">
        <v>45809</v>
      </c>
      <c r="C431" s="1" t="n">
        <v>46143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26879-2025</t>
        </is>
      </c>
      <c r="B432" s="1" t="n">
        <v>45809</v>
      </c>
      <c r="C432" s="1" t="n">
        <v>46143</v>
      </c>
      <c r="D432" t="inlineStr">
        <is>
          <t>VÄRMLANDS LÄN</t>
        </is>
      </c>
      <c r="E432" t="inlineStr">
        <is>
          <t>ARVIKA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22496-2023</t>
        </is>
      </c>
      <c r="B433" s="1" t="n">
        <v>45071</v>
      </c>
      <c r="C433" s="1" t="n">
        <v>46143</v>
      </c>
      <c r="D433" t="inlineStr">
        <is>
          <t>VÄRMLANDS LÄN</t>
        </is>
      </c>
      <c r="E433" t="inlineStr">
        <is>
          <t>ARVIKA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40422-2025</t>
        </is>
      </c>
      <c r="B434" s="1" t="n">
        <v>45895</v>
      </c>
      <c r="C434" s="1" t="n">
        <v>46143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40030-2025</t>
        </is>
      </c>
      <c r="B435" s="1" t="n">
        <v>45894</v>
      </c>
      <c r="C435" s="1" t="n">
        <v>46143</v>
      </c>
      <c r="D435" t="inlineStr">
        <is>
          <t>VÄRMLANDS LÄN</t>
        </is>
      </c>
      <c r="E435" t="inlineStr">
        <is>
          <t>ARVIKA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32601-2023</t>
        </is>
      </c>
      <c r="B436" s="1" t="n">
        <v>45121.525625</v>
      </c>
      <c r="C436" s="1" t="n">
        <v>46143</v>
      </c>
      <c r="D436" t="inlineStr">
        <is>
          <t>VÄRMLANDS LÄN</t>
        </is>
      </c>
      <c r="E436" t="inlineStr">
        <is>
          <t>ARVIKA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26685-2025</t>
        </is>
      </c>
      <c r="B437" s="1" t="n">
        <v>45810</v>
      </c>
      <c r="C437" s="1" t="n">
        <v>46143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26695-2025</t>
        </is>
      </c>
      <c r="B438" s="1" t="n">
        <v>45810</v>
      </c>
      <c r="C438" s="1" t="n">
        <v>46143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40533-2025</t>
        </is>
      </c>
      <c r="B439" s="1" t="n">
        <v>45896.39315972223</v>
      </c>
      <c r="C439" s="1" t="n">
        <v>46143</v>
      </c>
      <c r="D439" t="inlineStr">
        <is>
          <t>VÄRMLANDS LÄN</t>
        </is>
      </c>
      <c r="E439" t="inlineStr">
        <is>
          <t>ARVIKA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15973-2024</t>
        </is>
      </c>
      <c r="B440" s="1" t="n">
        <v>45405</v>
      </c>
      <c r="C440" s="1" t="n">
        <v>46143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11155-2024</t>
        </is>
      </c>
      <c r="B441" s="1" t="n">
        <v>45371.47960648148</v>
      </c>
      <c r="C441" s="1" t="n">
        <v>46143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40907-2025</t>
        </is>
      </c>
      <c r="B442" s="1" t="n">
        <v>45897</v>
      </c>
      <c r="C442" s="1" t="n">
        <v>46143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40694-2025</t>
        </is>
      </c>
      <c r="B443" s="1" t="n">
        <v>45897</v>
      </c>
      <c r="C443" s="1" t="n">
        <v>46143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27344-2025</t>
        </is>
      </c>
      <c r="B444" s="1" t="n">
        <v>45812</v>
      </c>
      <c r="C444" s="1" t="n">
        <v>46143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20066-2025</t>
        </is>
      </c>
      <c r="B445" s="1" t="n">
        <v>45772</v>
      </c>
      <c r="C445" s="1" t="n">
        <v>46143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47538-2024</t>
        </is>
      </c>
      <c r="B446" s="1" t="n">
        <v>45587</v>
      </c>
      <c r="C446" s="1" t="n">
        <v>46143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27472-2025</t>
        </is>
      </c>
      <c r="B447" s="1" t="n">
        <v>45813</v>
      </c>
      <c r="C447" s="1" t="n">
        <v>46143</v>
      </c>
      <c r="D447" t="inlineStr">
        <is>
          <t>VÄRMLANDS LÄN</t>
        </is>
      </c>
      <c r="E447" t="inlineStr">
        <is>
          <t>ARVIKA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891-2026</t>
        </is>
      </c>
      <c r="B448" s="1" t="n">
        <v>46030.45217592592</v>
      </c>
      <c r="C448" s="1" t="n">
        <v>46143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916-2026</t>
        </is>
      </c>
      <c r="B449" s="1" t="n">
        <v>46030.48269675926</v>
      </c>
      <c r="C449" s="1" t="n">
        <v>46143</v>
      </c>
      <c r="D449" t="inlineStr">
        <is>
          <t>VÄRMLANDS LÄN</t>
        </is>
      </c>
      <c r="E449" t="inlineStr">
        <is>
          <t>ARVIKA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919-2026</t>
        </is>
      </c>
      <c r="B450" s="1" t="n">
        <v>46030.48505787037</v>
      </c>
      <c r="C450" s="1" t="n">
        <v>46143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8154-2025</t>
        </is>
      </c>
      <c r="B451" s="1" t="n">
        <v>45708.33135416666</v>
      </c>
      <c r="C451" s="1" t="n">
        <v>46143</v>
      </c>
      <c r="D451" t="inlineStr">
        <is>
          <t>VÄRMLANDS LÄN</t>
        </is>
      </c>
      <c r="E451" t="inlineStr">
        <is>
          <t>ARVIKA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24986-2024</t>
        </is>
      </c>
      <c r="B452" s="1" t="n">
        <v>45461</v>
      </c>
      <c r="C452" s="1" t="n">
        <v>46143</v>
      </c>
      <c r="D452" t="inlineStr">
        <is>
          <t>VÄRMLANDS LÄN</t>
        </is>
      </c>
      <c r="E452" t="inlineStr">
        <is>
          <t>ARVIKA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41434-2025</t>
        </is>
      </c>
      <c r="B453" s="1" t="n">
        <v>45901</v>
      </c>
      <c r="C453" s="1" t="n">
        <v>46143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41486-2025</t>
        </is>
      </c>
      <c r="B454" s="1" t="n">
        <v>45901</v>
      </c>
      <c r="C454" s="1" t="n">
        <v>46143</v>
      </c>
      <c r="D454" t="inlineStr">
        <is>
          <t>VÄRMLANDS LÄN</t>
        </is>
      </c>
      <c r="E454" t="inlineStr">
        <is>
          <t>ARVIKA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925-2026</t>
        </is>
      </c>
      <c r="B455" s="1" t="n">
        <v>46030.49390046296</v>
      </c>
      <c r="C455" s="1" t="n">
        <v>46143</v>
      </c>
      <c r="D455" t="inlineStr">
        <is>
          <t>VÄRMLANDS LÄN</t>
        </is>
      </c>
      <c r="E455" t="inlineStr">
        <is>
          <t>ARVIKA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41307-2025</t>
        </is>
      </c>
      <c r="B456" s="1" t="n">
        <v>45898.73355324074</v>
      </c>
      <c r="C456" s="1" t="n">
        <v>46143</v>
      </c>
      <c r="D456" t="inlineStr">
        <is>
          <t>VÄRMLANDS LÄN</t>
        </is>
      </c>
      <c r="E456" t="inlineStr">
        <is>
          <t>ARVIKA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27707-2025</t>
        </is>
      </c>
      <c r="B457" s="1" t="n">
        <v>45813.69709490741</v>
      </c>
      <c r="C457" s="1" t="n">
        <v>46143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960-2026</t>
        </is>
      </c>
      <c r="B458" s="1" t="n">
        <v>46030.55421296296</v>
      </c>
      <c r="C458" s="1" t="n">
        <v>46143</v>
      </c>
      <c r="D458" t="inlineStr">
        <is>
          <t>VÄRMLANDS LÄN</t>
        </is>
      </c>
      <c r="E458" t="inlineStr">
        <is>
          <t>ARVIKA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57012-2023</t>
        </is>
      </c>
      <c r="B459" s="1" t="n">
        <v>45244.69415509259</v>
      </c>
      <c r="C459" s="1" t="n">
        <v>46143</v>
      </c>
      <c r="D459" t="inlineStr">
        <is>
          <t>VÄRMLANDS LÄN</t>
        </is>
      </c>
      <c r="E459" t="inlineStr">
        <is>
          <t>ARVIKA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31925-2025</t>
        </is>
      </c>
      <c r="B460" s="1" t="n">
        <v>45834.86482638889</v>
      </c>
      <c r="C460" s="1" t="n">
        <v>46143</v>
      </c>
      <c r="D460" t="inlineStr">
        <is>
          <t>VÄRMLANDS LÄN</t>
        </is>
      </c>
      <c r="E460" t="inlineStr">
        <is>
          <t>ARVIKA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34933-2024</t>
        </is>
      </c>
      <c r="B461" s="1" t="n">
        <v>45527.45614583333</v>
      </c>
      <c r="C461" s="1" t="n">
        <v>46143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62596-2022</t>
        </is>
      </c>
      <c r="B462" s="1" t="n">
        <v>44917</v>
      </c>
      <c r="C462" s="1" t="n">
        <v>46143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62601-2022</t>
        </is>
      </c>
      <c r="B463" s="1" t="n">
        <v>44917</v>
      </c>
      <c r="C463" s="1" t="n">
        <v>46143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62607-2022</t>
        </is>
      </c>
      <c r="B464" s="1" t="n">
        <v>44917</v>
      </c>
      <c r="C464" s="1" t="n">
        <v>46143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62609-2022</t>
        </is>
      </c>
      <c r="B465" s="1" t="n">
        <v>44917</v>
      </c>
      <c r="C465" s="1" t="n">
        <v>46143</v>
      </c>
      <c r="D465" t="inlineStr">
        <is>
          <t>VÄRMLANDS LÄN</t>
        </is>
      </c>
      <c r="E465" t="inlineStr">
        <is>
          <t>ARVIKA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62612-2022</t>
        </is>
      </c>
      <c r="B466" s="1" t="n">
        <v>44917</v>
      </c>
      <c r="C466" s="1" t="n">
        <v>46143</v>
      </c>
      <c r="D466" t="inlineStr">
        <is>
          <t>VÄRMLANDS LÄN</t>
        </is>
      </c>
      <c r="E466" t="inlineStr">
        <is>
          <t>ARVIKA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27708-2025</t>
        </is>
      </c>
      <c r="B467" s="1" t="n">
        <v>45813</v>
      </c>
      <c r="C467" s="1" t="n">
        <v>46143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27245-2025</t>
        </is>
      </c>
      <c r="B468" s="1" t="n">
        <v>45812</v>
      </c>
      <c r="C468" s="1" t="n">
        <v>46143</v>
      </c>
      <c r="D468" t="inlineStr">
        <is>
          <t>VÄRMLANDS LÄN</t>
        </is>
      </c>
      <c r="E468" t="inlineStr">
        <is>
          <t>ARVIKA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937-2026</t>
        </is>
      </c>
      <c r="B469" s="1" t="n">
        <v>46030.52608796296</v>
      </c>
      <c r="C469" s="1" t="n">
        <v>46143</v>
      </c>
      <c r="D469" t="inlineStr">
        <is>
          <t>VÄRMLANDS LÄN</t>
        </is>
      </c>
      <c r="E469" t="inlineStr">
        <is>
          <t>ARVIKA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936-2026</t>
        </is>
      </c>
      <c r="B470" s="1" t="n">
        <v>46030.52287037037</v>
      </c>
      <c r="C470" s="1" t="n">
        <v>46143</v>
      </c>
      <c r="D470" t="inlineStr">
        <is>
          <t>VÄRMLANDS LÄN</t>
        </is>
      </c>
      <c r="E470" t="inlineStr">
        <is>
          <t>ARVIKA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41440-2025</t>
        </is>
      </c>
      <c r="B471" s="1" t="n">
        <v>45901</v>
      </c>
      <c r="C471" s="1" t="n">
        <v>46143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35806-2025</t>
        </is>
      </c>
      <c r="B472" s="1" t="n">
        <v>45861</v>
      </c>
      <c r="C472" s="1" t="n">
        <v>46143</v>
      </c>
      <c r="D472" t="inlineStr">
        <is>
          <t>VÄRMLANDS LÄN</t>
        </is>
      </c>
      <c r="E472" t="inlineStr">
        <is>
          <t>ARVIKA</t>
        </is>
      </c>
      <c r="F472" t="inlineStr">
        <is>
          <t>Övriga Aktiebolag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27328-2025</t>
        </is>
      </c>
      <c r="B473" s="1" t="n">
        <v>45812</v>
      </c>
      <c r="C473" s="1" t="n">
        <v>46143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1970-2026</t>
        </is>
      </c>
      <c r="B474" s="1" t="n">
        <v>46031</v>
      </c>
      <c r="C474" s="1" t="n">
        <v>46143</v>
      </c>
      <c r="D474" t="inlineStr">
        <is>
          <t>VÄRMLANDS LÄN</t>
        </is>
      </c>
      <c r="E474" t="inlineStr">
        <is>
          <t>ARVIKA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41306-2025</t>
        </is>
      </c>
      <c r="B475" s="1" t="n">
        <v>45898</v>
      </c>
      <c r="C475" s="1" t="n">
        <v>46143</v>
      </c>
      <c r="D475" t="inlineStr">
        <is>
          <t>VÄRMLANDS LÄN</t>
        </is>
      </c>
      <c r="E475" t="inlineStr">
        <is>
          <t>ARVIKA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1972-2026</t>
        </is>
      </c>
      <c r="B476" s="1" t="n">
        <v>46035.64243055556</v>
      </c>
      <c r="C476" s="1" t="n">
        <v>46143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38009-2024</t>
        </is>
      </c>
      <c r="B477" s="1" t="n">
        <v>45544.62174768518</v>
      </c>
      <c r="C477" s="1" t="n">
        <v>46143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34980-2025</t>
        </is>
      </c>
      <c r="B478" s="1" t="n">
        <v>45849</v>
      </c>
      <c r="C478" s="1" t="n">
        <v>46143</v>
      </c>
      <c r="D478" t="inlineStr">
        <is>
          <t>VÄRMLANDS LÄN</t>
        </is>
      </c>
      <c r="E478" t="inlineStr">
        <is>
          <t>ARVIKA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41481-2025</t>
        </is>
      </c>
      <c r="B479" s="1" t="n">
        <v>45901</v>
      </c>
      <c r="C479" s="1" t="n">
        <v>46143</v>
      </c>
      <c r="D479" t="inlineStr">
        <is>
          <t>VÄRMLANDS LÄN</t>
        </is>
      </c>
      <c r="E479" t="inlineStr">
        <is>
          <t>ARVIKA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31899-2025</t>
        </is>
      </c>
      <c r="B480" s="1" t="n">
        <v>45834.68079861111</v>
      </c>
      <c r="C480" s="1" t="n">
        <v>46143</v>
      </c>
      <c r="D480" t="inlineStr">
        <is>
          <t>VÄRMLANDS LÄN</t>
        </is>
      </c>
      <c r="E480" t="inlineStr">
        <is>
          <t>ARVIKA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5311-2024</t>
        </is>
      </c>
      <c r="B481" s="1" t="n">
        <v>45331</v>
      </c>
      <c r="C481" s="1" t="n">
        <v>46143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27160-2025</t>
        </is>
      </c>
      <c r="B482" s="1" t="n">
        <v>45812</v>
      </c>
      <c r="C482" s="1" t="n">
        <v>46143</v>
      </c>
      <c r="D482" t="inlineStr">
        <is>
          <t>VÄRMLANDS LÄN</t>
        </is>
      </c>
      <c r="E482" t="inlineStr">
        <is>
          <t>ARVIKA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22926-2023</t>
        </is>
      </c>
      <c r="B483" s="1" t="n">
        <v>45072</v>
      </c>
      <c r="C483" s="1" t="n">
        <v>46143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11321-2025</t>
        </is>
      </c>
      <c r="B484" s="1" t="n">
        <v>45726.46517361111</v>
      </c>
      <c r="C484" s="1" t="n">
        <v>46143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8598-2025</t>
        </is>
      </c>
      <c r="B485" s="1" t="n">
        <v>45709.78695601852</v>
      </c>
      <c r="C485" s="1" t="n">
        <v>46143</v>
      </c>
      <c r="D485" t="inlineStr">
        <is>
          <t>VÄRMLANDS LÄN</t>
        </is>
      </c>
      <c r="E485" t="inlineStr">
        <is>
          <t>ARVIKA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11342-2025</t>
        </is>
      </c>
      <c r="B486" s="1" t="n">
        <v>45726</v>
      </c>
      <c r="C486" s="1" t="n">
        <v>46143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1422-2024</t>
        </is>
      </c>
      <c r="B487" s="1" t="n">
        <v>45303.62887731481</v>
      </c>
      <c r="C487" s="1" t="n">
        <v>46143</v>
      </c>
      <c r="D487" t="inlineStr">
        <is>
          <t>VÄRMLANDS LÄN</t>
        </is>
      </c>
      <c r="E487" t="inlineStr">
        <is>
          <t>ARVIKA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1365-2026</t>
        </is>
      </c>
      <c r="B488" s="1" t="n">
        <v>46031</v>
      </c>
      <c r="C488" s="1" t="n">
        <v>46143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4592-2025</t>
        </is>
      </c>
      <c r="B489" s="1" t="n">
        <v>45687.54270833333</v>
      </c>
      <c r="C489" s="1" t="n">
        <v>46143</v>
      </c>
      <c r="D489" t="inlineStr">
        <is>
          <t>VÄRMLANDS LÄN</t>
        </is>
      </c>
      <c r="E489" t="inlineStr">
        <is>
          <t>ARVIKA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1790-2026</t>
        </is>
      </c>
      <c r="B490" s="1" t="n">
        <v>46034.89986111111</v>
      </c>
      <c r="C490" s="1" t="n">
        <v>46143</v>
      </c>
      <c r="D490" t="inlineStr">
        <is>
          <t>VÄRMLANDS LÄN</t>
        </is>
      </c>
      <c r="E490" t="inlineStr">
        <is>
          <t>ARVIKA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31673-2025</t>
        </is>
      </c>
      <c r="B491" s="1" t="n">
        <v>45834</v>
      </c>
      <c r="C491" s="1" t="n">
        <v>46143</v>
      </c>
      <c r="D491" t="inlineStr">
        <is>
          <t>VÄRMLANDS LÄN</t>
        </is>
      </c>
      <c r="E491" t="inlineStr">
        <is>
          <t>ARVIKA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57348-2024</t>
        </is>
      </c>
      <c r="B492" s="1" t="n">
        <v>45629.64354166666</v>
      </c>
      <c r="C492" s="1" t="n">
        <v>46143</v>
      </c>
      <c r="D492" t="inlineStr">
        <is>
          <t>VÄRMLANDS LÄN</t>
        </is>
      </c>
      <c r="E492" t="inlineStr">
        <is>
          <t>ARVIKA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55852-2023</t>
        </is>
      </c>
      <c r="B493" s="1" t="n">
        <v>45239.65730324074</v>
      </c>
      <c r="C493" s="1" t="n">
        <v>46143</v>
      </c>
      <c r="D493" t="inlineStr">
        <is>
          <t>VÄRMLANDS LÄN</t>
        </is>
      </c>
      <c r="E493" t="inlineStr">
        <is>
          <t>ARVIKA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27914-2025</t>
        </is>
      </c>
      <c r="B494" s="1" t="n">
        <v>45817.48005787037</v>
      </c>
      <c r="C494" s="1" t="n">
        <v>46143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27931-2025</t>
        </is>
      </c>
      <c r="B495" s="1" t="n">
        <v>45817.4943287037</v>
      </c>
      <c r="C495" s="1" t="n">
        <v>46143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33031-2025</t>
        </is>
      </c>
      <c r="B496" s="1" t="n">
        <v>45840.38782407407</v>
      </c>
      <c r="C496" s="1" t="n">
        <v>46143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35799-2024</t>
        </is>
      </c>
      <c r="B497" s="1" t="n">
        <v>45532.64354166666</v>
      </c>
      <c r="C497" s="1" t="n">
        <v>46143</v>
      </c>
      <c r="D497" t="inlineStr">
        <is>
          <t>VÄRMLANDS LÄN</t>
        </is>
      </c>
      <c r="E497" t="inlineStr">
        <is>
          <t>ARVIKA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20735-2025</t>
        </is>
      </c>
      <c r="B498" s="1" t="n">
        <v>45776</v>
      </c>
      <c r="C498" s="1" t="n">
        <v>46143</v>
      </c>
      <c r="D498" t="inlineStr">
        <is>
          <t>VÄRMLANDS LÄN</t>
        </is>
      </c>
      <c r="E498" t="inlineStr">
        <is>
          <t>ARVIKA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27845-2025</t>
        </is>
      </c>
      <c r="B499" s="1" t="n">
        <v>45817</v>
      </c>
      <c r="C499" s="1" t="n">
        <v>46143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41439-2025</t>
        </is>
      </c>
      <c r="B500" s="1" t="n">
        <v>45901</v>
      </c>
      <c r="C500" s="1" t="n">
        <v>46143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27939-2025</t>
        </is>
      </c>
      <c r="B501" s="1" t="n">
        <v>45817.50368055556</v>
      </c>
      <c r="C501" s="1" t="n">
        <v>46143</v>
      </c>
      <c r="D501" t="inlineStr">
        <is>
          <t>VÄRMLANDS LÄN</t>
        </is>
      </c>
      <c r="E501" t="inlineStr">
        <is>
          <t>ARVIKA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55856-2023</t>
        </is>
      </c>
      <c r="B502" s="1" t="n">
        <v>45239.66585648148</v>
      </c>
      <c r="C502" s="1" t="n">
        <v>46143</v>
      </c>
      <c r="D502" t="inlineStr">
        <is>
          <t>VÄRMLANDS LÄN</t>
        </is>
      </c>
      <c r="E502" t="inlineStr">
        <is>
          <t>ARVIKA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27961-2025</t>
        </is>
      </c>
      <c r="B503" s="1" t="n">
        <v>45817.54268518519</v>
      </c>
      <c r="C503" s="1" t="n">
        <v>46143</v>
      </c>
      <c r="D503" t="inlineStr">
        <is>
          <t>VÄRMLANDS LÄN</t>
        </is>
      </c>
      <c r="E503" t="inlineStr">
        <is>
          <t>ARVIKA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27967-2025</t>
        </is>
      </c>
      <c r="B504" s="1" t="n">
        <v>45817</v>
      </c>
      <c r="C504" s="1" t="n">
        <v>46143</v>
      </c>
      <c r="D504" t="inlineStr">
        <is>
          <t>VÄRMLANDS LÄN</t>
        </is>
      </c>
      <c r="E504" t="inlineStr">
        <is>
          <t>ARVIKA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35613-2023</t>
        </is>
      </c>
      <c r="B505" s="1" t="n">
        <v>45146</v>
      </c>
      <c r="C505" s="1" t="n">
        <v>46143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35628-2023</t>
        </is>
      </c>
      <c r="B506" s="1" t="n">
        <v>45146</v>
      </c>
      <c r="C506" s="1" t="n">
        <v>46143</v>
      </c>
      <c r="D506" t="inlineStr">
        <is>
          <t>VÄRMLANDS LÄN</t>
        </is>
      </c>
      <c r="E506" t="inlineStr">
        <is>
          <t>ARVIKA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28109-2025</t>
        </is>
      </c>
      <c r="B507" s="1" t="n">
        <v>45817</v>
      </c>
      <c r="C507" s="1" t="n">
        <v>46143</v>
      </c>
      <c r="D507" t="inlineStr">
        <is>
          <t>VÄRMLANDS LÄN</t>
        </is>
      </c>
      <c r="E507" t="inlineStr">
        <is>
          <t>ARVIKA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41713-2025</t>
        </is>
      </c>
      <c r="B508" s="1" t="n">
        <v>45902.43181712963</v>
      </c>
      <c r="C508" s="1" t="n">
        <v>46143</v>
      </c>
      <c r="D508" t="inlineStr">
        <is>
          <t>VÄRMLANDS LÄN</t>
        </is>
      </c>
      <c r="E508" t="inlineStr">
        <is>
          <t>ARVIKA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27709-2025</t>
        </is>
      </c>
      <c r="B509" s="1" t="n">
        <v>45813.7941087963</v>
      </c>
      <c r="C509" s="1" t="n">
        <v>46143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10256-2025</t>
        </is>
      </c>
      <c r="B510" s="1" t="n">
        <v>45720.37347222222</v>
      </c>
      <c r="C510" s="1" t="n">
        <v>46143</v>
      </c>
      <c r="D510" t="inlineStr">
        <is>
          <t>VÄRMLANDS LÄN</t>
        </is>
      </c>
      <c r="E510" t="inlineStr">
        <is>
          <t>ARVIKA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10411-2025</t>
        </is>
      </c>
      <c r="B511" s="1" t="n">
        <v>45720.63225694445</v>
      </c>
      <c r="C511" s="1" t="n">
        <v>46143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41915-2025</t>
        </is>
      </c>
      <c r="B512" s="1" t="n">
        <v>45903.41730324074</v>
      </c>
      <c r="C512" s="1" t="n">
        <v>46143</v>
      </c>
      <c r="D512" t="inlineStr">
        <is>
          <t>VÄRMLANDS LÄN</t>
        </is>
      </c>
      <c r="E512" t="inlineStr">
        <is>
          <t>ARVIKA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28574-2025</t>
        </is>
      </c>
      <c r="B513" s="1" t="n">
        <v>45819</v>
      </c>
      <c r="C513" s="1" t="n">
        <v>46143</v>
      </c>
      <c r="D513" t="inlineStr">
        <is>
          <t>VÄRMLANDS LÄN</t>
        </is>
      </c>
      <c r="E513" t="inlineStr">
        <is>
          <t>ARVIKA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24535-2024</t>
        </is>
      </c>
      <c r="B514" s="1" t="n">
        <v>45460.38814814815</v>
      </c>
      <c r="C514" s="1" t="n">
        <v>46143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41652-2025</t>
        </is>
      </c>
      <c r="B515" s="1" t="n">
        <v>45902</v>
      </c>
      <c r="C515" s="1" t="n">
        <v>46143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1750-2026</t>
        </is>
      </c>
      <c r="B516" s="1" t="n">
        <v>46034.65688657408</v>
      </c>
      <c r="C516" s="1" t="n">
        <v>46143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41679-2025</t>
        </is>
      </c>
      <c r="B517" s="1" t="n">
        <v>45902</v>
      </c>
      <c r="C517" s="1" t="n">
        <v>46143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41651-2025</t>
        </is>
      </c>
      <c r="B518" s="1" t="n">
        <v>45902</v>
      </c>
      <c r="C518" s="1" t="n">
        <v>46143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969-2023</t>
        </is>
      </c>
      <c r="B519" s="1" t="n">
        <v>44935.31355324074</v>
      </c>
      <c r="C519" s="1" t="n">
        <v>46143</v>
      </c>
      <c r="D519" t="inlineStr">
        <is>
          <t>VÄRMLANDS LÄN</t>
        </is>
      </c>
      <c r="E519" t="inlineStr">
        <is>
          <t>ARVIKA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41712-2025</t>
        </is>
      </c>
      <c r="B520" s="1" t="n">
        <v>45902.43150462963</v>
      </c>
      <c r="C520" s="1" t="n">
        <v>46143</v>
      </c>
      <c r="D520" t="inlineStr">
        <is>
          <t>VÄRMLANDS LÄN</t>
        </is>
      </c>
      <c r="E520" t="inlineStr">
        <is>
          <t>ARVIKA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3640-2023</t>
        </is>
      </c>
      <c r="B521" s="1" t="n">
        <v>44950.68668981481</v>
      </c>
      <c r="C521" s="1" t="n">
        <v>46143</v>
      </c>
      <c r="D521" t="inlineStr">
        <is>
          <t>VÄRMLANDS LÄN</t>
        </is>
      </c>
      <c r="E521" t="inlineStr">
        <is>
          <t>ARVIKA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28412-2025</t>
        </is>
      </c>
      <c r="B522" s="1" t="n">
        <v>45819.34829861111</v>
      </c>
      <c r="C522" s="1" t="n">
        <v>46143</v>
      </c>
      <c r="D522" t="inlineStr">
        <is>
          <t>VÄRMLANDS LÄN</t>
        </is>
      </c>
      <c r="E522" t="inlineStr">
        <is>
          <t>ARVIKA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28471-2025</t>
        </is>
      </c>
      <c r="B523" s="1" t="n">
        <v>45819.43547453704</v>
      </c>
      <c r="C523" s="1" t="n">
        <v>46143</v>
      </c>
      <c r="D523" t="inlineStr">
        <is>
          <t>VÄRMLANDS LÄN</t>
        </is>
      </c>
      <c r="E523" t="inlineStr">
        <is>
          <t>ARVIKA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11969-2025</t>
        </is>
      </c>
      <c r="B524" s="1" t="n">
        <v>45728.58295138889</v>
      </c>
      <c r="C524" s="1" t="n">
        <v>46143</v>
      </c>
      <c r="D524" t="inlineStr">
        <is>
          <t>VÄRMLANDS LÄN</t>
        </is>
      </c>
      <c r="E524" t="inlineStr">
        <is>
          <t>ARVIKA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28529-2025</t>
        </is>
      </c>
      <c r="B525" s="1" t="n">
        <v>45819</v>
      </c>
      <c r="C525" s="1" t="n">
        <v>46143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28427-2025</t>
        </is>
      </c>
      <c r="B526" s="1" t="n">
        <v>45819.37530092592</v>
      </c>
      <c r="C526" s="1" t="n">
        <v>46143</v>
      </c>
      <c r="D526" t="inlineStr">
        <is>
          <t>VÄRMLANDS LÄN</t>
        </is>
      </c>
      <c r="E526" t="inlineStr">
        <is>
          <t>ARVIKA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41714-2025</t>
        </is>
      </c>
      <c r="B527" s="1" t="n">
        <v>45902.43211805556</v>
      </c>
      <c r="C527" s="1" t="n">
        <v>46143</v>
      </c>
      <c r="D527" t="inlineStr">
        <is>
          <t>VÄRMLANDS LÄN</t>
        </is>
      </c>
      <c r="E527" t="inlineStr">
        <is>
          <t>ARVIKA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21233-2024</t>
        </is>
      </c>
      <c r="B528" s="1" t="n">
        <v>45440.58263888889</v>
      </c>
      <c r="C528" s="1" t="n">
        <v>46143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8512-2023</t>
        </is>
      </c>
      <c r="B529" s="1" t="n">
        <v>44977</v>
      </c>
      <c r="C529" s="1" t="n">
        <v>46143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61865-2024</t>
        </is>
      </c>
      <c r="B530" s="1" t="n">
        <v>45651</v>
      </c>
      <c r="C530" s="1" t="n">
        <v>46143</v>
      </c>
      <c r="D530" t="inlineStr">
        <is>
          <t>VÄRMLANDS LÄN</t>
        </is>
      </c>
      <c r="E530" t="inlineStr">
        <is>
          <t>ARVIKA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61885-2024</t>
        </is>
      </c>
      <c r="B531" s="1" t="n">
        <v>45652.67144675926</v>
      </c>
      <c r="C531" s="1" t="n">
        <v>46143</v>
      </c>
      <c r="D531" t="inlineStr">
        <is>
          <t>VÄRMLANDS LÄN</t>
        </is>
      </c>
      <c r="E531" t="inlineStr">
        <is>
          <t>ARVIKA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48637-2024</t>
        </is>
      </c>
      <c r="B532" s="1" t="n">
        <v>45593</v>
      </c>
      <c r="C532" s="1" t="n">
        <v>46143</v>
      </c>
      <c r="D532" t="inlineStr">
        <is>
          <t>VÄRMLANDS LÄN</t>
        </is>
      </c>
      <c r="E532" t="inlineStr">
        <is>
          <t>ARVIKA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42294-2025</t>
        </is>
      </c>
      <c r="B533" s="1" t="n">
        <v>45904.63038194444</v>
      </c>
      <c r="C533" s="1" t="n">
        <v>46143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44475.64054398148</v>
      </c>
      <c r="C534" s="1" t="n">
        <v>46143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42448-2025</t>
        </is>
      </c>
      <c r="B535" s="1" t="n">
        <v>45905</v>
      </c>
      <c r="C535" s="1" t="n">
        <v>46143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29156-2025</t>
        </is>
      </c>
      <c r="B536" s="1" t="n">
        <v>45821.65748842592</v>
      </c>
      <c r="C536" s="1" t="n">
        <v>46143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42315-2025</t>
        </is>
      </c>
      <c r="B537" s="1" t="n">
        <v>45904</v>
      </c>
      <c r="C537" s="1" t="n">
        <v>46143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28964-2025</t>
        </is>
      </c>
      <c r="B538" s="1" t="n">
        <v>45821.33386574074</v>
      </c>
      <c r="C538" s="1" t="n">
        <v>46143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4948-2024</t>
        </is>
      </c>
      <c r="B539" s="1" t="n">
        <v>45329.56855324074</v>
      </c>
      <c r="C539" s="1" t="n">
        <v>46143</v>
      </c>
      <c r="D539" t="inlineStr">
        <is>
          <t>VÄRMLANDS LÄN</t>
        </is>
      </c>
      <c r="E539" t="inlineStr">
        <is>
          <t>ARVIKA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42420-2025</t>
        </is>
      </c>
      <c r="B540" s="1" t="n">
        <v>45905</v>
      </c>
      <c r="C540" s="1" t="n">
        <v>46143</v>
      </c>
      <c r="D540" t="inlineStr">
        <is>
          <t>VÄRMLANDS LÄN</t>
        </is>
      </c>
      <c r="E540" t="inlineStr">
        <is>
          <t>ARVIKA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29137-2025</t>
        </is>
      </c>
      <c r="B541" s="1" t="n">
        <v>45821.61067129629</v>
      </c>
      <c r="C541" s="1" t="n">
        <v>46143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42399-2025</t>
        </is>
      </c>
      <c r="B542" s="1" t="n">
        <v>45905.36841435185</v>
      </c>
      <c r="C542" s="1" t="n">
        <v>46143</v>
      </c>
      <c r="D542" t="inlineStr">
        <is>
          <t>VÄRMLANDS LÄN</t>
        </is>
      </c>
      <c r="E542" t="inlineStr">
        <is>
          <t>ARVIKA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42422-2025</t>
        </is>
      </c>
      <c r="B543" s="1" t="n">
        <v>45905</v>
      </c>
      <c r="C543" s="1" t="n">
        <v>46143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22162-2025</t>
        </is>
      </c>
      <c r="B544" s="1" t="n">
        <v>45785.59041666667</v>
      </c>
      <c r="C544" s="1" t="n">
        <v>46143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10578-2023</t>
        </is>
      </c>
      <c r="B545" s="1" t="n">
        <v>44988.3599537037</v>
      </c>
      <c r="C545" s="1" t="n">
        <v>46143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41580-2022</t>
        </is>
      </c>
      <c r="B546" s="1" t="n">
        <v>44827</v>
      </c>
      <c r="C546" s="1" t="n">
        <v>46143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13233-2025</t>
        </is>
      </c>
      <c r="B547" s="1" t="n">
        <v>45735.46873842592</v>
      </c>
      <c r="C547" s="1" t="n">
        <v>46143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13286-2025</t>
        </is>
      </c>
      <c r="B548" s="1" t="n">
        <v>45735.56118055555</v>
      </c>
      <c r="C548" s="1" t="n">
        <v>46143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42236-2025</t>
        </is>
      </c>
      <c r="B549" s="1" t="n">
        <v>45904.56208333333</v>
      </c>
      <c r="C549" s="1" t="n">
        <v>46143</v>
      </c>
      <c r="D549" t="inlineStr">
        <is>
          <t>VÄRMLANDS LÄN</t>
        </is>
      </c>
      <c r="E549" t="inlineStr">
        <is>
          <t>ARVIKA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37824-2024</t>
        </is>
      </c>
      <c r="B550" s="1" t="n">
        <v>45544</v>
      </c>
      <c r="C550" s="1" t="n">
        <v>46143</v>
      </c>
      <c r="D550" t="inlineStr">
        <is>
          <t>VÄRMLANDS LÄN</t>
        </is>
      </c>
      <c r="E550" t="inlineStr">
        <is>
          <t>ARVIKA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37942-2024</t>
        </is>
      </c>
      <c r="B551" s="1" t="n">
        <v>45544.49918981481</v>
      </c>
      <c r="C551" s="1" t="n">
        <v>46143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42531-2025</t>
        </is>
      </c>
      <c r="B552" s="1" t="n">
        <v>45905</v>
      </c>
      <c r="C552" s="1" t="n">
        <v>46143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29501-2025</t>
        </is>
      </c>
      <c r="B553" s="1" t="n">
        <v>45825.28798611111</v>
      </c>
      <c r="C553" s="1" t="n">
        <v>46143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8633-2025</t>
        </is>
      </c>
      <c r="B554" s="1" t="n">
        <v>45711.74731481481</v>
      </c>
      <c r="C554" s="1" t="n">
        <v>46143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37872-2025</t>
        </is>
      </c>
      <c r="B555" s="1" t="n">
        <v>45881</v>
      </c>
      <c r="C555" s="1" t="n">
        <v>46143</v>
      </c>
      <c r="D555" t="inlineStr">
        <is>
          <t>VÄRMLANDS LÄN</t>
        </is>
      </c>
      <c r="E555" t="inlineStr">
        <is>
          <t>ARVIKA</t>
        </is>
      </c>
      <c r="G555" t="n">
        <v>10.8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13620-2025</t>
        </is>
      </c>
      <c r="B556" s="1" t="n">
        <v>45736.63359953704</v>
      </c>
      <c r="C556" s="1" t="n">
        <v>46143</v>
      </c>
      <c r="D556" t="inlineStr">
        <is>
          <t>VÄRMLANDS LÄN</t>
        </is>
      </c>
      <c r="E556" t="inlineStr">
        <is>
          <t>ARVIKA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61203-2024</t>
        </is>
      </c>
      <c r="B557" s="1" t="n">
        <v>45645.63922453704</v>
      </c>
      <c r="C557" s="1" t="n">
        <v>46143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42937-2025</t>
        </is>
      </c>
      <c r="B558" s="1" t="n">
        <v>45909</v>
      </c>
      <c r="C558" s="1" t="n">
        <v>46143</v>
      </c>
      <c r="D558" t="inlineStr">
        <is>
          <t>VÄRMLANDS LÄN</t>
        </is>
      </c>
      <c r="E558" t="inlineStr">
        <is>
          <t>ARVIKA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29558-2025</t>
        </is>
      </c>
      <c r="B559" s="1" t="n">
        <v>45825</v>
      </c>
      <c r="C559" s="1" t="n">
        <v>46143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4214-2025</t>
        </is>
      </c>
      <c r="B560" s="1" t="n">
        <v>45685</v>
      </c>
      <c r="C560" s="1" t="n">
        <v>46143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2322-2025</t>
        </is>
      </c>
      <c r="B561" s="1" t="n">
        <v>45673</v>
      </c>
      <c r="C561" s="1" t="n">
        <v>46143</v>
      </c>
      <c r="D561" t="inlineStr">
        <is>
          <t>VÄRMLANDS LÄN</t>
        </is>
      </c>
      <c r="E561" t="inlineStr">
        <is>
          <t>ARVIKA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11890-2025</t>
        </is>
      </c>
      <c r="B562" s="1" t="n">
        <v>45728.46053240741</v>
      </c>
      <c r="C562" s="1" t="n">
        <v>46143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42942-2025</t>
        </is>
      </c>
      <c r="B563" s="1" t="n">
        <v>45909.34232638889</v>
      </c>
      <c r="C563" s="1" t="n">
        <v>46143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42955-2025</t>
        </is>
      </c>
      <c r="B564" s="1" t="n">
        <v>45909.35813657408</v>
      </c>
      <c r="C564" s="1" t="n">
        <v>46143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42938-2025</t>
        </is>
      </c>
      <c r="B565" s="1" t="n">
        <v>45909.33035879629</v>
      </c>
      <c r="C565" s="1" t="n">
        <v>46143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29328-2025</t>
        </is>
      </c>
      <c r="B566" s="1" t="n">
        <v>45824.48537037037</v>
      </c>
      <c r="C566" s="1" t="n">
        <v>46143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18172-2025</t>
        </is>
      </c>
      <c r="B567" s="1" t="n">
        <v>45761.65037037037</v>
      </c>
      <c r="C567" s="1" t="n">
        <v>46143</v>
      </c>
      <c r="D567" t="inlineStr">
        <is>
          <t>VÄRMLANDS LÄN</t>
        </is>
      </c>
      <c r="E567" t="inlineStr">
        <is>
          <t>ARVIKA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62169-2024</t>
        </is>
      </c>
      <c r="B568" s="1" t="n">
        <v>45657.61693287037</v>
      </c>
      <c r="C568" s="1" t="n">
        <v>46143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29610-2025</t>
        </is>
      </c>
      <c r="B569" s="1" t="n">
        <v>45825</v>
      </c>
      <c r="C569" s="1" t="n">
        <v>46143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30261-2025</t>
        </is>
      </c>
      <c r="B570" s="1" t="n">
        <v>45827.42828703704</v>
      </c>
      <c r="C570" s="1" t="n">
        <v>46143</v>
      </c>
      <c r="D570" t="inlineStr">
        <is>
          <t>VÄRMLANDS LÄN</t>
        </is>
      </c>
      <c r="E570" t="inlineStr">
        <is>
          <t>ARVIKA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43408-2025</t>
        </is>
      </c>
      <c r="B571" s="1" t="n">
        <v>45911.39462962963</v>
      </c>
      <c r="C571" s="1" t="n">
        <v>46143</v>
      </c>
      <c r="D571" t="inlineStr">
        <is>
          <t>VÄRMLANDS LÄN</t>
        </is>
      </c>
      <c r="E571" t="inlineStr">
        <is>
          <t>ARVIKA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43410-2025</t>
        </is>
      </c>
      <c r="B572" s="1" t="n">
        <v>45911.39592592593</v>
      </c>
      <c r="C572" s="1" t="n">
        <v>46143</v>
      </c>
      <c r="D572" t="inlineStr">
        <is>
          <t>VÄRMLANDS LÄN</t>
        </is>
      </c>
      <c r="E572" t="inlineStr">
        <is>
          <t>ARVIKA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29619-2022</t>
        </is>
      </c>
      <c r="B573" s="1" t="n">
        <v>44754.56717592593</v>
      </c>
      <c r="C573" s="1" t="n">
        <v>46143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29965-2025</t>
        </is>
      </c>
      <c r="B574" s="1" t="n">
        <v>45826.48575231482</v>
      </c>
      <c r="C574" s="1" t="n">
        <v>46143</v>
      </c>
      <c r="D574" t="inlineStr">
        <is>
          <t>VÄRMLANDS LÄN</t>
        </is>
      </c>
      <c r="E574" t="inlineStr">
        <is>
          <t>ARVIKA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34840-2023</t>
        </is>
      </c>
      <c r="B575" s="1" t="n">
        <v>45141</v>
      </c>
      <c r="C575" s="1" t="n">
        <v>46143</v>
      </c>
      <c r="D575" t="inlineStr">
        <is>
          <t>VÄRMLANDS LÄN</t>
        </is>
      </c>
      <c r="E575" t="inlineStr">
        <is>
          <t>ARVIKA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41716-2025</t>
        </is>
      </c>
      <c r="B576" s="1" t="n">
        <v>45902</v>
      </c>
      <c r="C576" s="1" t="n">
        <v>46143</v>
      </c>
      <c r="D576" t="inlineStr">
        <is>
          <t>VÄRMLANDS LÄN</t>
        </is>
      </c>
      <c r="E576" t="inlineStr">
        <is>
          <t>ARVIKA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43459-2025</t>
        </is>
      </c>
      <c r="B577" s="1" t="n">
        <v>45911.46776620371</v>
      </c>
      <c r="C577" s="1" t="n">
        <v>46143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15720-2022</t>
        </is>
      </c>
      <c r="B578" s="1" t="n">
        <v>44663</v>
      </c>
      <c r="C578" s="1" t="n">
        <v>46143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43612-2025</t>
        </is>
      </c>
      <c r="B579" s="1" t="n">
        <v>45911.67621527778</v>
      </c>
      <c r="C579" s="1" t="n">
        <v>46143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37139-2022</t>
        </is>
      </c>
      <c r="B580" s="1" t="n">
        <v>44806.56332175926</v>
      </c>
      <c r="C580" s="1" t="n">
        <v>46143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30116-2025</t>
        </is>
      </c>
      <c r="B581" s="1" t="n">
        <v>45826</v>
      </c>
      <c r="C581" s="1" t="n">
        <v>46143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30003-2025</t>
        </is>
      </c>
      <c r="B582" s="1" t="n">
        <v>45826</v>
      </c>
      <c r="C582" s="1" t="n">
        <v>46143</v>
      </c>
      <c r="D582" t="inlineStr">
        <is>
          <t>VÄRMLANDS LÄN</t>
        </is>
      </c>
      <c r="E582" t="inlineStr">
        <is>
          <t>ARVIKA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5945-2025</t>
        </is>
      </c>
      <c r="B583" s="1" t="n">
        <v>45695</v>
      </c>
      <c r="C583" s="1" t="n">
        <v>46143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43354-2025</t>
        </is>
      </c>
      <c r="B584" s="1" t="n">
        <v>45911.32346064815</v>
      </c>
      <c r="C584" s="1" t="n">
        <v>46143</v>
      </c>
      <c r="D584" t="inlineStr">
        <is>
          <t>VÄRMLANDS LÄN</t>
        </is>
      </c>
      <c r="E584" t="inlineStr">
        <is>
          <t>ARVIKA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39702-2025</t>
        </is>
      </c>
      <c r="B585" s="1" t="n">
        <v>45890</v>
      </c>
      <c r="C585" s="1" t="n">
        <v>46143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29937-2025</t>
        </is>
      </c>
      <c r="B586" s="1" t="n">
        <v>45826.44768518519</v>
      </c>
      <c r="C586" s="1" t="n">
        <v>46143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43994-2025</t>
        </is>
      </c>
      <c r="B587" s="1" t="n">
        <v>45915.44663194445</v>
      </c>
      <c r="C587" s="1" t="n">
        <v>46143</v>
      </c>
      <c r="D587" t="inlineStr">
        <is>
          <t>VÄRMLANDS LÄN</t>
        </is>
      </c>
      <c r="E587" t="inlineStr">
        <is>
          <t>ARVIKA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30777-2025</t>
        </is>
      </c>
      <c r="B588" s="1" t="n">
        <v>45831</v>
      </c>
      <c r="C588" s="1" t="n">
        <v>46143</v>
      </c>
      <c r="D588" t="inlineStr">
        <is>
          <t>VÄRMLANDS LÄN</t>
        </is>
      </c>
      <c r="E588" t="inlineStr">
        <is>
          <t>ARVIKA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30796-2025</t>
        </is>
      </c>
      <c r="B589" s="1" t="n">
        <v>45831</v>
      </c>
      <c r="C589" s="1" t="n">
        <v>46143</v>
      </c>
      <c r="D589" t="inlineStr">
        <is>
          <t>VÄRMLANDS LÄN</t>
        </is>
      </c>
      <c r="E589" t="inlineStr">
        <is>
          <t>ARVIKA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25186-2022</t>
        </is>
      </c>
      <c r="B590" s="1" t="n">
        <v>44729.61496527777</v>
      </c>
      <c r="C590" s="1" t="n">
        <v>46143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30782-2025</t>
        </is>
      </c>
      <c r="B591" s="1" t="n">
        <v>45831.62445601852</v>
      </c>
      <c r="C591" s="1" t="n">
        <v>46143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30793-2025</t>
        </is>
      </c>
      <c r="B592" s="1" t="n">
        <v>45831.63668981481</v>
      </c>
      <c r="C592" s="1" t="n">
        <v>46143</v>
      </c>
      <c r="D592" t="inlineStr">
        <is>
          <t>VÄRMLANDS LÄN</t>
        </is>
      </c>
      <c r="E592" t="inlineStr">
        <is>
          <t>ARVIKA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44256-2025</t>
        </is>
      </c>
      <c r="B593" s="1" t="n">
        <v>45915</v>
      </c>
      <c r="C593" s="1" t="n">
        <v>46143</v>
      </c>
      <c r="D593" t="inlineStr">
        <is>
          <t>VÄRMLANDS LÄN</t>
        </is>
      </c>
      <c r="E593" t="inlineStr">
        <is>
          <t>ARVIKA</t>
        </is>
      </c>
      <c r="F593" t="inlineStr">
        <is>
          <t>Kyrkan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30581-2025</t>
        </is>
      </c>
      <c r="B594" s="1" t="n">
        <v>45831.42185185185</v>
      </c>
      <c r="C594" s="1" t="n">
        <v>46143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62600-2022</t>
        </is>
      </c>
      <c r="B595" s="1" t="n">
        <v>44917</v>
      </c>
      <c r="C595" s="1" t="n">
        <v>46143</v>
      </c>
      <c r="D595" t="inlineStr">
        <is>
          <t>VÄRMLANDS LÄN</t>
        </is>
      </c>
      <c r="E595" t="inlineStr">
        <is>
          <t>ARVIKA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43761-2025</t>
        </is>
      </c>
      <c r="B596" s="1" t="n">
        <v>45912</v>
      </c>
      <c r="C596" s="1" t="n">
        <v>46143</v>
      </c>
      <c r="D596" t="inlineStr">
        <is>
          <t>VÄRMLANDS LÄN</t>
        </is>
      </c>
      <c r="E596" t="inlineStr">
        <is>
          <t>ARVIKA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22519-2022</t>
        </is>
      </c>
      <c r="B597" s="1" t="n">
        <v>44713</v>
      </c>
      <c r="C597" s="1" t="n">
        <v>46143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16157-2023</t>
        </is>
      </c>
      <c r="B598" s="1" t="n">
        <v>45027</v>
      </c>
      <c r="C598" s="1" t="n">
        <v>46143</v>
      </c>
      <c r="D598" t="inlineStr">
        <is>
          <t>VÄRMLANDS LÄN</t>
        </is>
      </c>
      <c r="E598" t="inlineStr">
        <is>
          <t>ARVIKA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31413-2025</t>
        </is>
      </c>
      <c r="B599" s="1" t="n">
        <v>45833</v>
      </c>
      <c r="C599" s="1" t="n">
        <v>46143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31418-2025</t>
        </is>
      </c>
      <c r="B600" s="1" t="n">
        <v>45833</v>
      </c>
      <c r="C600" s="1" t="n">
        <v>46143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47376-2023</t>
        </is>
      </c>
      <c r="B601" s="1" t="n">
        <v>45202.61515046296</v>
      </c>
      <c r="C601" s="1" t="n">
        <v>46143</v>
      </c>
      <c r="D601" t="inlineStr">
        <is>
          <t>VÄRMLANDS LÄN</t>
        </is>
      </c>
      <c r="E601" t="inlineStr">
        <is>
          <t>ARVIKA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31443-2025</t>
        </is>
      </c>
      <c r="B602" s="1" t="n">
        <v>45833.51288194444</v>
      </c>
      <c r="C602" s="1" t="n">
        <v>46143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31331-2025</t>
        </is>
      </c>
      <c r="B603" s="1" t="n">
        <v>45833</v>
      </c>
      <c r="C603" s="1" t="n">
        <v>46143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44564-2025</t>
        </is>
      </c>
      <c r="B604" s="1" t="n">
        <v>45917</v>
      </c>
      <c r="C604" s="1" t="n">
        <v>46143</v>
      </c>
      <c r="D604" t="inlineStr">
        <is>
          <t>VÄRMLANDS LÄN</t>
        </is>
      </c>
      <c r="E604" t="inlineStr">
        <is>
          <t>ARVIKA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44259-2025</t>
        </is>
      </c>
      <c r="B605" s="1" t="n">
        <v>45915.83709490741</v>
      </c>
      <c r="C605" s="1" t="n">
        <v>46143</v>
      </c>
      <c r="D605" t="inlineStr">
        <is>
          <t>VÄRMLANDS LÄN</t>
        </is>
      </c>
      <c r="E605" t="inlineStr">
        <is>
          <t>ARVIKA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44472-2025</t>
        </is>
      </c>
      <c r="B606" s="1" t="n">
        <v>45916</v>
      </c>
      <c r="C606" s="1" t="n">
        <v>46143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44585-2025</t>
        </is>
      </c>
      <c r="B607" s="1" t="n">
        <v>45917</v>
      </c>
      <c r="C607" s="1" t="n">
        <v>46143</v>
      </c>
      <c r="D607" t="inlineStr">
        <is>
          <t>VÄRMLANDS LÄN</t>
        </is>
      </c>
      <c r="E607" t="inlineStr">
        <is>
          <t>ARVIKA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44586-2025</t>
        </is>
      </c>
      <c r="B608" s="1" t="n">
        <v>45917</v>
      </c>
      <c r="C608" s="1" t="n">
        <v>46143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31478-2025</t>
        </is>
      </c>
      <c r="B609" s="1" t="n">
        <v>45833</v>
      </c>
      <c r="C609" s="1" t="n">
        <v>46143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31401-2025</t>
        </is>
      </c>
      <c r="B610" s="1" t="n">
        <v>45833</v>
      </c>
      <c r="C610" s="1" t="n">
        <v>46143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31406-2025</t>
        </is>
      </c>
      <c r="B611" s="1" t="n">
        <v>45833</v>
      </c>
      <c r="C611" s="1" t="n">
        <v>46143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3364-2024</t>
        </is>
      </c>
      <c r="B612" s="1" t="n">
        <v>45317</v>
      </c>
      <c r="C612" s="1" t="n">
        <v>46143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52839-2023</t>
        </is>
      </c>
      <c r="B613" s="1" t="n">
        <v>45226.42424768519</v>
      </c>
      <c r="C613" s="1" t="n">
        <v>46143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44321-2025</t>
        </is>
      </c>
      <c r="B614" s="1" t="n">
        <v>45916.40230324074</v>
      </c>
      <c r="C614" s="1" t="n">
        <v>46143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31372-2025</t>
        </is>
      </c>
      <c r="B615" s="1" t="n">
        <v>45833.44447916667</v>
      </c>
      <c r="C615" s="1" t="n">
        <v>46143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31415-2025</t>
        </is>
      </c>
      <c r="B616" s="1" t="n">
        <v>45833</v>
      </c>
      <c r="C616" s="1" t="n">
        <v>46143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31442-2025</t>
        </is>
      </c>
      <c r="B617" s="1" t="n">
        <v>45833</v>
      </c>
      <c r="C617" s="1" t="n">
        <v>46143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42321-2023</t>
        </is>
      </c>
      <c r="B618" s="1" t="n">
        <v>45180.47474537037</v>
      </c>
      <c r="C618" s="1" t="n">
        <v>46143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31469-2025</t>
        </is>
      </c>
      <c r="B619" s="1" t="n">
        <v>45833</v>
      </c>
      <c r="C619" s="1" t="n">
        <v>46143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44304-2025</t>
        </is>
      </c>
      <c r="B620" s="1" t="n">
        <v>45916.37346064814</v>
      </c>
      <c r="C620" s="1" t="n">
        <v>46143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34381-2025</t>
        </is>
      </c>
      <c r="B621" s="1" t="n">
        <v>45846</v>
      </c>
      <c r="C621" s="1" t="n">
        <v>46143</v>
      </c>
      <c r="D621" t="inlineStr">
        <is>
          <t>VÄRMLANDS LÄN</t>
        </is>
      </c>
      <c r="E621" t="inlineStr">
        <is>
          <t>ARVIKA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11671-2025</t>
        </is>
      </c>
      <c r="B622" s="1" t="n">
        <v>45727.52484953704</v>
      </c>
      <c r="C622" s="1" t="n">
        <v>46143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31924-2025</t>
        </is>
      </c>
      <c r="B623" s="1" t="n">
        <v>45834.85216435185</v>
      </c>
      <c r="C623" s="1" t="n">
        <v>46143</v>
      </c>
      <c r="D623" t="inlineStr">
        <is>
          <t>VÄRMLANDS LÄN</t>
        </is>
      </c>
      <c r="E623" t="inlineStr">
        <is>
          <t>ARVIKA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32159-2025</t>
        </is>
      </c>
      <c r="B624" s="1" t="n">
        <v>45835</v>
      </c>
      <c r="C624" s="1" t="n">
        <v>46143</v>
      </c>
      <c r="D624" t="inlineStr">
        <is>
          <t>VÄRMLANDS LÄN</t>
        </is>
      </c>
      <c r="E624" t="inlineStr">
        <is>
          <t>ARVIKA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32147-2025</t>
        </is>
      </c>
      <c r="B625" s="1" t="n">
        <v>45835.5277199074</v>
      </c>
      <c r="C625" s="1" t="n">
        <v>46143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44533-2025</t>
        </is>
      </c>
      <c r="B626" s="1" t="n">
        <v>45916</v>
      </c>
      <c r="C626" s="1" t="n">
        <v>46143</v>
      </c>
      <c r="D626" t="inlineStr">
        <is>
          <t>VÄRMLANDS LÄN</t>
        </is>
      </c>
      <c r="E626" t="inlineStr">
        <is>
          <t>ARVIKA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32138-2025</t>
        </is>
      </c>
      <c r="B627" s="1" t="n">
        <v>45835.51975694444</v>
      </c>
      <c r="C627" s="1" t="n">
        <v>46143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45125-2025</t>
        </is>
      </c>
      <c r="B628" s="1" t="n">
        <v>45919.43240740741</v>
      </c>
      <c r="C628" s="1" t="n">
        <v>46143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12849-2022</t>
        </is>
      </c>
      <c r="B629" s="1" t="n">
        <v>44642</v>
      </c>
      <c r="C629" s="1" t="n">
        <v>46143</v>
      </c>
      <c r="D629" t="inlineStr">
        <is>
          <t>VÄRMLANDS LÄN</t>
        </is>
      </c>
      <c r="E629" t="inlineStr">
        <is>
          <t>ARVIKA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32008-2025</t>
        </is>
      </c>
      <c r="B630" s="1" t="n">
        <v>45835</v>
      </c>
      <c r="C630" s="1" t="n">
        <v>46143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31952-2025</t>
        </is>
      </c>
      <c r="B631" s="1" t="n">
        <v>45835.33601851852</v>
      </c>
      <c r="C631" s="1" t="n">
        <v>46143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32046-2025</t>
        </is>
      </c>
      <c r="B632" s="1" t="n">
        <v>45835.43952546296</v>
      </c>
      <c r="C632" s="1" t="n">
        <v>46143</v>
      </c>
      <c r="D632" t="inlineStr">
        <is>
          <t>VÄRMLANDS LÄN</t>
        </is>
      </c>
      <c r="E632" t="inlineStr">
        <is>
          <t>ARVIKA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32062-2025</t>
        </is>
      </c>
      <c r="B633" s="1" t="n">
        <v>45835.44643518519</v>
      </c>
      <c r="C633" s="1" t="n">
        <v>46143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4506-2025</t>
        </is>
      </c>
      <c r="B634" s="1" t="n">
        <v>45686.73459490741</v>
      </c>
      <c r="C634" s="1" t="n">
        <v>46143</v>
      </c>
      <c r="D634" t="inlineStr">
        <is>
          <t>VÄRMLANDS LÄN</t>
        </is>
      </c>
      <c r="E634" t="inlineStr">
        <is>
          <t>ARVIKA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31689-2025</t>
        </is>
      </c>
      <c r="B635" s="1" t="n">
        <v>45834</v>
      </c>
      <c r="C635" s="1" t="n">
        <v>46143</v>
      </c>
      <c r="D635" t="inlineStr">
        <is>
          <t>VÄRMLANDS LÄN</t>
        </is>
      </c>
      <c r="E635" t="inlineStr">
        <is>
          <t>ARVIKA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771-2026</t>
        </is>
      </c>
      <c r="B636" s="1" t="n">
        <v>46027</v>
      </c>
      <c r="C636" s="1" t="n">
        <v>46143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44419-2021</t>
        </is>
      </c>
      <c r="B637" s="1" t="n">
        <v>44435</v>
      </c>
      <c r="C637" s="1" t="n">
        <v>46143</v>
      </c>
      <c r="D637" t="inlineStr">
        <is>
          <t>VÄRMLANDS LÄN</t>
        </is>
      </c>
      <c r="E637" t="inlineStr">
        <is>
          <t>ARVIKA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32079-2025</t>
        </is>
      </c>
      <c r="B638" s="1" t="n">
        <v>45835</v>
      </c>
      <c r="C638" s="1" t="n">
        <v>46143</v>
      </c>
      <c r="D638" t="inlineStr">
        <is>
          <t>VÄRMLANDS LÄN</t>
        </is>
      </c>
      <c r="E638" t="inlineStr">
        <is>
          <t>ARVIKA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45111-2025</t>
        </is>
      </c>
      <c r="B639" s="1" t="n">
        <v>45919.42002314814</v>
      </c>
      <c r="C639" s="1" t="n">
        <v>46143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17620-2025</t>
        </is>
      </c>
      <c r="B640" s="1" t="n">
        <v>45757.85883101852</v>
      </c>
      <c r="C640" s="1" t="n">
        <v>46143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15518-2025</t>
        </is>
      </c>
      <c r="B641" s="1" t="n">
        <v>45747.61740740741</v>
      </c>
      <c r="C641" s="1" t="n">
        <v>46143</v>
      </c>
      <c r="D641" t="inlineStr">
        <is>
          <t>VÄRMLANDS LÄN</t>
        </is>
      </c>
      <c r="E641" t="inlineStr">
        <is>
          <t>ARVIKA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32002-2025</t>
        </is>
      </c>
      <c r="B642" s="1" t="n">
        <v>45835</v>
      </c>
      <c r="C642" s="1" t="n">
        <v>46143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31944-2025</t>
        </is>
      </c>
      <c r="B643" s="1" t="n">
        <v>45835</v>
      </c>
      <c r="C643" s="1" t="n">
        <v>46143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48510-2023</t>
        </is>
      </c>
      <c r="B644" s="1" t="n">
        <v>45207</v>
      </c>
      <c r="C644" s="1" t="n">
        <v>46143</v>
      </c>
      <c r="D644" t="inlineStr">
        <is>
          <t>VÄRMLANDS LÄN</t>
        </is>
      </c>
      <c r="E644" t="inlineStr">
        <is>
          <t>ARVIKA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44887-2025</t>
        </is>
      </c>
      <c r="B645" s="1" t="n">
        <v>45918</v>
      </c>
      <c r="C645" s="1" t="n">
        <v>46143</v>
      </c>
      <c r="D645" t="inlineStr">
        <is>
          <t>VÄRMLANDS LÄN</t>
        </is>
      </c>
      <c r="E645" t="inlineStr">
        <is>
          <t>ARVIKA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31992-2025</t>
        </is>
      </c>
      <c r="B646" s="1" t="n">
        <v>45835.36956018519</v>
      </c>
      <c r="C646" s="1" t="n">
        <v>46143</v>
      </c>
      <c r="D646" t="inlineStr">
        <is>
          <t>VÄRMLANDS LÄN</t>
        </is>
      </c>
      <c r="E646" t="inlineStr">
        <is>
          <t>ARVIKA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46108-2023</t>
        </is>
      </c>
      <c r="B647" s="1" t="n">
        <v>45196.5453587963</v>
      </c>
      <c r="C647" s="1" t="n">
        <v>46143</v>
      </c>
      <c r="D647" t="inlineStr">
        <is>
          <t>VÄRMLANDS LÄN</t>
        </is>
      </c>
      <c r="E647" t="inlineStr">
        <is>
          <t>ARVIKA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31969-2025</t>
        </is>
      </c>
      <c r="B648" s="1" t="n">
        <v>45835.34836805556</v>
      </c>
      <c r="C648" s="1" t="n">
        <v>46143</v>
      </c>
      <c r="D648" t="inlineStr">
        <is>
          <t>VÄRMLANDS LÄN</t>
        </is>
      </c>
      <c r="E648" t="inlineStr">
        <is>
          <t>ARVIKA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19922-2024</t>
        </is>
      </c>
      <c r="B649" s="1" t="n">
        <v>45433</v>
      </c>
      <c r="C649" s="1" t="n">
        <v>46143</v>
      </c>
      <c r="D649" t="inlineStr">
        <is>
          <t>VÄRMLANDS LÄN</t>
        </is>
      </c>
      <c r="E649" t="inlineStr">
        <is>
          <t>ARVIKA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862-2023</t>
        </is>
      </c>
      <c r="B650" s="1" t="n">
        <v>44931.62783564815</v>
      </c>
      <c r="C650" s="1" t="n">
        <v>46143</v>
      </c>
      <c r="D650" t="inlineStr">
        <is>
          <t>VÄRMLANDS LÄN</t>
        </is>
      </c>
      <c r="E650" t="inlineStr">
        <is>
          <t>ARVIKA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45076-2025</t>
        </is>
      </c>
      <c r="B651" s="1" t="n">
        <v>45919</v>
      </c>
      <c r="C651" s="1" t="n">
        <v>46143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15120-2025</t>
        </is>
      </c>
      <c r="B652" s="1" t="n">
        <v>45744.30913194444</v>
      </c>
      <c r="C652" s="1" t="n">
        <v>46143</v>
      </c>
      <c r="D652" t="inlineStr">
        <is>
          <t>VÄRMLANDS LÄN</t>
        </is>
      </c>
      <c r="E652" t="inlineStr">
        <is>
          <t>ARVIKA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45313-2025</t>
        </is>
      </c>
      <c r="B653" s="1" t="n">
        <v>45921.80666666666</v>
      </c>
      <c r="C653" s="1" t="n">
        <v>46143</v>
      </c>
      <c r="D653" t="inlineStr">
        <is>
          <t>VÄRMLANDS LÄN</t>
        </is>
      </c>
      <c r="E653" t="inlineStr">
        <is>
          <t>ARVIKA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45372-2025</t>
        </is>
      </c>
      <c r="B654" s="1" t="n">
        <v>45922.39185185185</v>
      </c>
      <c r="C654" s="1" t="n">
        <v>46143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32515-2025</t>
        </is>
      </c>
      <c r="B655" s="1" t="n">
        <v>45838</v>
      </c>
      <c r="C655" s="1" t="n">
        <v>46143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59755-2023</t>
        </is>
      </c>
      <c r="B656" s="1" t="n">
        <v>45257</v>
      </c>
      <c r="C656" s="1" t="n">
        <v>46143</v>
      </c>
      <c r="D656" t="inlineStr">
        <is>
          <t>VÄRMLANDS LÄN</t>
        </is>
      </c>
      <c r="E656" t="inlineStr">
        <is>
          <t>ARVIKA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61206-2023</t>
        </is>
      </c>
      <c r="B657" s="1" t="n">
        <v>45264.38726851852</v>
      </c>
      <c r="C657" s="1" t="n">
        <v>46143</v>
      </c>
      <c r="D657" t="inlineStr">
        <is>
          <t>VÄRMLANDS LÄN</t>
        </is>
      </c>
      <c r="E657" t="inlineStr">
        <is>
          <t>ARVIKA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32530-2025</t>
        </is>
      </c>
      <c r="B658" s="1" t="n">
        <v>45838</v>
      </c>
      <c r="C658" s="1" t="n">
        <v>46143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50953-2024</t>
        </is>
      </c>
      <c r="B659" s="1" t="n">
        <v>45603</v>
      </c>
      <c r="C659" s="1" t="n">
        <v>46143</v>
      </c>
      <c r="D659" t="inlineStr">
        <is>
          <t>VÄRMLANDS LÄN</t>
        </is>
      </c>
      <c r="E659" t="inlineStr">
        <is>
          <t>ARVIKA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16944-2024</t>
        </is>
      </c>
      <c r="B660" s="1" t="n">
        <v>45411.7540625</v>
      </c>
      <c r="C660" s="1" t="n">
        <v>46143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49873-2024</t>
        </is>
      </c>
      <c r="B661" s="1" t="n">
        <v>45597</v>
      </c>
      <c r="C661" s="1" t="n">
        <v>46143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45433-2025</t>
        </is>
      </c>
      <c r="B662" s="1" t="n">
        <v>45922.46289351852</v>
      </c>
      <c r="C662" s="1" t="n">
        <v>46143</v>
      </c>
      <c r="D662" t="inlineStr">
        <is>
          <t>VÄRMLANDS LÄN</t>
        </is>
      </c>
      <c r="E662" t="inlineStr">
        <is>
          <t>ARVIKA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32453-2025</t>
        </is>
      </c>
      <c r="B663" s="1" t="n">
        <v>45838</v>
      </c>
      <c r="C663" s="1" t="n">
        <v>46143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45324-2025</t>
        </is>
      </c>
      <c r="B664" s="1" t="n">
        <v>45922.31569444444</v>
      </c>
      <c r="C664" s="1" t="n">
        <v>46143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22951-2022</t>
        </is>
      </c>
      <c r="B665" s="1" t="n">
        <v>44715.93731481482</v>
      </c>
      <c r="C665" s="1" t="n">
        <v>46143</v>
      </c>
      <c r="D665" t="inlineStr">
        <is>
          <t>VÄRMLANDS LÄN</t>
        </is>
      </c>
      <c r="E665" t="inlineStr">
        <is>
          <t>ARVIKA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30869-2024</t>
        </is>
      </c>
      <c r="B666" s="1" t="n">
        <v>45497</v>
      </c>
      <c r="C666" s="1" t="n">
        <v>46143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65284-2021</t>
        </is>
      </c>
      <c r="B667" s="1" t="n">
        <v>44515</v>
      </c>
      <c r="C667" s="1" t="n">
        <v>46143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32568-2025</t>
        </is>
      </c>
      <c r="B668" s="1" t="n">
        <v>45838</v>
      </c>
      <c r="C668" s="1" t="n">
        <v>46143</v>
      </c>
      <c r="D668" t="inlineStr">
        <is>
          <t>VÄRMLANDS LÄN</t>
        </is>
      </c>
      <c r="E668" t="inlineStr">
        <is>
          <t>ARVIKA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24480-2024</t>
        </is>
      </c>
      <c r="B669" s="1" t="n">
        <v>45459</v>
      </c>
      <c r="C669" s="1" t="n">
        <v>46143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2579-2026</t>
        </is>
      </c>
      <c r="B670" s="1" t="n">
        <v>46037</v>
      </c>
      <c r="C670" s="1" t="n">
        <v>46143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27758-2023</t>
        </is>
      </c>
      <c r="B671" s="1" t="n">
        <v>45098.40237268519</v>
      </c>
      <c r="C671" s="1" t="n">
        <v>46143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45446-2025</t>
        </is>
      </c>
      <c r="B672" s="1" t="n">
        <v>45922.4808449074</v>
      </c>
      <c r="C672" s="1" t="n">
        <v>46143</v>
      </c>
      <c r="D672" t="inlineStr">
        <is>
          <t>VÄRMLANDS LÄN</t>
        </is>
      </c>
      <c r="E672" t="inlineStr">
        <is>
          <t>ARVIKA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57205-2024</t>
        </is>
      </c>
      <c r="B673" s="1" t="n">
        <v>45629.48877314815</v>
      </c>
      <c r="C673" s="1" t="n">
        <v>46143</v>
      </c>
      <c r="D673" t="inlineStr">
        <is>
          <t>VÄRMLANDS LÄN</t>
        </is>
      </c>
      <c r="E673" t="inlineStr">
        <is>
          <t>ARVIKA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46408-2025</t>
        </is>
      </c>
      <c r="B674" s="1" t="n">
        <v>45925</v>
      </c>
      <c r="C674" s="1" t="n">
        <v>46143</v>
      </c>
      <c r="D674" t="inlineStr">
        <is>
          <t>VÄRMLANDS LÄN</t>
        </is>
      </c>
      <c r="E674" t="inlineStr">
        <is>
          <t>ARVIKA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25463-2025</t>
        </is>
      </c>
      <c r="B675" s="1" t="n">
        <v>45802</v>
      </c>
      <c r="C675" s="1" t="n">
        <v>46143</v>
      </c>
      <c r="D675" t="inlineStr">
        <is>
          <t>VÄRMLANDS LÄN</t>
        </is>
      </c>
      <c r="E675" t="inlineStr">
        <is>
          <t>ARVIKA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33575-2025</t>
        </is>
      </c>
      <c r="B676" s="1" t="n">
        <v>45841</v>
      </c>
      <c r="C676" s="1" t="n">
        <v>46143</v>
      </c>
      <c r="D676" t="inlineStr">
        <is>
          <t>VÄRMLANDS LÄN</t>
        </is>
      </c>
      <c r="E676" t="inlineStr">
        <is>
          <t>ARVIKA</t>
        </is>
      </c>
      <c r="G676" t="n">
        <v>14.3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46014-2025</t>
        </is>
      </c>
      <c r="B677" s="1" t="n">
        <v>45924</v>
      </c>
      <c r="C677" s="1" t="n">
        <v>46143</v>
      </c>
      <c r="D677" t="inlineStr">
        <is>
          <t>VÄRMLANDS LÄN</t>
        </is>
      </c>
      <c r="E677" t="inlineStr">
        <is>
          <t>ARVIKA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45920-2025</t>
        </is>
      </c>
      <c r="B678" s="1" t="n">
        <v>45923</v>
      </c>
      <c r="C678" s="1" t="n">
        <v>46143</v>
      </c>
      <c r="D678" t="inlineStr">
        <is>
          <t>VÄRMLANDS LÄN</t>
        </is>
      </c>
      <c r="E678" t="inlineStr">
        <is>
          <t>ARVIKA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33521-2025</t>
        </is>
      </c>
      <c r="B679" s="1" t="n">
        <v>45841</v>
      </c>
      <c r="C679" s="1" t="n">
        <v>46143</v>
      </c>
      <c r="D679" t="inlineStr">
        <is>
          <t>VÄRMLANDS LÄN</t>
        </is>
      </c>
      <c r="E679" t="inlineStr">
        <is>
          <t>ARVIKA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46765-2025</t>
        </is>
      </c>
      <c r="B680" s="1" t="n">
        <v>45926</v>
      </c>
      <c r="C680" s="1" t="n">
        <v>46143</v>
      </c>
      <c r="D680" t="inlineStr">
        <is>
          <t>VÄRMLANDS LÄN</t>
        </is>
      </c>
      <c r="E680" t="inlineStr">
        <is>
          <t>ARVIKA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46889-2025</t>
        </is>
      </c>
      <c r="B681" s="1" t="n">
        <v>45929.36962962963</v>
      </c>
      <c r="C681" s="1" t="n">
        <v>46143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47024-2025</t>
        </is>
      </c>
      <c r="B682" s="1" t="n">
        <v>45929.57831018518</v>
      </c>
      <c r="C682" s="1" t="n">
        <v>46143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33983-2025</t>
        </is>
      </c>
      <c r="B683" s="1" t="n">
        <v>45843</v>
      </c>
      <c r="C683" s="1" t="n">
        <v>46143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46611-2025</t>
        </is>
      </c>
      <c r="B684" s="1" t="n">
        <v>45926.424375</v>
      </c>
      <c r="C684" s="1" t="n">
        <v>46143</v>
      </c>
      <c r="D684" t="inlineStr">
        <is>
          <t>VÄRMLANDS LÄN</t>
        </is>
      </c>
      <c r="E684" t="inlineStr">
        <is>
          <t>ARVIKA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46714-2025</t>
        </is>
      </c>
      <c r="B685" s="1" t="n">
        <v>45926.57719907408</v>
      </c>
      <c r="C685" s="1" t="n">
        <v>46143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3588-2025</t>
        </is>
      </c>
      <c r="B686" s="1" t="n">
        <v>45680.883125</v>
      </c>
      <c r="C686" s="1" t="n">
        <v>46143</v>
      </c>
      <c r="D686" t="inlineStr">
        <is>
          <t>VÄRMLANDS LÄN</t>
        </is>
      </c>
      <c r="E686" t="inlineStr">
        <is>
          <t>ARVIKA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37398-2023</t>
        </is>
      </c>
      <c r="B687" s="1" t="n">
        <v>45156.58699074074</v>
      </c>
      <c r="C687" s="1" t="n">
        <v>46143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33961-2025</t>
        </is>
      </c>
      <c r="B688" s="1" t="n">
        <v>45842</v>
      </c>
      <c r="C688" s="1" t="n">
        <v>46143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46685-2025</t>
        </is>
      </c>
      <c r="B689" s="1" t="n">
        <v>45926.551875</v>
      </c>
      <c r="C689" s="1" t="n">
        <v>46143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42023-2023</t>
        </is>
      </c>
      <c r="B690" s="1" t="n">
        <v>45177.48546296296</v>
      </c>
      <c r="C690" s="1" t="n">
        <v>46143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HYPERLINK("https://klasma.github.io/Logging_1784/knärot/A 42023-2023 karta knärot.png", "A 42023-2023")</f>
        <v/>
      </c>
      <c r="V690">
        <f>HYPERLINK("https://klasma.github.io/Logging_1784/klagomål/A 42023-2023 FSC-klagomål.docx", "A 42023-2023")</f>
        <v/>
      </c>
      <c r="W690">
        <f>HYPERLINK("https://klasma.github.io/Logging_1784/klagomålsmail/A 42023-2023 FSC-klagomål mail.docx", "A 42023-2023")</f>
        <v/>
      </c>
      <c r="X690">
        <f>HYPERLINK("https://klasma.github.io/Logging_1784/tillsyn/A 42023-2023 tillsynsbegäran.docx", "A 42023-2023")</f>
        <v/>
      </c>
      <c r="Y690">
        <f>HYPERLINK("https://klasma.github.io/Logging_1784/tillsynsmail/A 42023-2023 tillsynsbegäran mail.docx", "A 42023-2023")</f>
        <v/>
      </c>
    </row>
    <row r="691" ht="15" customHeight="1">
      <c r="A691" t="inlineStr">
        <is>
          <t>A 46514-2025</t>
        </is>
      </c>
      <c r="B691" s="1" t="n">
        <v>45926.28710648148</v>
      </c>
      <c r="C691" s="1" t="n">
        <v>46143</v>
      </c>
      <c r="D691" t="inlineStr">
        <is>
          <t>VÄRMLANDS LÄN</t>
        </is>
      </c>
      <c r="E691" t="inlineStr">
        <is>
          <t>ARVIKA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46758-2025</t>
        </is>
      </c>
      <c r="B692" s="1" t="n">
        <v>45926</v>
      </c>
      <c r="C692" s="1" t="n">
        <v>46143</v>
      </c>
      <c r="D692" t="inlineStr">
        <is>
          <t>VÄRMLANDS LÄN</t>
        </is>
      </c>
      <c r="E692" t="inlineStr">
        <is>
          <t>ARVIKA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33421-2024</t>
        </is>
      </c>
      <c r="B693" s="1" t="n">
        <v>45519.50402777778</v>
      </c>
      <c r="C693" s="1" t="n">
        <v>46143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46748-2025</t>
        </is>
      </c>
      <c r="B694" s="1" t="n">
        <v>45926</v>
      </c>
      <c r="C694" s="1" t="n">
        <v>46143</v>
      </c>
      <c r="D694" t="inlineStr">
        <is>
          <t>VÄRMLANDS LÄN</t>
        </is>
      </c>
      <c r="E694" t="inlineStr">
        <is>
          <t>ARVIKA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46680-2025</t>
        </is>
      </c>
      <c r="B695" s="1" t="n">
        <v>45926.54627314815</v>
      </c>
      <c r="C695" s="1" t="n">
        <v>46143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5329-2025</t>
        </is>
      </c>
      <c r="B696" s="1" t="n">
        <v>45692.53505787037</v>
      </c>
      <c r="C696" s="1" t="n">
        <v>46143</v>
      </c>
      <c r="D696" t="inlineStr">
        <is>
          <t>VÄRMLANDS LÄN</t>
        </is>
      </c>
      <c r="E696" t="inlineStr">
        <is>
          <t>ARVIKA</t>
        </is>
      </c>
      <c r="F696" t="inlineStr">
        <is>
          <t>Kommuner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33985-2025</t>
        </is>
      </c>
      <c r="B697" s="1" t="n">
        <v>45843</v>
      </c>
      <c r="C697" s="1" t="n">
        <v>46143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34151-2025</t>
        </is>
      </c>
      <c r="B698" s="1" t="n">
        <v>45845</v>
      </c>
      <c r="C698" s="1" t="n">
        <v>46143</v>
      </c>
      <c r="D698" t="inlineStr">
        <is>
          <t>VÄRMLANDS LÄN</t>
        </is>
      </c>
      <c r="E698" t="inlineStr">
        <is>
          <t>ARVIKA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46830-2025</t>
        </is>
      </c>
      <c r="B699" s="1" t="n">
        <v>45927.39802083333</v>
      </c>
      <c r="C699" s="1" t="n">
        <v>46143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36717-2023</t>
        </is>
      </c>
      <c r="B700" s="1" t="n">
        <v>45153</v>
      </c>
      <c r="C700" s="1" t="n">
        <v>46143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37668-2024</t>
        </is>
      </c>
      <c r="B701" s="1" t="n">
        <v>45541</v>
      </c>
      <c r="C701" s="1" t="n">
        <v>46143</v>
      </c>
      <c r="D701" t="inlineStr">
        <is>
          <t>VÄRMLANDS LÄN</t>
        </is>
      </c>
      <c r="E701" t="inlineStr">
        <is>
          <t>ARVIKA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47779-2025</t>
        </is>
      </c>
      <c r="B702" s="1" t="n">
        <v>45931.73188657407</v>
      </c>
      <c r="C702" s="1" t="n">
        <v>46143</v>
      </c>
      <c r="D702" t="inlineStr">
        <is>
          <t>VÄRMLANDS LÄN</t>
        </is>
      </c>
      <c r="E702" t="inlineStr">
        <is>
          <t>ARVIKA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53539-2023</t>
        </is>
      </c>
      <c r="B703" s="1" t="n">
        <v>45230.45539351852</v>
      </c>
      <c r="C703" s="1" t="n">
        <v>46143</v>
      </c>
      <c r="D703" t="inlineStr">
        <is>
          <t>VÄRMLANDS LÄN</t>
        </is>
      </c>
      <c r="E703" t="inlineStr">
        <is>
          <t>ARVIKA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47187-2025</t>
        </is>
      </c>
      <c r="B704" s="1" t="n">
        <v>45930</v>
      </c>
      <c r="C704" s="1" t="n">
        <v>46143</v>
      </c>
      <c r="D704" t="inlineStr">
        <is>
          <t>VÄRMLANDS LÄN</t>
        </is>
      </c>
      <c r="E704" t="inlineStr">
        <is>
          <t>ARVIKA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34316-2025</t>
        </is>
      </c>
      <c r="B705" s="1" t="n">
        <v>45846</v>
      </c>
      <c r="C705" s="1" t="n">
        <v>46143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3590-2025</t>
        </is>
      </c>
      <c r="B706" s="1" t="n">
        <v>45680</v>
      </c>
      <c r="C706" s="1" t="n">
        <v>46143</v>
      </c>
      <c r="D706" t="inlineStr">
        <is>
          <t>VÄRMLANDS LÄN</t>
        </is>
      </c>
      <c r="E706" t="inlineStr">
        <is>
          <t>ARVIKA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47741-2025</t>
        </is>
      </c>
      <c r="B707" s="1" t="n">
        <v>45931.64393518519</v>
      </c>
      <c r="C707" s="1" t="n">
        <v>46143</v>
      </c>
      <c r="D707" t="inlineStr">
        <is>
          <t>VÄRMLANDS LÄN</t>
        </is>
      </c>
      <c r="E707" t="inlineStr">
        <is>
          <t>ARVIKA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47746-2025</t>
        </is>
      </c>
      <c r="B708" s="1" t="n">
        <v>45931.65180555556</v>
      </c>
      <c r="C708" s="1" t="n">
        <v>46143</v>
      </c>
      <c r="D708" t="inlineStr">
        <is>
          <t>VÄRMLANDS LÄN</t>
        </is>
      </c>
      <c r="E708" t="inlineStr">
        <is>
          <t>ARVIKA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47277-2025</t>
        </is>
      </c>
      <c r="B709" s="1" t="n">
        <v>45930.47084490741</v>
      </c>
      <c r="C709" s="1" t="n">
        <v>46143</v>
      </c>
      <c r="D709" t="inlineStr">
        <is>
          <t>VÄRMLANDS LÄN</t>
        </is>
      </c>
      <c r="E709" t="inlineStr">
        <is>
          <t>ARVIKA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33598-2024</t>
        </is>
      </c>
      <c r="B710" s="1" t="n">
        <v>45520.36878472222</v>
      </c>
      <c r="C710" s="1" t="n">
        <v>46143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49883-2024</t>
        </is>
      </c>
      <c r="B711" s="1" t="n">
        <v>45597</v>
      </c>
      <c r="C711" s="1" t="n">
        <v>46143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22041-2025</t>
        </is>
      </c>
      <c r="B712" s="1" t="n">
        <v>45785.33200231481</v>
      </c>
      <c r="C712" s="1" t="n">
        <v>46143</v>
      </c>
      <c r="D712" t="inlineStr">
        <is>
          <t>VÄRMLANDS LÄN</t>
        </is>
      </c>
      <c r="E712" t="inlineStr">
        <is>
          <t>ARVIKA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34369-2025</t>
        </is>
      </c>
      <c r="B713" s="1" t="n">
        <v>45846</v>
      </c>
      <c r="C713" s="1" t="n">
        <v>46143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47423-2025</t>
        </is>
      </c>
      <c r="B714" s="1" t="n">
        <v>45930</v>
      </c>
      <c r="C714" s="1" t="n">
        <v>46143</v>
      </c>
      <c r="D714" t="inlineStr">
        <is>
          <t>VÄRMLANDS LÄN</t>
        </is>
      </c>
      <c r="E714" t="inlineStr">
        <is>
          <t>ARVIKA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43364-2023</t>
        </is>
      </c>
      <c r="B715" s="1" t="n">
        <v>45183</v>
      </c>
      <c r="C715" s="1" t="n">
        <v>46143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34285-2025</t>
        </is>
      </c>
      <c r="B716" s="1" t="n">
        <v>45846</v>
      </c>
      <c r="C716" s="1" t="n">
        <v>46143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34284-2025</t>
        </is>
      </c>
      <c r="B717" s="1" t="n">
        <v>45846</v>
      </c>
      <c r="C717" s="1" t="n">
        <v>46143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62074-2022</t>
        </is>
      </c>
      <c r="B718" s="1" t="n">
        <v>44918.70763888889</v>
      </c>
      <c r="C718" s="1" t="n">
        <v>46143</v>
      </c>
      <c r="D718" t="inlineStr">
        <is>
          <t>VÄRMLANDS LÄN</t>
        </is>
      </c>
      <c r="E718" t="inlineStr">
        <is>
          <t>ARVIKA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34920-2025</t>
        </is>
      </c>
      <c r="B719" s="1" t="n">
        <v>45849.5537962963</v>
      </c>
      <c r="C719" s="1" t="n">
        <v>46143</v>
      </c>
      <c r="D719" t="inlineStr">
        <is>
          <t>VÄRMLANDS LÄN</t>
        </is>
      </c>
      <c r="E719" t="inlineStr">
        <is>
          <t>ARVIKA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42441-2023</t>
        </is>
      </c>
      <c r="B720" s="1" t="n">
        <v>45180.64069444445</v>
      </c>
      <c r="C720" s="1" t="n">
        <v>46143</v>
      </c>
      <c r="D720" t="inlineStr">
        <is>
          <t>VÄRMLANDS LÄN</t>
        </is>
      </c>
      <c r="E720" t="inlineStr">
        <is>
          <t>ARVIKA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47524-2025</t>
        </is>
      </c>
      <c r="B721" s="1" t="n">
        <v>45931</v>
      </c>
      <c r="C721" s="1" t="n">
        <v>46143</v>
      </c>
      <c r="D721" t="inlineStr">
        <is>
          <t>VÄRMLANDS LÄN</t>
        </is>
      </c>
      <c r="E721" t="inlineStr">
        <is>
          <t>ARVIKA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298-2024</t>
        </is>
      </c>
      <c r="B722" s="1" t="n">
        <v>45295</v>
      </c>
      <c r="C722" s="1" t="n">
        <v>46143</v>
      </c>
      <c r="D722" t="inlineStr">
        <is>
          <t>VÄRMLANDS LÄN</t>
        </is>
      </c>
      <c r="E722" t="inlineStr">
        <is>
          <t>ARVIKA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48320-2025</t>
        </is>
      </c>
      <c r="B723" s="1" t="n">
        <v>45933.62635416666</v>
      </c>
      <c r="C723" s="1" t="n">
        <v>46143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48334-2025</t>
        </is>
      </c>
      <c r="B724" s="1" t="n">
        <v>45933.63556712963</v>
      </c>
      <c r="C724" s="1" t="n">
        <v>46143</v>
      </c>
      <c r="D724" t="inlineStr">
        <is>
          <t>VÄRMLANDS LÄN</t>
        </is>
      </c>
      <c r="E724" t="inlineStr">
        <is>
          <t>ARVIKA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25251-2023</t>
        </is>
      </c>
      <c r="B725" s="1" t="n">
        <v>45086</v>
      </c>
      <c r="C725" s="1" t="n">
        <v>46143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31998-2024</t>
        </is>
      </c>
      <c r="B726" s="1" t="n">
        <v>45510</v>
      </c>
      <c r="C726" s="1" t="n">
        <v>46143</v>
      </c>
      <c r="D726" t="inlineStr">
        <is>
          <t>VÄRMLANDS LÄN</t>
        </is>
      </c>
      <c r="E726" t="inlineStr">
        <is>
          <t>ARVIKA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47814-2025</t>
        </is>
      </c>
      <c r="B727" s="1" t="n">
        <v>45932.32513888889</v>
      </c>
      <c r="C727" s="1" t="n">
        <v>46143</v>
      </c>
      <c r="D727" t="inlineStr">
        <is>
          <t>VÄRMLANDS LÄN</t>
        </is>
      </c>
      <c r="E727" t="inlineStr">
        <is>
          <t>ARVIKA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47812-2025</t>
        </is>
      </c>
      <c r="B728" s="1" t="n">
        <v>45932</v>
      </c>
      <c r="C728" s="1" t="n">
        <v>46143</v>
      </c>
      <c r="D728" t="inlineStr">
        <is>
          <t>VÄRMLANDS LÄN</t>
        </is>
      </c>
      <c r="E728" t="inlineStr">
        <is>
          <t>ARVIKA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3925-2026</t>
        </is>
      </c>
      <c r="B729" s="1" t="n">
        <v>46043</v>
      </c>
      <c r="C729" s="1" t="n">
        <v>46143</v>
      </c>
      <c r="D729" t="inlineStr">
        <is>
          <t>VÄRMLANDS LÄN</t>
        </is>
      </c>
      <c r="E729" t="inlineStr">
        <is>
          <t>ARVIKA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3929-2026</t>
        </is>
      </c>
      <c r="B730" s="1" t="n">
        <v>46043</v>
      </c>
      <c r="C730" s="1" t="n">
        <v>46143</v>
      </c>
      <c r="D730" t="inlineStr">
        <is>
          <t>VÄRMLANDS LÄN</t>
        </is>
      </c>
      <c r="E730" t="inlineStr">
        <is>
          <t>ARVIKA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32869-2023</t>
        </is>
      </c>
      <c r="B731" s="1" t="n">
        <v>45124</v>
      </c>
      <c r="C731" s="1" t="n">
        <v>46143</v>
      </c>
      <c r="D731" t="inlineStr">
        <is>
          <t>VÄRMLANDS LÄN</t>
        </is>
      </c>
      <c r="E731" t="inlineStr">
        <is>
          <t>ARVIKA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29615-2025</t>
        </is>
      </c>
      <c r="B732" s="1" t="n">
        <v>45825</v>
      </c>
      <c r="C732" s="1" t="n">
        <v>46143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32194-2024</t>
        </is>
      </c>
      <c r="B733" s="1" t="n">
        <v>45511</v>
      </c>
      <c r="C733" s="1" t="n">
        <v>46143</v>
      </c>
      <c r="D733" t="inlineStr">
        <is>
          <t>VÄRMLANDS LÄN</t>
        </is>
      </c>
      <c r="E733" t="inlineStr">
        <is>
          <t>ARVIKA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48064-2025</t>
        </is>
      </c>
      <c r="B734" s="1" t="n">
        <v>45932.68791666667</v>
      </c>
      <c r="C734" s="1" t="n">
        <v>46143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48075-2025</t>
        </is>
      </c>
      <c r="B735" s="1" t="n">
        <v>45932.70664351852</v>
      </c>
      <c r="C735" s="1" t="n">
        <v>46143</v>
      </c>
      <c r="D735" t="inlineStr">
        <is>
          <t>VÄRMLANDS LÄN</t>
        </is>
      </c>
      <c r="E735" t="inlineStr">
        <is>
          <t>ARVIKA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52185-2024</t>
        </is>
      </c>
      <c r="B736" s="1" t="n">
        <v>45608</v>
      </c>
      <c r="C736" s="1" t="n">
        <v>46143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47815-2025</t>
        </is>
      </c>
      <c r="B737" s="1" t="n">
        <v>45932.32810185185</v>
      </c>
      <c r="C737" s="1" t="n">
        <v>46143</v>
      </c>
      <c r="D737" t="inlineStr">
        <is>
          <t>VÄRMLANDS LÄN</t>
        </is>
      </c>
      <c r="E737" t="inlineStr">
        <is>
          <t>ARVIKA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47995-2025</t>
        </is>
      </c>
      <c r="B738" s="1" t="n">
        <v>45932.62770833333</v>
      </c>
      <c r="C738" s="1" t="n">
        <v>46143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19364-2023</t>
        </is>
      </c>
      <c r="B739" s="1" t="n">
        <v>45049.62046296296</v>
      </c>
      <c r="C739" s="1" t="n">
        <v>46143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25601-2023</t>
        </is>
      </c>
      <c r="B740" s="1" t="n">
        <v>45083</v>
      </c>
      <c r="C740" s="1" t="n">
        <v>46143</v>
      </c>
      <c r="D740" t="inlineStr">
        <is>
          <t>VÄRMLANDS LÄN</t>
        </is>
      </c>
      <c r="E740" t="inlineStr">
        <is>
          <t>ARVIKA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35250-2025</t>
        </is>
      </c>
      <c r="B741" s="1" t="n">
        <v>45853.68032407408</v>
      </c>
      <c r="C741" s="1" t="n">
        <v>46143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48417-2025</t>
        </is>
      </c>
      <c r="B742" s="1" t="n">
        <v>45934.55943287037</v>
      </c>
      <c r="C742" s="1" t="n">
        <v>46143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35395-2025</t>
        </is>
      </c>
      <c r="B743" s="1" t="n">
        <v>45855</v>
      </c>
      <c r="C743" s="1" t="n">
        <v>46143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51014-2024</t>
        </is>
      </c>
      <c r="B744" s="1" t="n">
        <v>45603.39746527778</v>
      </c>
      <c r="C744" s="1" t="n">
        <v>46143</v>
      </c>
      <c r="D744" t="inlineStr">
        <is>
          <t>VÄRMLANDS LÄN</t>
        </is>
      </c>
      <c r="E744" t="inlineStr">
        <is>
          <t>ARVIKA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9214-2025</t>
        </is>
      </c>
      <c r="B745" s="1" t="n">
        <v>45714</v>
      </c>
      <c r="C745" s="1" t="n">
        <v>46143</v>
      </c>
      <c r="D745" t="inlineStr">
        <is>
          <t>VÄRMLANDS LÄN</t>
        </is>
      </c>
      <c r="E745" t="inlineStr">
        <is>
          <t>ARVIKA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35342-2025</t>
        </is>
      </c>
      <c r="B746" s="1" t="n">
        <v>45854</v>
      </c>
      <c r="C746" s="1" t="n">
        <v>46143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66226-2021</t>
        </is>
      </c>
      <c r="B747" s="1" t="n">
        <v>44518</v>
      </c>
      <c r="C747" s="1" t="n">
        <v>46143</v>
      </c>
      <c r="D747" t="inlineStr">
        <is>
          <t>VÄRMLANDS LÄN</t>
        </is>
      </c>
      <c r="E747" t="inlineStr">
        <is>
          <t>ARVIKA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48680-2025</t>
        </is>
      </c>
      <c r="B748" s="1" t="n">
        <v>45935</v>
      </c>
      <c r="C748" s="1" t="n">
        <v>46143</v>
      </c>
      <c r="D748" t="inlineStr">
        <is>
          <t>VÄRMLANDS LÄN</t>
        </is>
      </c>
      <c r="E748" t="inlineStr">
        <is>
          <t>ARVIKA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48589-2025</t>
        </is>
      </c>
      <c r="B749" s="1" t="n">
        <v>45936</v>
      </c>
      <c r="C749" s="1" t="n">
        <v>46143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35371-2025</t>
        </is>
      </c>
      <c r="B750" s="1" t="n">
        <v>45854</v>
      </c>
      <c r="C750" s="1" t="n">
        <v>46143</v>
      </c>
      <c r="D750" t="inlineStr">
        <is>
          <t>VÄRMLANDS LÄN</t>
        </is>
      </c>
      <c r="E750" t="inlineStr">
        <is>
          <t>ARVIKA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35306-2025</t>
        </is>
      </c>
      <c r="B751" s="1" t="n">
        <v>45854</v>
      </c>
      <c r="C751" s="1" t="n">
        <v>46143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48650-2025</t>
        </is>
      </c>
      <c r="B752" s="1" t="n">
        <v>45936.55185185185</v>
      </c>
      <c r="C752" s="1" t="n">
        <v>46143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3928-2026</t>
        </is>
      </c>
      <c r="B753" s="1" t="n">
        <v>46043</v>
      </c>
      <c r="C753" s="1" t="n">
        <v>46143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37144-2024</t>
        </is>
      </c>
      <c r="B754" s="1" t="n">
        <v>45538</v>
      </c>
      <c r="C754" s="1" t="n">
        <v>46143</v>
      </c>
      <c r="D754" t="inlineStr">
        <is>
          <t>VÄRMLANDS LÄN</t>
        </is>
      </c>
      <c r="E754" t="inlineStr">
        <is>
          <t>ARVIKA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16809-2023</t>
        </is>
      </c>
      <c r="B755" s="1" t="n">
        <v>45033.36878472222</v>
      </c>
      <c r="C755" s="1" t="n">
        <v>46143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35675-2025</t>
        </is>
      </c>
      <c r="B756" s="1" t="n">
        <v>45859</v>
      </c>
      <c r="C756" s="1" t="n">
        <v>46143</v>
      </c>
      <c r="D756" t="inlineStr">
        <is>
          <t>VÄRMLANDS LÄN</t>
        </is>
      </c>
      <c r="E756" t="inlineStr">
        <is>
          <t>ARVIKA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15857-2025</t>
        </is>
      </c>
      <c r="B757" s="1" t="n">
        <v>45749</v>
      </c>
      <c r="C757" s="1" t="n">
        <v>46143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3392-2026</t>
        </is>
      </c>
      <c r="B758" s="1" t="n">
        <v>46042.37363425926</v>
      </c>
      <c r="C758" s="1" t="n">
        <v>46143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35571-2025</t>
        </is>
      </c>
      <c r="B759" s="1" t="n">
        <v>45856</v>
      </c>
      <c r="C759" s="1" t="n">
        <v>46143</v>
      </c>
      <c r="D759" t="inlineStr">
        <is>
          <t>VÄRMLANDS LÄN</t>
        </is>
      </c>
      <c r="E759" t="inlineStr">
        <is>
          <t>ARVIKA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4252-2026</t>
        </is>
      </c>
      <c r="B760" s="1" t="n">
        <v>46045.32717592592</v>
      </c>
      <c r="C760" s="1" t="n">
        <v>46143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4247-2026</t>
        </is>
      </c>
      <c r="B761" s="1" t="n">
        <v>46045.31484953704</v>
      </c>
      <c r="C761" s="1" t="n">
        <v>46143</v>
      </c>
      <c r="D761" t="inlineStr">
        <is>
          <t>VÄRMLANDS LÄN</t>
        </is>
      </c>
      <c r="E761" t="inlineStr">
        <is>
          <t>ARVIKA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16674-2023</t>
        </is>
      </c>
      <c r="B762" s="1" t="n">
        <v>45030.57305555556</v>
      </c>
      <c r="C762" s="1" t="n">
        <v>46143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14478-2025</t>
        </is>
      </c>
      <c r="B763" s="1" t="n">
        <v>45741</v>
      </c>
      <c r="C763" s="1" t="n">
        <v>46143</v>
      </c>
      <c r="D763" t="inlineStr">
        <is>
          <t>VÄRMLANDS LÄN</t>
        </is>
      </c>
      <c r="E763" t="inlineStr">
        <is>
          <t>ARVIKA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49587-2025</t>
        </is>
      </c>
      <c r="B764" s="1" t="n">
        <v>45939.50821759259</v>
      </c>
      <c r="C764" s="1" t="n">
        <v>46143</v>
      </c>
      <c r="D764" t="inlineStr">
        <is>
          <t>VÄRMLANDS LÄN</t>
        </is>
      </c>
      <c r="E764" t="inlineStr">
        <is>
          <t>ARVIKA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35676-2025</t>
        </is>
      </c>
      <c r="B765" s="1" t="n">
        <v>45859</v>
      </c>
      <c r="C765" s="1" t="n">
        <v>46143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35677-2025</t>
        </is>
      </c>
      <c r="B766" s="1" t="n">
        <v>45859</v>
      </c>
      <c r="C766" s="1" t="n">
        <v>46143</v>
      </c>
      <c r="D766" t="inlineStr">
        <is>
          <t>VÄRMLANDS LÄN</t>
        </is>
      </c>
      <c r="E766" t="inlineStr">
        <is>
          <t>ARVIKA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58408-2022</t>
        </is>
      </c>
      <c r="B767" s="1" t="n">
        <v>44901</v>
      </c>
      <c r="C767" s="1" t="n">
        <v>46143</v>
      </c>
      <c r="D767" t="inlineStr">
        <is>
          <t>VÄRMLANDS LÄN</t>
        </is>
      </c>
      <c r="E767" t="inlineStr">
        <is>
          <t>ARVIKA</t>
        </is>
      </c>
      <c r="G767" t="n">
        <v>16.4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48779-2025</t>
        </is>
      </c>
      <c r="B768" s="1" t="n">
        <v>45937</v>
      </c>
      <c r="C768" s="1" t="n">
        <v>46143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50857-2023</t>
        </is>
      </c>
      <c r="B769" s="1" t="n">
        <v>45218</v>
      </c>
      <c r="C769" s="1" t="n">
        <v>46143</v>
      </c>
      <c r="D769" t="inlineStr">
        <is>
          <t>VÄRMLANDS LÄN</t>
        </is>
      </c>
      <c r="E769" t="inlineStr">
        <is>
          <t>ARVIKA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11913-2025</t>
        </is>
      </c>
      <c r="B770" s="1" t="n">
        <v>45728.48829861111</v>
      </c>
      <c r="C770" s="1" t="n">
        <v>46143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35818-2025</t>
        </is>
      </c>
      <c r="B771" s="1" t="n">
        <v>45861.44469907408</v>
      </c>
      <c r="C771" s="1" t="n">
        <v>46143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7.5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35678-2025</t>
        </is>
      </c>
      <c r="B772" s="1" t="n">
        <v>45859</v>
      </c>
      <c r="C772" s="1" t="n">
        <v>46143</v>
      </c>
      <c r="D772" t="inlineStr">
        <is>
          <t>VÄRMLANDS LÄN</t>
        </is>
      </c>
      <c r="E772" t="inlineStr">
        <is>
          <t>ARVIKA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3980-2026</t>
        </is>
      </c>
      <c r="B773" s="1" t="n">
        <v>46044.36423611111</v>
      </c>
      <c r="C773" s="1" t="n">
        <v>46143</v>
      </c>
      <c r="D773" t="inlineStr">
        <is>
          <t>VÄRMLANDS LÄN</t>
        </is>
      </c>
      <c r="E773" t="inlineStr">
        <is>
          <t>ARVIKA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35607-2025</t>
        </is>
      </c>
      <c r="B774" s="1" t="n">
        <v>45859</v>
      </c>
      <c r="C774" s="1" t="n">
        <v>46143</v>
      </c>
      <c r="D774" t="inlineStr">
        <is>
          <t>VÄRMLANDS LÄN</t>
        </is>
      </c>
      <c r="E774" t="inlineStr">
        <is>
          <t>ARVIKA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14455-2023</t>
        </is>
      </c>
      <c r="B775" s="1" t="n">
        <v>45012</v>
      </c>
      <c r="C775" s="1" t="n">
        <v>46143</v>
      </c>
      <c r="D775" t="inlineStr">
        <is>
          <t>VÄRMLANDS LÄN</t>
        </is>
      </c>
      <c r="E775" t="inlineStr">
        <is>
          <t>ARVIKA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61067-2024</t>
        </is>
      </c>
      <c r="B776" s="1" t="n">
        <v>45645</v>
      </c>
      <c r="C776" s="1" t="n">
        <v>46143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53184-2024</t>
        </is>
      </c>
      <c r="B777" s="1" t="n">
        <v>45611</v>
      </c>
      <c r="C777" s="1" t="n">
        <v>46143</v>
      </c>
      <c r="D777" t="inlineStr">
        <is>
          <t>VÄRMLANDS LÄN</t>
        </is>
      </c>
      <c r="E777" t="inlineStr">
        <is>
          <t>ARVIKA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53243-2024</t>
        </is>
      </c>
      <c r="B778" s="1" t="n">
        <v>45613</v>
      </c>
      <c r="C778" s="1" t="n">
        <v>46143</v>
      </c>
      <c r="D778" t="inlineStr">
        <is>
          <t>VÄRMLANDS LÄN</t>
        </is>
      </c>
      <c r="E778" t="inlineStr">
        <is>
          <t>ARVIKA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35892-2025</t>
        </is>
      </c>
      <c r="B779" s="1" t="n">
        <v>45862</v>
      </c>
      <c r="C779" s="1" t="n">
        <v>46143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16472-2025</t>
        </is>
      </c>
      <c r="B780" s="1" t="n">
        <v>45751.55591435185</v>
      </c>
      <c r="C780" s="1" t="n">
        <v>46143</v>
      </c>
      <c r="D780" t="inlineStr">
        <is>
          <t>VÄRMLANDS LÄN</t>
        </is>
      </c>
      <c r="E780" t="inlineStr">
        <is>
          <t>ARVIKA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5072-2025</t>
        </is>
      </c>
      <c r="B781" s="1" t="n">
        <v>45691</v>
      </c>
      <c r="C781" s="1" t="n">
        <v>46143</v>
      </c>
      <c r="D781" t="inlineStr">
        <is>
          <t>VÄRMLANDS LÄN</t>
        </is>
      </c>
      <c r="E781" t="inlineStr">
        <is>
          <t>ARVIKA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9630-2024</t>
        </is>
      </c>
      <c r="B782" s="1" t="n">
        <v>45362</v>
      </c>
      <c r="C782" s="1" t="n">
        <v>46143</v>
      </c>
      <c r="D782" t="inlineStr">
        <is>
          <t>VÄRMLANDS LÄN</t>
        </is>
      </c>
      <c r="E782" t="inlineStr">
        <is>
          <t>ARVIKA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48920-2025</t>
        </is>
      </c>
      <c r="B783" s="1" t="n">
        <v>45937.49405092592</v>
      </c>
      <c r="C783" s="1" t="n">
        <v>46143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4692-2026</t>
        </is>
      </c>
      <c r="B784" s="1" t="n">
        <v>46048.44631944445</v>
      </c>
      <c r="C784" s="1" t="n">
        <v>46143</v>
      </c>
      <c r="D784" t="inlineStr">
        <is>
          <t>VÄRMLANDS LÄN</t>
        </is>
      </c>
      <c r="E784" t="inlineStr">
        <is>
          <t>ARVIKA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36042-2025</t>
        </is>
      </c>
      <c r="B785" s="1" t="n">
        <v>45866</v>
      </c>
      <c r="C785" s="1" t="n">
        <v>46143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21851-2023</t>
        </is>
      </c>
      <c r="B786" s="1" t="n">
        <v>45068</v>
      </c>
      <c r="C786" s="1" t="n">
        <v>46143</v>
      </c>
      <c r="D786" t="inlineStr">
        <is>
          <t>VÄRMLANDS LÄN</t>
        </is>
      </c>
      <c r="E786" t="inlineStr">
        <is>
          <t>ARVIKA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46167-2025</t>
        </is>
      </c>
      <c r="B787" s="1" t="n">
        <v>45924</v>
      </c>
      <c r="C787" s="1" t="n">
        <v>46143</v>
      </c>
      <c r="D787" t="inlineStr">
        <is>
          <t>VÄRMLANDS LÄN</t>
        </is>
      </c>
      <c r="E787" t="inlineStr">
        <is>
          <t>ARVIKA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17142-2025</t>
        </is>
      </c>
      <c r="B788" s="1" t="n">
        <v>45755.88490740741</v>
      </c>
      <c r="C788" s="1" t="n">
        <v>46143</v>
      </c>
      <c r="D788" t="inlineStr">
        <is>
          <t>VÄRMLANDS LÄN</t>
        </is>
      </c>
      <c r="E788" t="inlineStr">
        <is>
          <t>ARVIKA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11230-2025</t>
        </is>
      </c>
      <c r="B789" s="1" t="n">
        <v>45726.35431712963</v>
      </c>
      <c r="C789" s="1" t="n">
        <v>46143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49735-2025</t>
        </is>
      </c>
      <c r="B790" s="1" t="n">
        <v>45940</v>
      </c>
      <c r="C790" s="1" t="n">
        <v>46143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49738-2025</t>
        </is>
      </c>
      <c r="B791" s="1" t="n">
        <v>45940.33111111111</v>
      </c>
      <c r="C791" s="1" t="n">
        <v>46143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49741-2025</t>
        </is>
      </c>
      <c r="B792" s="1" t="n">
        <v>45940.33380787037</v>
      </c>
      <c r="C792" s="1" t="n">
        <v>46143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36360-2025</t>
        </is>
      </c>
      <c r="B793" s="1" t="n">
        <v>45868</v>
      </c>
      <c r="C793" s="1" t="n">
        <v>46143</v>
      </c>
      <c r="D793" t="inlineStr">
        <is>
          <t>VÄRMLANDS LÄN</t>
        </is>
      </c>
      <c r="E793" t="inlineStr">
        <is>
          <t>ARVIKA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49296-2025</t>
        </is>
      </c>
      <c r="B794" s="1" t="n">
        <v>45938</v>
      </c>
      <c r="C794" s="1" t="n">
        <v>46143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48855-2024</t>
        </is>
      </c>
      <c r="B795" s="1" t="n">
        <v>45593.86349537037</v>
      </c>
      <c r="C795" s="1" t="n">
        <v>46143</v>
      </c>
      <c r="D795" t="inlineStr">
        <is>
          <t>VÄRMLANDS LÄN</t>
        </is>
      </c>
      <c r="E795" t="inlineStr">
        <is>
          <t>ARVIKA</t>
        </is>
      </c>
      <c r="F795" t="inlineStr">
        <is>
          <t>Kommuner</t>
        </is>
      </c>
      <c r="G795" t="n">
        <v>12.9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36466-2025</t>
        </is>
      </c>
      <c r="B796" s="1" t="n">
        <v>45869.46987268519</v>
      </c>
      <c r="C796" s="1" t="n">
        <v>46143</v>
      </c>
      <c r="D796" t="inlineStr">
        <is>
          <t>VÄRMLANDS LÄN</t>
        </is>
      </c>
      <c r="E796" t="inlineStr">
        <is>
          <t>ARVIKA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10493-2024</t>
        </is>
      </c>
      <c r="B797" s="1" t="n">
        <v>45366</v>
      </c>
      <c r="C797" s="1" t="n">
        <v>46143</v>
      </c>
      <c r="D797" t="inlineStr">
        <is>
          <t>VÄRMLANDS LÄN</t>
        </is>
      </c>
      <c r="E797" t="inlineStr">
        <is>
          <t>ARVIKA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36364-2025</t>
        </is>
      </c>
      <c r="B798" s="1" t="n">
        <v>45868</v>
      </c>
      <c r="C798" s="1" t="n">
        <v>46143</v>
      </c>
      <c r="D798" t="inlineStr">
        <is>
          <t>VÄRMLANDS LÄN</t>
        </is>
      </c>
      <c r="E798" t="inlineStr">
        <is>
          <t>ARVIKA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27712-2025</t>
        </is>
      </c>
      <c r="B799" s="1" t="n">
        <v>45813.79571759259</v>
      </c>
      <c r="C799" s="1" t="n">
        <v>46143</v>
      </c>
      <c r="D799" t="inlineStr">
        <is>
          <t>VÄRMLANDS LÄN</t>
        </is>
      </c>
      <c r="E799" t="inlineStr">
        <is>
          <t>ARVIKA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47343-2023</t>
        </is>
      </c>
      <c r="B800" s="1" t="n">
        <v>45202.56621527778</v>
      </c>
      <c r="C800" s="1" t="n">
        <v>46143</v>
      </c>
      <c r="D800" t="inlineStr">
        <is>
          <t>VÄRMLANDS LÄN</t>
        </is>
      </c>
      <c r="E800" t="inlineStr">
        <is>
          <t>ARVIKA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47380-2023</t>
        </is>
      </c>
      <c r="B801" s="1" t="n">
        <v>45202.61791666667</v>
      </c>
      <c r="C801" s="1" t="n">
        <v>46143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27329-2021</t>
        </is>
      </c>
      <c r="B802" s="1" t="n">
        <v>44351</v>
      </c>
      <c r="C802" s="1" t="n">
        <v>46143</v>
      </c>
      <c r="D802" t="inlineStr">
        <is>
          <t>VÄRMLANDS LÄN</t>
        </is>
      </c>
      <c r="E802" t="inlineStr">
        <is>
          <t>ARVIKA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28627-2023</t>
        </is>
      </c>
      <c r="B803" s="1" t="n">
        <v>45103</v>
      </c>
      <c r="C803" s="1" t="n">
        <v>46143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36431-2025</t>
        </is>
      </c>
      <c r="B804" s="1" t="n">
        <v>45869</v>
      </c>
      <c r="C804" s="1" t="n">
        <v>46143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9574-2024</t>
        </is>
      </c>
      <c r="B805" s="1" t="n">
        <v>45360.40841435185</v>
      </c>
      <c r="C805" s="1" t="n">
        <v>46143</v>
      </c>
      <c r="D805" t="inlineStr">
        <is>
          <t>VÄRMLANDS LÄN</t>
        </is>
      </c>
      <c r="E805" t="inlineStr">
        <is>
          <t>ARVIKA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50441-2025</t>
        </is>
      </c>
      <c r="B806" s="1" t="n">
        <v>45944.82958333333</v>
      </c>
      <c r="C806" s="1" t="n">
        <v>46143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50247-2025</t>
        </is>
      </c>
      <c r="B807" s="1" t="n">
        <v>45944.30931712963</v>
      </c>
      <c r="C807" s="1" t="n">
        <v>46143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50451-2025</t>
        </is>
      </c>
      <c r="B808" s="1" t="n">
        <v>45945</v>
      </c>
      <c r="C808" s="1" t="n">
        <v>46143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35503-2024</t>
        </is>
      </c>
      <c r="B809" s="1" t="n">
        <v>45531.53295138889</v>
      </c>
      <c r="C809" s="1" t="n">
        <v>46143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12811-2025</t>
        </is>
      </c>
      <c r="B810" s="1" t="n">
        <v>45733.6156712963</v>
      </c>
      <c r="C810" s="1" t="n">
        <v>46143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9.699999999999999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12531-2025</t>
        </is>
      </c>
      <c r="B811" s="1" t="n">
        <v>45730.69025462963</v>
      </c>
      <c r="C811" s="1" t="n">
        <v>46143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44974-2021</t>
        </is>
      </c>
      <c r="B812" s="1" t="n">
        <v>44438.78177083333</v>
      </c>
      <c r="C812" s="1" t="n">
        <v>46143</v>
      </c>
      <c r="D812" t="inlineStr">
        <is>
          <t>VÄRMLANDS LÄN</t>
        </is>
      </c>
      <c r="E812" t="inlineStr">
        <is>
          <t>ARVIKA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719-2022</t>
        </is>
      </c>
      <c r="B813" s="1" t="n">
        <v>44568</v>
      </c>
      <c r="C813" s="1" t="n">
        <v>46143</v>
      </c>
      <c r="D813" t="inlineStr">
        <is>
          <t>VÄRMLANDS LÄN</t>
        </is>
      </c>
      <c r="E813" t="inlineStr">
        <is>
          <t>ARVIKA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26993-2025</t>
        </is>
      </c>
      <c r="B814" s="1" t="n">
        <v>45811</v>
      </c>
      <c r="C814" s="1" t="n">
        <v>46143</v>
      </c>
      <c r="D814" t="inlineStr">
        <is>
          <t>VÄRMLANDS LÄN</t>
        </is>
      </c>
      <c r="E814" t="inlineStr">
        <is>
          <t>ARVIKA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36654-2025</t>
        </is>
      </c>
      <c r="B815" s="1" t="n">
        <v>45873.24579861111</v>
      </c>
      <c r="C815" s="1" t="n">
        <v>46143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58220-2023</t>
        </is>
      </c>
      <c r="B816" s="1" t="n">
        <v>45245</v>
      </c>
      <c r="C816" s="1" t="n">
        <v>46143</v>
      </c>
      <c r="D816" t="inlineStr">
        <is>
          <t>VÄRMLANDS LÄN</t>
        </is>
      </c>
      <c r="E816" t="inlineStr">
        <is>
          <t>ARVIKA</t>
        </is>
      </c>
      <c r="F816" t="inlineStr">
        <is>
          <t>Övriga Aktiebolag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7980-2025</t>
        </is>
      </c>
      <c r="B817" s="1" t="n">
        <v>45707.46815972222</v>
      </c>
      <c r="C817" s="1" t="n">
        <v>46143</v>
      </c>
      <c r="D817" t="inlineStr">
        <is>
          <t>VÄRMLANDS LÄN</t>
        </is>
      </c>
      <c r="E817" t="inlineStr">
        <is>
          <t>ARVIKA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36788-2025</t>
        </is>
      </c>
      <c r="B818" s="1" t="n">
        <v>45873.63435185186</v>
      </c>
      <c r="C818" s="1" t="n">
        <v>46143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50969-2025</t>
        </is>
      </c>
      <c r="B819" s="1" t="n">
        <v>45947.2847337963</v>
      </c>
      <c r="C819" s="1" t="n">
        <v>46143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36655-2025</t>
        </is>
      </c>
      <c r="B820" s="1" t="n">
        <v>45873</v>
      </c>
      <c r="C820" s="1" t="n">
        <v>46143</v>
      </c>
      <c r="D820" t="inlineStr">
        <is>
          <t>VÄRMLANDS LÄN</t>
        </is>
      </c>
      <c r="E820" t="inlineStr">
        <is>
          <t>ARVIKA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50764-2022</t>
        </is>
      </c>
      <c r="B821" s="1" t="n">
        <v>44867</v>
      </c>
      <c r="C821" s="1" t="n">
        <v>46143</v>
      </c>
      <c r="D821" t="inlineStr">
        <is>
          <t>VÄRMLANDS LÄN</t>
        </is>
      </c>
      <c r="E821" t="inlineStr">
        <is>
          <t>ARVIKA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29600-2025</t>
        </is>
      </c>
      <c r="B822" s="1" t="n">
        <v>45825</v>
      </c>
      <c r="C822" s="1" t="n">
        <v>46143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50975-2025</t>
        </is>
      </c>
      <c r="B823" s="1" t="n">
        <v>45947.31748842593</v>
      </c>
      <c r="C823" s="1" t="n">
        <v>46143</v>
      </c>
      <c r="D823" t="inlineStr">
        <is>
          <t>VÄRMLANDS LÄN</t>
        </is>
      </c>
      <c r="E823" t="inlineStr">
        <is>
          <t>ARVIKA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51017-2025</t>
        </is>
      </c>
      <c r="B824" s="1" t="n">
        <v>45947.38442129629</v>
      </c>
      <c r="C824" s="1" t="n">
        <v>46143</v>
      </c>
      <c r="D824" t="inlineStr">
        <is>
          <t>VÄRMLANDS LÄN</t>
        </is>
      </c>
      <c r="E824" t="inlineStr">
        <is>
          <t>ARVIKA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37029-2025</t>
        </is>
      </c>
      <c r="B825" s="1" t="n">
        <v>45874</v>
      </c>
      <c r="C825" s="1" t="n">
        <v>46143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37030-2025</t>
        </is>
      </c>
      <c r="B826" s="1" t="n">
        <v>45874.90478009259</v>
      </c>
      <c r="C826" s="1" t="n">
        <v>46143</v>
      </c>
      <c r="D826" t="inlineStr">
        <is>
          <t>VÄRMLANDS LÄN</t>
        </is>
      </c>
      <c r="E826" t="inlineStr">
        <is>
          <t>ARVIKA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37031-2025</t>
        </is>
      </c>
      <c r="B827" s="1" t="n">
        <v>45874.91972222222</v>
      </c>
      <c r="C827" s="1" t="n">
        <v>46143</v>
      </c>
      <c r="D827" t="inlineStr">
        <is>
          <t>VÄRMLANDS LÄN</t>
        </is>
      </c>
      <c r="E827" t="inlineStr">
        <is>
          <t>ARVIKA</t>
        </is>
      </c>
      <c r="G827" t="n">
        <v>12.4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27131-2022</t>
        </is>
      </c>
      <c r="B828" s="1" t="n">
        <v>44741</v>
      </c>
      <c r="C828" s="1" t="n">
        <v>46143</v>
      </c>
      <c r="D828" t="inlineStr">
        <is>
          <t>VÄRMLANDS LÄN</t>
        </is>
      </c>
      <c r="E828" t="inlineStr">
        <is>
          <t>ARVIKA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9749-2025</t>
        </is>
      </c>
      <c r="B829" s="1" t="n">
        <v>45716</v>
      </c>
      <c r="C829" s="1" t="n">
        <v>46143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13475-2025</t>
        </is>
      </c>
      <c r="B830" s="1" t="n">
        <v>45736.41059027778</v>
      </c>
      <c r="C830" s="1" t="n">
        <v>46143</v>
      </c>
      <c r="D830" t="inlineStr">
        <is>
          <t>VÄRMLANDS LÄN</t>
        </is>
      </c>
      <c r="E830" t="inlineStr">
        <is>
          <t>ARVIKA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50857-2025</t>
        </is>
      </c>
      <c r="B831" s="1" t="n">
        <v>45946.59074074074</v>
      </c>
      <c r="C831" s="1" t="n">
        <v>46143</v>
      </c>
      <c r="D831" t="inlineStr">
        <is>
          <t>VÄRMLANDS LÄN</t>
        </is>
      </c>
      <c r="E831" t="inlineStr">
        <is>
          <t>ARVIKA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42329-2024</t>
        </is>
      </c>
      <c r="B832" s="1" t="n">
        <v>45562</v>
      </c>
      <c r="C832" s="1" t="n">
        <v>46143</v>
      </c>
      <c r="D832" t="inlineStr">
        <is>
          <t>VÄRMLANDS LÄN</t>
        </is>
      </c>
      <c r="E832" t="inlineStr">
        <is>
          <t>ARVIKA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7855-2023</t>
        </is>
      </c>
      <c r="B833" s="1" t="n">
        <v>44973.53122685185</v>
      </c>
      <c r="C833" s="1" t="n">
        <v>46143</v>
      </c>
      <c r="D833" t="inlineStr">
        <is>
          <t>VÄRMLANDS LÄN</t>
        </is>
      </c>
      <c r="E833" t="inlineStr">
        <is>
          <t>ARVIKA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50967-2025</t>
        </is>
      </c>
      <c r="B834" s="1" t="n">
        <v>45947.25027777778</v>
      </c>
      <c r="C834" s="1" t="n">
        <v>46143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36852-2025</t>
        </is>
      </c>
      <c r="B835" s="1" t="n">
        <v>45874.39383101852</v>
      </c>
      <c r="C835" s="1" t="n">
        <v>46143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51278-2025</t>
        </is>
      </c>
      <c r="B836" s="1" t="n">
        <v>45950.24048611111</v>
      </c>
      <c r="C836" s="1" t="n">
        <v>46143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19720-2023</t>
        </is>
      </c>
      <c r="B837" s="1" t="n">
        <v>45051</v>
      </c>
      <c r="C837" s="1" t="n">
        <v>46143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51075-2025</t>
        </is>
      </c>
      <c r="B838" s="1" t="n">
        <v>45946</v>
      </c>
      <c r="C838" s="1" t="n">
        <v>46143</v>
      </c>
      <c r="D838" t="inlineStr">
        <is>
          <t>VÄRMLANDS LÄN</t>
        </is>
      </c>
      <c r="E838" t="inlineStr">
        <is>
          <t>ARVIKA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42807-2023</t>
        </is>
      </c>
      <c r="B839" s="1" t="n">
        <v>45182</v>
      </c>
      <c r="C839" s="1" t="n">
        <v>46143</v>
      </c>
      <c r="D839" t="inlineStr">
        <is>
          <t>VÄRMLANDS LÄN</t>
        </is>
      </c>
      <c r="E839" t="inlineStr">
        <is>
          <t>ARVIKA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37399-2025</t>
        </is>
      </c>
      <c r="B840" s="1" t="n">
        <v>45877</v>
      </c>
      <c r="C840" s="1" t="n">
        <v>46143</v>
      </c>
      <c r="D840" t="inlineStr">
        <is>
          <t>VÄRMLANDS LÄN</t>
        </is>
      </c>
      <c r="E840" t="inlineStr">
        <is>
          <t>ARVIKA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51364-2025</t>
        </is>
      </c>
      <c r="B841" s="1" t="n">
        <v>45950</v>
      </c>
      <c r="C841" s="1" t="n">
        <v>46143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41551-2021</t>
        </is>
      </c>
      <c r="B842" s="1" t="n">
        <v>44424</v>
      </c>
      <c r="C842" s="1" t="n">
        <v>46143</v>
      </c>
      <c r="D842" t="inlineStr">
        <is>
          <t>VÄRMLANDS LÄN</t>
        </is>
      </c>
      <c r="E842" t="inlineStr">
        <is>
          <t>ARVIKA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51358-2025</t>
        </is>
      </c>
      <c r="B843" s="1" t="n">
        <v>45950</v>
      </c>
      <c r="C843" s="1" t="n">
        <v>46143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45740-2021</t>
        </is>
      </c>
      <c r="B844" s="1" t="n">
        <v>44435</v>
      </c>
      <c r="C844" s="1" t="n">
        <v>46143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13399-2022</t>
        </is>
      </c>
      <c r="B845" s="1" t="n">
        <v>44645</v>
      </c>
      <c r="C845" s="1" t="n">
        <v>46143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39835-2022</t>
        </is>
      </c>
      <c r="B846" s="1" t="n">
        <v>44819.58920138889</v>
      </c>
      <c r="C846" s="1" t="n">
        <v>46143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37385-2025</t>
        </is>
      </c>
      <c r="B847" s="1" t="n">
        <v>45877</v>
      </c>
      <c r="C847" s="1" t="n">
        <v>46143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18269-2025</t>
        </is>
      </c>
      <c r="B848" s="1" t="n">
        <v>45762</v>
      </c>
      <c r="C848" s="1" t="n">
        <v>46143</v>
      </c>
      <c r="D848" t="inlineStr">
        <is>
          <t>VÄRMLANDS LÄN</t>
        </is>
      </c>
      <c r="E848" t="inlineStr">
        <is>
          <t>ARVIKA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13956-2023</t>
        </is>
      </c>
      <c r="B849" s="1" t="n">
        <v>45007</v>
      </c>
      <c r="C849" s="1" t="n">
        <v>46143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30787-2025</t>
        </is>
      </c>
      <c r="B850" s="1" t="n">
        <v>45831</v>
      </c>
      <c r="C850" s="1" t="n">
        <v>46143</v>
      </c>
      <c r="D850" t="inlineStr">
        <is>
          <t>VÄRMLANDS LÄN</t>
        </is>
      </c>
      <c r="E850" t="inlineStr">
        <is>
          <t>ARVIKA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51781-2025</t>
        </is>
      </c>
      <c r="B851" s="1" t="n">
        <v>45951.65829861111</v>
      </c>
      <c r="C851" s="1" t="n">
        <v>46143</v>
      </c>
      <c r="D851" t="inlineStr">
        <is>
          <t>VÄRMLANDS LÄN</t>
        </is>
      </c>
      <c r="E851" t="inlineStr">
        <is>
          <t>ARVIKA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37347-2025</t>
        </is>
      </c>
      <c r="B852" s="1" t="n">
        <v>45876</v>
      </c>
      <c r="C852" s="1" t="n">
        <v>46143</v>
      </c>
      <c r="D852" t="inlineStr">
        <is>
          <t>VÄRMLANDS LÄN</t>
        </is>
      </c>
      <c r="E852" t="inlineStr">
        <is>
          <t>ARVIKA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37558-2025</t>
        </is>
      </c>
      <c r="B853" s="1" t="n">
        <v>45880</v>
      </c>
      <c r="C853" s="1" t="n">
        <v>46143</v>
      </c>
      <c r="D853" t="inlineStr">
        <is>
          <t>VÄRMLANDS LÄN</t>
        </is>
      </c>
      <c r="E853" t="inlineStr">
        <is>
          <t>ARVIKA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37838-2025</t>
        </is>
      </c>
      <c r="B854" s="1" t="n">
        <v>45881</v>
      </c>
      <c r="C854" s="1" t="n">
        <v>46143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37685-2025</t>
        </is>
      </c>
      <c r="B855" s="1" t="n">
        <v>45880.5540625</v>
      </c>
      <c r="C855" s="1" t="n">
        <v>46143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51866-2025</t>
        </is>
      </c>
      <c r="B856" s="1" t="n">
        <v>45952</v>
      </c>
      <c r="C856" s="1" t="n">
        <v>46143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37836-2025</t>
        </is>
      </c>
      <c r="B857" s="1" t="n">
        <v>45881</v>
      </c>
      <c r="C857" s="1" t="n">
        <v>46143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37638-2025</t>
        </is>
      </c>
      <c r="B858" s="1" t="n">
        <v>45880.4733449074</v>
      </c>
      <c r="C858" s="1" t="n">
        <v>46143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37776-2025</t>
        </is>
      </c>
      <c r="B859" s="1" t="n">
        <v>45880</v>
      </c>
      <c r="C859" s="1" t="n">
        <v>46143</v>
      </c>
      <c r="D859" t="inlineStr">
        <is>
          <t>VÄRMLANDS LÄN</t>
        </is>
      </c>
      <c r="E859" t="inlineStr">
        <is>
          <t>ARVIKA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37840-2025</t>
        </is>
      </c>
      <c r="B860" s="1" t="n">
        <v>45881</v>
      </c>
      <c r="C860" s="1" t="n">
        <v>46143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37344-2025</t>
        </is>
      </c>
      <c r="B861" s="1" t="n">
        <v>45876</v>
      </c>
      <c r="C861" s="1" t="n">
        <v>46143</v>
      </c>
      <c r="D861" t="inlineStr">
        <is>
          <t>VÄRMLANDS LÄN</t>
        </is>
      </c>
      <c r="E861" t="inlineStr">
        <is>
          <t>ARVIKA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36826-2025</t>
        </is>
      </c>
      <c r="B862" s="1" t="n">
        <v>45874</v>
      </c>
      <c r="C862" s="1" t="n">
        <v>46143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37687-2025</t>
        </is>
      </c>
      <c r="B863" s="1" t="n">
        <v>45880.56207175926</v>
      </c>
      <c r="C863" s="1" t="n">
        <v>46143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38468-2025</t>
        </is>
      </c>
      <c r="B864" s="1" t="n">
        <v>45883</v>
      </c>
      <c r="C864" s="1" t="n">
        <v>46143</v>
      </c>
      <c r="D864" t="inlineStr">
        <is>
          <t>VÄRMLANDS LÄN</t>
        </is>
      </c>
      <c r="E864" t="inlineStr">
        <is>
          <t>ARVIKA</t>
        </is>
      </c>
      <c r="G864" t="n">
        <v>10.1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40688-2025</t>
        </is>
      </c>
      <c r="B865" s="1" t="n">
        <v>45896</v>
      </c>
      <c r="C865" s="1" t="n">
        <v>46143</v>
      </c>
      <c r="D865" t="inlineStr">
        <is>
          <t>VÄRMLANDS LÄN</t>
        </is>
      </c>
      <c r="E865" t="inlineStr">
        <is>
          <t>ARVIKA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51917-2025</t>
        </is>
      </c>
      <c r="B866" s="1" t="n">
        <v>45952.47792824074</v>
      </c>
      <c r="C866" s="1" t="n">
        <v>46143</v>
      </c>
      <c r="D866" t="inlineStr">
        <is>
          <t>VÄRMLANDS LÄN</t>
        </is>
      </c>
      <c r="E866" t="inlineStr">
        <is>
          <t>ARVIKA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38311-2025</t>
        </is>
      </c>
      <c r="B867" s="1" t="n">
        <v>45883</v>
      </c>
      <c r="C867" s="1" t="n">
        <v>46143</v>
      </c>
      <c r="D867" t="inlineStr">
        <is>
          <t>VÄRMLANDS LÄN</t>
        </is>
      </c>
      <c r="E867" t="inlineStr">
        <is>
          <t>ARVIKA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5332-2024</t>
        </is>
      </c>
      <c r="B868" s="1" t="n">
        <v>45331.43228009259</v>
      </c>
      <c r="C868" s="1" t="n">
        <v>46143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23601-2023</t>
        </is>
      </c>
      <c r="B869" s="1" t="n">
        <v>45077.45690972222</v>
      </c>
      <c r="C869" s="1" t="n">
        <v>46143</v>
      </c>
      <c r="D869" t="inlineStr">
        <is>
          <t>VÄRMLANDS LÄN</t>
        </is>
      </c>
      <c r="E869" t="inlineStr">
        <is>
          <t>ARVIKA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50380-2025</t>
        </is>
      </c>
      <c r="B870" s="1" t="n">
        <v>45944</v>
      </c>
      <c r="C870" s="1" t="n">
        <v>46143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51868-2025</t>
        </is>
      </c>
      <c r="B871" s="1" t="n">
        <v>45952</v>
      </c>
      <c r="C871" s="1" t="n">
        <v>46143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58423-2023</t>
        </is>
      </c>
      <c r="B872" s="1" t="n">
        <v>45250</v>
      </c>
      <c r="C872" s="1" t="n">
        <v>46143</v>
      </c>
      <c r="D872" t="inlineStr">
        <is>
          <t>VÄRMLANDS LÄN</t>
        </is>
      </c>
      <c r="E872" t="inlineStr">
        <is>
          <t>ARVIKA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38140-2025</t>
        </is>
      </c>
      <c r="B873" s="1" t="n">
        <v>45882.5735300926</v>
      </c>
      <c r="C873" s="1" t="n">
        <v>46143</v>
      </c>
      <c r="D873" t="inlineStr">
        <is>
          <t>VÄRMLANDS LÄN</t>
        </is>
      </c>
      <c r="E873" t="inlineStr">
        <is>
          <t>ARVIKA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52705-2025</t>
        </is>
      </c>
      <c r="B874" s="1" t="n">
        <v>45957.2830787037</v>
      </c>
      <c r="C874" s="1" t="n">
        <v>46143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52708-2025</t>
        </is>
      </c>
      <c r="B875" s="1" t="n">
        <v>45957.29231481482</v>
      </c>
      <c r="C875" s="1" t="n">
        <v>46143</v>
      </c>
      <c r="D875" t="inlineStr">
        <is>
          <t>VÄRMLANDS LÄN</t>
        </is>
      </c>
      <c r="E875" t="inlineStr">
        <is>
          <t>ARVIKA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23806-2025</t>
        </is>
      </c>
      <c r="B876" s="1" t="n">
        <v>45793.56376157407</v>
      </c>
      <c r="C876" s="1" t="n">
        <v>46143</v>
      </c>
      <c r="D876" t="inlineStr">
        <is>
          <t>VÄRMLANDS LÄN</t>
        </is>
      </c>
      <c r="E876" t="inlineStr">
        <is>
          <t>ARVIKA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38141-2025</t>
        </is>
      </c>
      <c r="B877" s="1" t="n">
        <v>45882</v>
      </c>
      <c r="C877" s="1" t="n">
        <v>46143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37853-2025</t>
        </is>
      </c>
      <c r="B878" s="1" t="n">
        <v>45881</v>
      </c>
      <c r="C878" s="1" t="n">
        <v>46143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38000-2025</t>
        </is>
      </c>
      <c r="B879" s="1" t="n">
        <v>45881.88496527778</v>
      </c>
      <c r="C879" s="1" t="n">
        <v>46143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29299-2024</t>
        </is>
      </c>
      <c r="B880" s="1" t="n">
        <v>45483</v>
      </c>
      <c r="C880" s="1" t="n">
        <v>46143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3671-2025</t>
        </is>
      </c>
      <c r="B881" s="1" t="n">
        <v>45681</v>
      </c>
      <c r="C881" s="1" t="n">
        <v>46143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52505-2025</t>
        </is>
      </c>
      <c r="B882" s="1" t="n">
        <v>45954.50017361111</v>
      </c>
      <c r="C882" s="1" t="n">
        <v>46143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58058-2024</t>
        </is>
      </c>
      <c r="B883" s="1" t="n">
        <v>45631</v>
      </c>
      <c r="C883" s="1" t="n">
        <v>46143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58059-2024</t>
        </is>
      </c>
      <c r="B884" s="1" t="n">
        <v>45631</v>
      </c>
      <c r="C884" s="1" t="n">
        <v>46143</v>
      </c>
      <c r="D884" t="inlineStr">
        <is>
          <t>VÄRMLANDS LÄN</t>
        </is>
      </c>
      <c r="E884" t="inlineStr">
        <is>
          <t>ARVIKA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5542-2026</t>
        </is>
      </c>
      <c r="B885" s="1" t="n">
        <v>46049</v>
      </c>
      <c r="C885" s="1" t="n">
        <v>46143</v>
      </c>
      <c r="D885" t="inlineStr">
        <is>
          <t>VÄRMLANDS LÄN</t>
        </is>
      </c>
      <c r="E885" t="inlineStr">
        <is>
          <t>ARVIKA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52689-2025</t>
        </is>
      </c>
      <c r="B886" s="1" t="n">
        <v>45956.39648148148</v>
      </c>
      <c r="C886" s="1" t="n">
        <v>46143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16466-2022</t>
        </is>
      </c>
      <c r="B887" s="1" t="n">
        <v>44671.60475694444</v>
      </c>
      <c r="C887" s="1" t="n">
        <v>46143</v>
      </c>
      <c r="D887" t="inlineStr">
        <is>
          <t>VÄRMLANDS LÄN</t>
        </is>
      </c>
      <c r="E887" t="inlineStr">
        <is>
          <t>ARVIKA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54107-2023</t>
        </is>
      </c>
      <c r="B888" s="1" t="n">
        <v>45232</v>
      </c>
      <c r="C888" s="1" t="n">
        <v>46143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60998-2024</t>
        </is>
      </c>
      <c r="B889" s="1" t="n">
        <v>45645</v>
      </c>
      <c r="C889" s="1" t="n">
        <v>46143</v>
      </c>
      <c r="D889" t="inlineStr">
        <is>
          <t>VÄRMLANDS LÄN</t>
        </is>
      </c>
      <c r="E889" t="inlineStr">
        <is>
          <t>ARVIKA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47540-2024</t>
        </is>
      </c>
      <c r="B890" s="1" t="n">
        <v>45587</v>
      </c>
      <c r="C890" s="1" t="n">
        <v>46143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53131-2025</t>
        </is>
      </c>
      <c r="B891" s="1" t="n">
        <v>45958.46607638889</v>
      </c>
      <c r="C891" s="1" t="n">
        <v>46143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53301-2025</t>
        </is>
      </c>
      <c r="B892" s="1" t="n">
        <v>45959.32900462963</v>
      </c>
      <c r="C892" s="1" t="n">
        <v>46143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48676-2025</t>
        </is>
      </c>
      <c r="B893" s="1" t="n">
        <v>45935</v>
      </c>
      <c r="C893" s="1" t="n">
        <v>46143</v>
      </c>
      <c r="D893" t="inlineStr">
        <is>
          <t>VÄRMLANDS LÄN</t>
        </is>
      </c>
      <c r="E893" t="inlineStr">
        <is>
          <t>ARVIKA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6300-2026</t>
        </is>
      </c>
      <c r="B894" s="1" t="n">
        <v>46055.56696759259</v>
      </c>
      <c r="C894" s="1" t="n">
        <v>46143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5702-2026</t>
        </is>
      </c>
      <c r="B895" s="1" t="n">
        <v>46051</v>
      </c>
      <c r="C895" s="1" t="n">
        <v>46143</v>
      </c>
      <c r="D895" t="inlineStr">
        <is>
          <t>VÄRMLANDS LÄN</t>
        </is>
      </c>
      <c r="E895" t="inlineStr">
        <is>
          <t>ARVIKA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HYPERLINK("https://klasma.github.io/Logging_1784/knärot/A 5702-2026 karta knärot.png", "A 5702-2026")</f>
        <v/>
      </c>
      <c r="V895">
        <f>HYPERLINK("https://klasma.github.io/Logging_1784/klagomål/A 5702-2026 FSC-klagomål.docx", "A 5702-2026")</f>
        <v/>
      </c>
      <c r="W895">
        <f>HYPERLINK("https://klasma.github.io/Logging_1784/klagomålsmail/A 5702-2026 FSC-klagomål mail.docx", "A 5702-2026")</f>
        <v/>
      </c>
      <c r="X895">
        <f>HYPERLINK("https://klasma.github.io/Logging_1784/tillsyn/A 5702-2026 tillsynsbegäran.docx", "A 5702-2026")</f>
        <v/>
      </c>
      <c r="Y895">
        <f>HYPERLINK("https://klasma.github.io/Logging_1784/tillsynsmail/A 5702-2026 tillsynsbegäran mail.docx", "A 5702-2026")</f>
        <v/>
      </c>
    </row>
    <row r="896" ht="15" customHeight="1">
      <c r="A896" t="inlineStr">
        <is>
          <t>A 38513-2025</t>
        </is>
      </c>
      <c r="B896" s="1" t="n">
        <v>45884</v>
      </c>
      <c r="C896" s="1" t="n">
        <v>46143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53430-2025</t>
        </is>
      </c>
      <c r="B897" s="1" t="n">
        <v>45959.62450231481</v>
      </c>
      <c r="C897" s="1" t="n">
        <v>46143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38504-2025</t>
        </is>
      </c>
      <c r="B898" s="1" t="n">
        <v>45884</v>
      </c>
      <c r="C898" s="1" t="n">
        <v>46143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53188-2025</t>
        </is>
      </c>
      <c r="B899" s="1" t="n">
        <v>45958.56060185185</v>
      </c>
      <c r="C899" s="1" t="n">
        <v>46143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6803-2026</t>
        </is>
      </c>
      <c r="B900" s="1" t="n">
        <v>46057.35418981482</v>
      </c>
      <c r="C900" s="1" t="n">
        <v>46143</v>
      </c>
      <c r="D900" t="inlineStr">
        <is>
          <t>VÄRMLANDS LÄN</t>
        </is>
      </c>
      <c r="E900" t="inlineStr">
        <is>
          <t>ARVIKA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6536-2026</t>
        </is>
      </c>
      <c r="B901" s="1" t="n">
        <v>46056.41789351852</v>
      </c>
      <c r="C901" s="1" t="n">
        <v>46143</v>
      </c>
      <c r="D901" t="inlineStr">
        <is>
          <t>VÄRMLANDS LÄN</t>
        </is>
      </c>
      <c r="E901" t="inlineStr">
        <is>
          <t>ARVIKA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6981-2026</t>
        </is>
      </c>
      <c r="B902" s="1" t="n">
        <v>46057.5979050926</v>
      </c>
      <c r="C902" s="1" t="n">
        <v>46143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7019-2026</t>
        </is>
      </c>
      <c r="B903" s="1" t="n">
        <v>46057.6525</v>
      </c>
      <c r="C903" s="1" t="n">
        <v>46143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29785-2024</t>
        </is>
      </c>
      <c r="B904" s="1" t="n">
        <v>45485</v>
      </c>
      <c r="C904" s="1" t="n">
        <v>46143</v>
      </c>
      <c r="D904" t="inlineStr">
        <is>
          <t>VÄRMLANDS LÄN</t>
        </is>
      </c>
      <c r="E904" t="inlineStr">
        <is>
          <t>ARVIKA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38666-2024</t>
        </is>
      </c>
      <c r="B905" s="1" t="n">
        <v>45547</v>
      </c>
      <c r="C905" s="1" t="n">
        <v>46143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9857-2022</t>
        </is>
      </c>
      <c r="B906" s="1" t="n">
        <v>44620.54168981482</v>
      </c>
      <c r="C906" s="1" t="n">
        <v>46143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2186-2025</t>
        </is>
      </c>
      <c r="B907" s="1" t="n">
        <v>45673.36144675926</v>
      </c>
      <c r="C907" s="1" t="n">
        <v>46143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2189-2025</t>
        </is>
      </c>
      <c r="B908" s="1" t="n">
        <v>45672</v>
      </c>
      <c r="C908" s="1" t="n">
        <v>46143</v>
      </c>
      <c r="D908" t="inlineStr">
        <is>
          <t>VÄRMLANDS LÄN</t>
        </is>
      </c>
      <c r="E908" t="inlineStr">
        <is>
          <t>ARVIKA</t>
        </is>
      </c>
      <c r="G908" t="n">
        <v>16.2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38549-2025</t>
        </is>
      </c>
      <c r="B909" s="1" t="n">
        <v>45884.4390625</v>
      </c>
      <c r="C909" s="1" t="n">
        <v>46143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38554-2025</t>
        </is>
      </c>
      <c r="B910" s="1" t="n">
        <v>45884.44082175926</v>
      </c>
      <c r="C910" s="1" t="n">
        <v>46143</v>
      </c>
      <c r="D910" t="inlineStr">
        <is>
          <t>VÄRMLANDS LÄN</t>
        </is>
      </c>
      <c r="E910" t="inlineStr">
        <is>
          <t>ARVIKA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16764-2024</t>
        </is>
      </c>
      <c r="B911" s="1" t="n">
        <v>45411</v>
      </c>
      <c r="C911" s="1" t="n">
        <v>46143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7431-2026</t>
        </is>
      </c>
      <c r="B912" s="1" t="n">
        <v>46058</v>
      </c>
      <c r="C912" s="1" t="n">
        <v>46143</v>
      </c>
      <c r="D912" t="inlineStr">
        <is>
          <t>VÄRMLANDS LÄN</t>
        </is>
      </c>
      <c r="E912" t="inlineStr">
        <is>
          <t>ARVIKA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7438-2026</t>
        </is>
      </c>
      <c r="B913" s="1" t="n">
        <v>46058</v>
      </c>
      <c r="C913" s="1" t="n">
        <v>46143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7158-2026</t>
        </is>
      </c>
      <c r="B914" s="1" t="n">
        <v>46058</v>
      </c>
      <c r="C914" s="1" t="n">
        <v>46143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33605-2024</t>
        </is>
      </c>
      <c r="B915" s="1" t="n">
        <v>45520.37755787037</v>
      </c>
      <c r="C915" s="1" t="n">
        <v>46143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48462-2023</t>
        </is>
      </c>
      <c r="B916" s="1" t="n">
        <v>45206</v>
      </c>
      <c r="C916" s="1" t="n">
        <v>46143</v>
      </c>
      <c r="D916" t="inlineStr">
        <is>
          <t>VÄRMLANDS LÄN</t>
        </is>
      </c>
      <c r="E916" t="inlineStr">
        <is>
          <t>ARVIKA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44270-2022</t>
        </is>
      </c>
      <c r="B917" s="1" t="n">
        <v>44839.57755787037</v>
      </c>
      <c r="C917" s="1" t="n">
        <v>46143</v>
      </c>
      <c r="D917" t="inlineStr">
        <is>
          <t>VÄRMLANDS LÄN</t>
        </is>
      </c>
      <c r="E917" t="inlineStr">
        <is>
          <t>ARVIKA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14727-2026</t>
        </is>
      </c>
      <c r="B918" s="1" t="n">
        <v>46101</v>
      </c>
      <c r="C918" s="1" t="n">
        <v>46143</v>
      </c>
      <c r="D918" t="inlineStr">
        <is>
          <t>VÄRMLANDS LÄN</t>
        </is>
      </c>
      <c r="E918" t="inlineStr">
        <is>
          <t>ARVIKA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7813-2026</t>
        </is>
      </c>
      <c r="B919" s="1" t="n">
        <v>46062</v>
      </c>
      <c r="C919" s="1" t="n">
        <v>46143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53925-2025</t>
        </is>
      </c>
      <c r="B920" s="1" t="n">
        <v>45961.46171296296</v>
      </c>
      <c r="C920" s="1" t="n">
        <v>46143</v>
      </c>
      <c r="D920" t="inlineStr">
        <is>
          <t>VÄRMLANDS LÄN</t>
        </is>
      </c>
      <c r="E920" t="inlineStr">
        <is>
          <t>ARVIKA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53960-2025</t>
        </is>
      </c>
      <c r="B921" s="1" t="n">
        <v>45961.53651620371</v>
      </c>
      <c r="C921" s="1" t="n">
        <v>46143</v>
      </c>
      <c r="D921" t="inlineStr">
        <is>
          <t>VÄRMLANDS LÄN</t>
        </is>
      </c>
      <c r="E921" t="inlineStr">
        <is>
          <t>ARVIKA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53488-2025</t>
        </is>
      </c>
      <c r="B922" s="1" t="n">
        <v>45960</v>
      </c>
      <c r="C922" s="1" t="n">
        <v>46143</v>
      </c>
      <c r="D922" t="inlineStr">
        <is>
          <t>VÄRMLANDS LÄN</t>
        </is>
      </c>
      <c r="E922" t="inlineStr">
        <is>
          <t>ARVIKA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53823-2025</t>
        </is>
      </c>
      <c r="B923" s="1" t="n">
        <v>45961.33121527778</v>
      </c>
      <c r="C923" s="1" t="n">
        <v>46143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53821-2025</t>
        </is>
      </c>
      <c r="B924" s="1" t="n">
        <v>45961.32774305555</v>
      </c>
      <c r="C924" s="1" t="n">
        <v>46143</v>
      </c>
      <c r="D924" t="inlineStr">
        <is>
          <t>VÄRMLANDS LÄN</t>
        </is>
      </c>
      <c r="E924" t="inlineStr">
        <is>
          <t>ARVIKA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53954-2025</t>
        </is>
      </c>
      <c r="B925" s="1" t="n">
        <v>45961.51763888889</v>
      </c>
      <c r="C925" s="1" t="n">
        <v>46143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54041-2025</t>
        </is>
      </c>
      <c r="B926" s="1" t="n">
        <v>45963.77166666667</v>
      </c>
      <c r="C926" s="1" t="n">
        <v>46143</v>
      </c>
      <c r="D926" t="inlineStr">
        <is>
          <t>VÄRMLANDS LÄN</t>
        </is>
      </c>
      <c r="E926" t="inlineStr">
        <is>
          <t>ARVIKA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19932-2024</t>
        </is>
      </c>
      <c r="B927" s="1" t="n">
        <v>45433</v>
      </c>
      <c r="C927" s="1" t="n">
        <v>46143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54028-2025</t>
        </is>
      </c>
      <c r="B928" s="1" t="n">
        <v>45962.43166666666</v>
      </c>
      <c r="C928" s="1" t="n">
        <v>46143</v>
      </c>
      <c r="D928" t="inlineStr">
        <is>
          <t>VÄRMLANDS LÄN</t>
        </is>
      </c>
      <c r="E928" t="inlineStr">
        <is>
          <t>ARVIKA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54124-2025</t>
        </is>
      </c>
      <c r="B929" s="1" t="n">
        <v>45964.45662037037</v>
      </c>
      <c r="C929" s="1" t="n">
        <v>46143</v>
      </c>
      <c r="D929" t="inlineStr">
        <is>
          <t>VÄRMLANDS LÄN</t>
        </is>
      </c>
      <c r="E929" t="inlineStr">
        <is>
          <t>ARVIKA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8061-2025</t>
        </is>
      </c>
      <c r="B930" s="1" t="n">
        <v>45707.63060185185</v>
      </c>
      <c r="C930" s="1" t="n">
        <v>46143</v>
      </c>
      <c r="D930" t="inlineStr">
        <is>
          <t>VÄRMLANDS LÄN</t>
        </is>
      </c>
      <c r="E930" t="inlineStr">
        <is>
          <t>ARVIKA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38452-2024</t>
        </is>
      </c>
      <c r="B931" s="1" t="n">
        <v>45546.44241898148</v>
      </c>
      <c r="C931" s="1" t="n">
        <v>46143</v>
      </c>
      <c r="D931" t="inlineStr">
        <is>
          <t>VÄRMLANDS LÄN</t>
        </is>
      </c>
      <c r="E931" t="inlineStr">
        <is>
          <t>ARVIKA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50914-2024</t>
        </is>
      </c>
      <c r="B932" s="1" t="n">
        <v>45602</v>
      </c>
      <c r="C932" s="1" t="n">
        <v>46143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15141-2026</t>
        </is>
      </c>
      <c r="B933" s="1" t="n">
        <v>46105.39284722223</v>
      </c>
      <c r="C933" s="1" t="n">
        <v>46143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54027-2025</t>
        </is>
      </c>
      <c r="B934" s="1" t="n">
        <v>45962.42008101852</v>
      </c>
      <c r="C934" s="1" t="n">
        <v>46143</v>
      </c>
      <c r="D934" t="inlineStr">
        <is>
          <t>VÄRMLANDS LÄN</t>
        </is>
      </c>
      <c r="E934" t="inlineStr">
        <is>
          <t>ARVIKA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54029-2025</t>
        </is>
      </c>
      <c r="B935" s="1" t="n">
        <v>45962.43524305556</v>
      </c>
      <c r="C935" s="1" t="n">
        <v>46143</v>
      </c>
      <c r="D935" t="inlineStr">
        <is>
          <t>VÄRMLANDS LÄN</t>
        </is>
      </c>
      <c r="E935" t="inlineStr">
        <is>
          <t>ARVIKA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18477-2025</t>
        </is>
      </c>
      <c r="B936" s="1" t="n">
        <v>45762.86576388889</v>
      </c>
      <c r="C936" s="1" t="n">
        <v>46143</v>
      </c>
      <c r="D936" t="inlineStr">
        <is>
          <t>VÄRMLANDS LÄN</t>
        </is>
      </c>
      <c r="E936" t="inlineStr">
        <is>
          <t>ARVIKA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54971-2025</t>
        </is>
      </c>
      <c r="B937" s="1" t="n">
        <v>45967.49662037037</v>
      </c>
      <c r="C937" s="1" t="n">
        <v>46143</v>
      </c>
      <c r="D937" t="inlineStr">
        <is>
          <t>VÄRMLANDS LÄN</t>
        </is>
      </c>
      <c r="E937" t="inlineStr">
        <is>
          <t>ARVIKA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54986-2025</t>
        </is>
      </c>
      <c r="B938" s="1" t="n">
        <v>45967.56366898148</v>
      </c>
      <c r="C938" s="1" t="n">
        <v>46143</v>
      </c>
      <c r="D938" t="inlineStr">
        <is>
          <t>VÄRMLANDS LÄN</t>
        </is>
      </c>
      <c r="E938" t="inlineStr">
        <is>
          <t>ARVIKA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12161-2025</t>
        </is>
      </c>
      <c r="B939" s="1" t="n">
        <v>45729.42730324074</v>
      </c>
      <c r="C939" s="1" t="n">
        <v>46143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12166-2025</t>
        </is>
      </c>
      <c r="B940" s="1" t="n">
        <v>45729.43327546296</v>
      </c>
      <c r="C940" s="1" t="n">
        <v>46143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31083-2023</t>
        </is>
      </c>
      <c r="B941" s="1" t="n">
        <v>45113.64513888889</v>
      </c>
      <c r="C941" s="1" t="n">
        <v>46143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32872-2023</t>
        </is>
      </c>
      <c r="B942" s="1" t="n">
        <v>45124</v>
      </c>
      <c r="C942" s="1" t="n">
        <v>46143</v>
      </c>
      <c r="D942" t="inlineStr">
        <is>
          <t>VÄRMLANDS LÄN</t>
        </is>
      </c>
      <c r="E942" t="inlineStr">
        <is>
          <t>ARVIKA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54929-2025</t>
        </is>
      </c>
      <c r="B943" s="1" t="n">
        <v>45967</v>
      </c>
      <c r="C943" s="1" t="n">
        <v>46143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43935-2024</t>
        </is>
      </c>
      <c r="B944" s="1" t="n">
        <v>45572</v>
      </c>
      <c r="C944" s="1" t="n">
        <v>46143</v>
      </c>
      <c r="D944" t="inlineStr">
        <is>
          <t>VÄRMLANDS LÄN</t>
        </is>
      </c>
      <c r="E944" t="inlineStr">
        <is>
          <t>ARVIKA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54683-2025</t>
        </is>
      </c>
      <c r="B945" s="1" t="n">
        <v>45966.43714120371</v>
      </c>
      <c r="C945" s="1" t="n">
        <v>46143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13982-2024</t>
        </is>
      </c>
      <c r="B946" s="1" t="n">
        <v>45392.40756944445</v>
      </c>
      <c r="C946" s="1" t="n">
        <v>46143</v>
      </c>
      <c r="D946" t="inlineStr">
        <is>
          <t>VÄRMLANDS LÄN</t>
        </is>
      </c>
      <c r="E946" t="inlineStr">
        <is>
          <t>ARVIKA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54597-2025</t>
        </is>
      </c>
      <c r="B947" s="1" t="n">
        <v>45965.7700462963</v>
      </c>
      <c r="C947" s="1" t="n">
        <v>46143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54989-2025</t>
        </is>
      </c>
      <c r="B948" s="1" t="n">
        <v>45967.57284722223</v>
      </c>
      <c r="C948" s="1" t="n">
        <v>46143</v>
      </c>
      <c r="D948" t="inlineStr">
        <is>
          <t>VÄRMLANDS LÄN</t>
        </is>
      </c>
      <c r="E948" t="inlineStr">
        <is>
          <t>ARVIKA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54682-2025</t>
        </is>
      </c>
      <c r="B949" s="1" t="n">
        <v>45966.43693287037</v>
      </c>
      <c r="C949" s="1" t="n">
        <v>46143</v>
      </c>
      <c r="D949" t="inlineStr">
        <is>
          <t>VÄRMLANDS LÄN</t>
        </is>
      </c>
      <c r="E949" t="inlineStr">
        <is>
          <t>ARVIKA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54678-2025</t>
        </is>
      </c>
      <c r="B950" s="1" t="n">
        <v>45966.42299768519</v>
      </c>
      <c r="C950" s="1" t="n">
        <v>46143</v>
      </c>
      <c r="D950" t="inlineStr">
        <is>
          <t>VÄRMLANDS LÄN</t>
        </is>
      </c>
      <c r="E950" t="inlineStr">
        <is>
          <t>ARVIKA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54987-2025</t>
        </is>
      </c>
      <c r="B951" s="1" t="n">
        <v>45967.57083333333</v>
      </c>
      <c r="C951" s="1" t="n">
        <v>46143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39219-2023</t>
        </is>
      </c>
      <c r="B952" s="1" t="n">
        <v>45166</v>
      </c>
      <c r="C952" s="1" t="n">
        <v>46143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54675-2025</t>
        </is>
      </c>
      <c r="B953" s="1" t="n">
        <v>45966.42137731481</v>
      </c>
      <c r="C953" s="1" t="n">
        <v>46143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8854-2023</t>
        </is>
      </c>
      <c r="B954" s="1" t="n">
        <v>44978.85517361111</v>
      </c>
      <c r="C954" s="1" t="n">
        <v>46143</v>
      </c>
      <c r="D954" t="inlineStr">
        <is>
          <t>VÄRMLANDS LÄN</t>
        </is>
      </c>
      <c r="E954" t="inlineStr">
        <is>
          <t>ARVIKA</t>
        </is>
      </c>
      <c r="F954" t="inlineStr">
        <is>
          <t>Kyrkan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55544-2025</t>
        </is>
      </c>
      <c r="B955" s="1" t="n">
        <v>45971</v>
      </c>
      <c r="C955" s="1" t="n">
        <v>46143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55486-2025</t>
        </is>
      </c>
      <c r="B956" s="1" t="n">
        <v>45971</v>
      </c>
      <c r="C956" s="1" t="n">
        <v>46143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55264-2025</t>
        </is>
      </c>
      <c r="B957" s="1" t="n">
        <v>45968.65210648148</v>
      </c>
      <c r="C957" s="1" t="n">
        <v>46143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2106-2024</t>
        </is>
      </c>
      <c r="B958" s="1" t="n">
        <v>45309.46850694445</v>
      </c>
      <c r="C958" s="1" t="n">
        <v>46143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55587-2025</t>
        </is>
      </c>
      <c r="B959" s="1" t="n">
        <v>45971.6840625</v>
      </c>
      <c r="C959" s="1" t="n">
        <v>46143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39073-2022</t>
        </is>
      </c>
      <c r="B960" s="1" t="n">
        <v>44817</v>
      </c>
      <c r="C960" s="1" t="n">
        <v>46143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48457-2023</t>
        </is>
      </c>
      <c r="B961" s="1" t="n">
        <v>45206</v>
      </c>
      <c r="C961" s="1" t="n">
        <v>46143</v>
      </c>
      <c r="D961" t="inlineStr">
        <is>
          <t>VÄRMLANDS LÄN</t>
        </is>
      </c>
      <c r="E961" t="inlineStr">
        <is>
          <t>ARVIKA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55578-2025</t>
        </is>
      </c>
      <c r="B962" s="1" t="n">
        <v>45971.66971064815</v>
      </c>
      <c r="C962" s="1" t="n">
        <v>46143</v>
      </c>
      <c r="D962" t="inlineStr">
        <is>
          <t>VÄRMLANDS LÄN</t>
        </is>
      </c>
      <c r="E962" t="inlineStr">
        <is>
          <t>ARVIKA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9285-2023</t>
        </is>
      </c>
      <c r="B963" s="1" t="n">
        <v>44980</v>
      </c>
      <c r="C963" s="1" t="n">
        <v>46143</v>
      </c>
      <c r="D963" t="inlineStr">
        <is>
          <t>VÄRMLANDS LÄN</t>
        </is>
      </c>
      <c r="E963" t="inlineStr">
        <is>
          <t>ARVIKA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15291-2026</t>
        </is>
      </c>
      <c r="B964" s="1" t="n">
        <v>46105.62385416667</v>
      </c>
      <c r="C964" s="1" t="n">
        <v>46143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23430-2024</t>
        </is>
      </c>
      <c r="B965" s="1" t="n">
        <v>45453.61859953704</v>
      </c>
      <c r="C965" s="1" t="n">
        <v>46143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4195-2024</t>
        </is>
      </c>
      <c r="B966" s="1" t="n">
        <v>45324.35050925926</v>
      </c>
      <c r="C966" s="1" t="n">
        <v>46143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3927-2026</t>
        </is>
      </c>
      <c r="B967" s="1" t="n">
        <v>46043</v>
      </c>
      <c r="C967" s="1" t="n">
        <v>46143</v>
      </c>
      <c r="D967" t="inlineStr">
        <is>
          <t>VÄRMLANDS LÄN</t>
        </is>
      </c>
      <c r="E967" t="inlineStr">
        <is>
          <t>ARVIKA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9916-2023</t>
        </is>
      </c>
      <c r="B968" s="1" t="n">
        <v>44985</v>
      </c>
      <c r="C968" s="1" t="n">
        <v>46143</v>
      </c>
      <c r="D968" t="inlineStr">
        <is>
          <t>VÄRMLANDS LÄN</t>
        </is>
      </c>
      <c r="E968" t="inlineStr">
        <is>
          <t>ARVIKA</t>
        </is>
      </c>
      <c r="G968" t="n">
        <v>10.8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32009-2022</t>
        </is>
      </c>
      <c r="B969" s="1" t="n">
        <v>44778</v>
      </c>
      <c r="C969" s="1" t="n">
        <v>46143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691-2024</t>
        </is>
      </c>
      <c r="B970" s="1" t="n">
        <v>45300</v>
      </c>
      <c r="C970" s="1" t="n">
        <v>46143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56561-2025</t>
        </is>
      </c>
      <c r="B971" s="1" t="n">
        <v>45975</v>
      </c>
      <c r="C971" s="1" t="n">
        <v>46143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14829-2022</t>
        </is>
      </c>
      <c r="B972" s="1" t="n">
        <v>44656</v>
      </c>
      <c r="C972" s="1" t="n">
        <v>46143</v>
      </c>
      <c r="D972" t="inlineStr">
        <is>
          <t>VÄRMLANDS LÄN</t>
        </is>
      </c>
      <c r="E972" t="inlineStr">
        <is>
          <t>ARVIKA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15617-2026</t>
        </is>
      </c>
      <c r="B973" s="1" t="n">
        <v>46106.6040162037</v>
      </c>
      <c r="C973" s="1" t="n">
        <v>46143</v>
      </c>
      <c r="D973" t="inlineStr">
        <is>
          <t>VÄRMLANDS LÄN</t>
        </is>
      </c>
      <c r="E973" t="inlineStr">
        <is>
          <t>ARVIKA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56497-2025</t>
        </is>
      </c>
      <c r="B974" s="1" t="n">
        <v>45975</v>
      </c>
      <c r="C974" s="1" t="n">
        <v>46143</v>
      </c>
      <c r="D974" t="inlineStr">
        <is>
          <t>VÄRMLANDS LÄN</t>
        </is>
      </c>
      <c r="E974" t="inlineStr">
        <is>
          <t>ARVIKA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5782-2022</t>
        </is>
      </c>
      <c r="B975" s="1" t="n">
        <v>44596</v>
      </c>
      <c r="C975" s="1" t="n">
        <v>46143</v>
      </c>
      <c r="D975" t="inlineStr">
        <is>
          <t>VÄRMLANDS LÄN</t>
        </is>
      </c>
      <c r="E975" t="inlineStr">
        <is>
          <t>ARVIKA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5304-2024</t>
        </is>
      </c>
      <c r="B976" s="1" t="n">
        <v>45331</v>
      </c>
      <c r="C976" s="1" t="n">
        <v>46143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6961-2026</t>
        </is>
      </c>
      <c r="B977" s="1" t="n">
        <v>46057</v>
      </c>
      <c r="C977" s="1" t="n">
        <v>46143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61908-2022</t>
        </is>
      </c>
      <c r="B978" s="1" t="n">
        <v>44917.73827546297</v>
      </c>
      <c r="C978" s="1" t="n">
        <v>46143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62485-2022</t>
        </is>
      </c>
      <c r="B979" s="1" t="n">
        <v>44924.56099537037</v>
      </c>
      <c r="C979" s="1" t="n">
        <v>46143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7347-2025</t>
        </is>
      </c>
      <c r="B980" s="1" t="n">
        <v>45703</v>
      </c>
      <c r="C980" s="1" t="n">
        <v>46143</v>
      </c>
      <c r="D980" t="inlineStr">
        <is>
          <t>VÄRMLANDS LÄN</t>
        </is>
      </c>
      <c r="E980" t="inlineStr">
        <is>
          <t>ARVIKA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26354-2024</t>
        </is>
      </c>
      <c r="B981" s="1" t="n">
        <v>45469.37152777778</v>
      </c>
      <c r="C981" s="1" t="n">
        <v>46143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57750-2024</t>
        </is>
      </c>
      <c r="B982" s="1" t="n">
        <v>45630</v>
      </c>
      <c r="C982" s="1" t="n">
        <v>46143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53962-2025</t>
        </is>
      </c>
      <c r="B983" s="1" t="n">
        <v>45961</v>
      </c>
      <c r="C983" s="1" t="n">
        <v>46143</v>
      </c>
      <c r="D983" t="inlineStr">
        <is>
          <t>VÄRMLANDS LÄN</t>
        </is>
      </c>
      <c r="E983" t="inlineStr">
        <is>
          <t>ARVIKA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44005-2023</t>
        </is>
      </c>
      <c r="B984" s="1" t="n">
        <v>45188.30975694444</v>
      </c>
      <c r="C984" s="1" t="n">
        <v>46143</v>
      </c>
      <c r="D984" t="inlineStr">
        <is>
          <t>VÄRMLANDS LÄN</t>
        </is>
      </c>
      <c r="E984" t="inlineStr">
        <is>
          <t>ARVIKA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22316-2023</t>
        </is>
      </c>
      <c r="B985" s="1" t="n">
        <v>45070</v>
      </c>
      <c r="C985" s="1" t="n">
        <v>46143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9061-2023</t>
        </is>
      </c>
      <c r="B986" s="1" t="n">
        <v>44979.71533564815</v>
      </c>
      <c r="C986" s="1" t="n">
        <v>46143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41310-2023</t>
        </is>
      </c>
      <c r="B987" s="1" t="n">
        <v>45174.63408564815</v>
      </c>
      <c r="C987" s="1" t="n">
        <v>46143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56746-2025</t>
        </is>
      </c>
      <c r="B988" s="1" t="n">
        <v>45978.36160879629</v>
      </c>
      <c r="C988" s="1" t="n">
        <v>46143</v>
      </c>
      <c r="D988" t="inlineStr">
        <is>
          <t>VÄRMLANDS LÄN</t>
        </is>
      </c>
      <c r="E988" t="inlineStr">
        <is>
          <t>ARVIKA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26321-2023</t>
        </is>
      </c>
      <c r="B989" s="1" t="n">
        <v>45091.69579861111</v>
      </c>
      <c r="C989" s="1" t="n">
        <v>46143</v>
      </c>
      <c r="D989" t="inlineStr">
        <is>
          <t>VÄRMLANDS LÄN</t>
        </is>
      </c>
      <c r="E989" t="inlineStr">
        <is>
          <t>ARVIKA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26324-2023</t>
        </is>
      </c>
      <c r="B990" s="1" t="n">
        <v>45091.71113425926</v>
      </c>
      <c r="C990" s="1" t="n">
        <v>46143</v>
      </c>
      <c r="D990" t="inlineStr">
        <is>
          <t>VÄRMLANDS LÄN</t>
        </is>
      </c>
      <c r="E990" t="inlineStr">
        <is>
          <t>ARVIKA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46-2025</t>
        </is>
      </c>
      <c r="B991" s="1" t="n">
        <v>45659.36717592592</v>
      </c>
      <c r="C991" s="1" t="n">
        <v>46143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25954-2023</t>
        </is>
      </c>
      <c r="B992" s="1" t="n">
        <v>45090</v>
      </c>
      <c r="C992" s="1" t="n">
        <v>46143</v>
      </c>
      <c r="D992" t="inlineStr">
        <is>
          <t>VÄRMLANDS LÄN</t>
        </is>
      </c>
      <c r="E992" t="inlineStr">
        <is>
          <t>ARVIKA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32619-2023</t>
        </is>
      </c>
      <c r="B993" s="1" t="n">
        <v>45121</v>
      </c>
      <c r="C993" s="1" t="n">
        <v>46143</v>
      </c>
      <c r="D993" t="inlineStr">
        <is>
          <t>VÄRMLANDS LÄN</t>
        </is>
      </c>
      <c r="E993" t="inlineStr">
        <is>
          <t>ARVIKA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57609-2025</t>
        </is>
      </c>
      <c r="B994" s="1" t="n">
        <v>45981.33861111111</v>
      </c>
      <c r="C994" s="1" t="n">
        <v>46143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19928-2024</t>
        </is>
      </c>
      <c r="B995" s="1" t="n">
        <v>45433.59773148148</v>
      </c>
      <c r="C995" s="1" t="n">
        <v>46143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19930-2024</t>
        </is>
      </c>
      <c r="B996" s="1" t="n">
        <v>45433</v>
      </c>
      <c r="C996" s="1" t="n">
        <v>46143</v>
      </c>
      <c r="D996" t="inlineStr">
        <is>
          <t>VÄRMLANDS LÄN</t>
        </is>
      </c>
      <c r="E996" t="inlineStr">
        <is>
          <t>ARVIKA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74330-2021</t>
        </is>
      </c>
      <c r="B997" s="1" t="n">
        <v>44559</v>
      </c>
      <c r="C997" s="1" t="n">
        <v>46143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4706-2025</t>
        </is>
      </c>
      <c r="B998" s="1" t="n">
        <v>45688.38394675926</v>
      </c>
      <c r="C998" s="1" t="n">
        <v>46143</v>
      </c>
      <c r="D998" t="inlineStr">
        <is>
          <t>VÄRMLANDS LÄN</t>
        </is>
      </c>
      <c r="E998" t="inlineStr">
        <is>
          <t>ARVIKA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57605-2025</t>
        </is>
      </c>
      <c r="B999" s="1" t="n">
        <v>45981.32600694444</v>
      </c>
      <c r="C999" s="1" t="n">
        <v>46143</v>
      </c>
      <c r="D999" t="inlineStr">
        <is>
          <t>VÄRMLANDS LÄN</t>
        </is>
      </c>
      <c r="E999" t="inlineStr">
        <is>
          <t>ARVIKA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20196-2025</t>
        </is>
      </c>
      <c r="B1000" s="1" t="n">
        <v>45772.61085648148</v>
      </c>
      <c r="C1000" s="1" t="n">
        <v>46143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5337-2025</t>
        </is>
      </c>
      <c r="B1001" s="1" t="n">
        <v>45692</v>
      </c>
      <c r="C1001" s="1" t="n">
        <v>46143</v>
      </c>
      <c r="D1001" t="inlineStr">
        <is>
          <t>VÄRMLANDS LÄN</t>
        </is>
      </c>
      <c r="E1001" t="inlineStr">
        <is>
          <t>ARVIKA</t>
        </is>
      </c>
      <c r="F1001" t="inlineStr">
        <is>
          <t>Kommuner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58635-2022</t>
        </is>
      </c>
      <c r="B1002" s="1" t="n">
        <v>44902.62333333334</v>
      </c>
      <c r="C1002" s="1" t="n">
        <v>46143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22262-2024</t>
        </is>
      </c>
      <c r="B1003" s="1" t="n">
        <v>45446.49438657407</v>
      </c>
      <c r="C1003" s="1" t="n">
        <v>46143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57485-2025</t>
        </is>
      </c>
      <c r="B1004" s="1" t="n">
        <v>45980.57888888889</v>
      </c>
      <c r="C1004" s="1" t="n">
        <v>46143</v>
      </c>
      <c r="D1004" t="inlineStr">
        <is>
          <t>VÄRMLANDS LÄN</t>
        </is>
      </c>
      <c r="E1004" t="inlineStr">
        <is>
          <t>ARVIKA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8132-2026</t>
        </is>
      </c>
      <c r="B1005" s="1" t="n">
        <v>46064.29854166666</v>
      </c>
      <c r="C1005" s="1" t="n">
        <v>46143</v>
      </c>
      <c r="D1005" t="inlineStr">
        <is>
          <t>VÄRMLANDS LÄN</t>
        </is>
      </c>
      <c r="E1005" t="inlineStr">
        <is>
          <t>ARVIKA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57918-2025</t>
        </is>
      </c>
      <c r="B1006" s="1" t="n">
        <v>45981.80090277778</v>
      </c>
      <c r="C1006" s="1" t="n">
        <v>46143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57952-2025</t>
        </is>
      </c>
      <c r="B1007" s="1" t="n">
        <v>45982</v>
      </c>
      <c r="C1007" s="1" t="n">
        <v>46143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58039-2025</t>
        </is>
      </c>
      <c r="B1008" s="1" t="n">
        <v>45982.49550925926</v>
      </c>
      <c r="C1008" s="1" t="n">
        <v>46143</v>
      </c>
      <c r="D1008" t="inlineStr">
        <is>
          <t>VÄRMLANDS LÄN</t>
        </is>
      </c>
      <c r="E1008" t="inlineStr">
        <is>
          <t>ARVIKA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58135-2025</t>
        </is>
      </c>
      <c r="B1009" s="1" t="n">
        <v>45982.6203125</v>
      </c>
      <c r="C1009" s="1" t="n">
        <v>46143</v>
      </c>
      <c r="D1009" t="inlineStr">
        <is>
          <t>VÄRMLANDS LÄN</t>
        </is>
      </c>
      <c r="E1009" t="inlineStr">
        <is>
          <t>ARVIKA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7198-2024</t>
        </is>
      </c>
      <c r="B1010" s="1" t="n">
        <v>45344.58605324074</v>
      </c>
      <c r="C1010" s="1" t="n">
        <v>46143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26090-2022</t>
        </is>
      </c>
      <c r="B1011" s="1" t="n">
        <v>44734.76909722222</v>
      </c>
      <c r="C1011" s="1" t="n">
        <v>46143</v>
      </c>
      <c r="D1011" t="inlineStr">
        <is>
          <t>VÄRMLANDS LÄN</t>
        </is>
      </c>
      <c r="E1011" t="inlineStr">
        <is>
          <t>ARVIKA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14780-2024</t>
        </is>
      </c>
      <c r="B1012" s="1" t="n">
        <v>45397.74032407408</v>
      </c>
      <c r="C1012" s="1" t="n">
        <v>46143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1411-2025</t>
        </is>
      </c>
      <c r="B1013" s="1" t="n">
        <v>45667</v>
      </c>
      <c r="C1013" s="1" t="n">
        <v>46143</v>
      </c>
      <c r="D1013" t="inlineStr">
        <is>
          <t>VÄRMLANDS LÄN</t>
        </is>
      </c>
      <c r="E1013" t="inlineStr">
        <is>
          <t>ARVIKA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15615-2026</t>
        </is>
      </c>
      <c r="B1014" s="1" t="n">
        <v>46106.60354166666</v>
      </c>
      <c r="C1014" s="1" t="n">
        <v>46143</v>
      </c>
      <c r="D1014" t="inlineStr">
        <is>
          <t>VÄRMLANDS LÄN</t>
        </is>
      </c>
      <c r="E1014" t="inlineStr">
        <is>
          <t>ARVIKA</t>
        </is>
      </c>
      <c r="G1014" t="n">
        <v>9.199999999999999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54652-2024</t>
        </is>
      </c>
      <c r="B1015" s="1" t="n">
        <v>45618</v>
      </c>
      <c r="C1015" s="1" t="n">
        <v>46143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6486-2026</t>
        </is>
      </c>
      <c r="B1016" s="1" t="n">
        <v>46056</v>
      </c>
      <c r="C1016" s="1" t="n">
        <v>46143</v>
      </c>
      <c r="D1016" t="inlineStr">
        <is>
          <t>VÄRMLANDS LÄN</t>
        </is>
      </c>
      <c r="E1016" t="inlineStr">
        <is>
          <t>ARVIKA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8567-2025</t>
        </is>
      </c>
      <c r="B1017" s="1" t="n">
        <v>45709</v>
      </c>
      <c r="C1017" s="1" t="n">
        <v>46143</v>
      </c>
      <c r="D1017" t="inlineStr">
        <is>
          <t>VÄRMLANDS LÄN</t>
        </is>
      </c>
      <c r="E1017" t="inlineStr">
        <is>
          <t>ARVIKA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40033-2023</t>
        </is>
      </c>
      <c r="B1018" s="1" t="n">
        <v>45168</v>
      </c>
      <c r="C1018" s="1" t="n">
        <v>46143</v>
      </c>
      <c r="D1018" t="inlineStr">
        <is>
          <t>VÄRMLANDS LÄN</t>
        </is>
      </c>
      <c r="E1018" t="inlineStr">
        <is>
          <t>ARVIKA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59282-2025</t>
        </is>
      </c>
      <c r="B1019" s="1" t="n">
        <v>45988.726875</v>
      </c>
      <c r="C1019" s="1" t="n">
        <v>46143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47432-2024</t>
        </is>
      </c>
      <c r="B1020" s="1" t="n">
        <v>45587</v>
      </c>
      <c r="C1020" s="1" t="n">
        <v>46143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59195-2025</t>
        </is>
      </c>
      <c r="B1021" s="1" t="n">
        <v>45988.59677083333</v>
      </c>
      <c r="C1021" s="1" t="n">
        <v>46143</v>
      </c>
      <c r="D1021" t="inlineStr">
        <is>
          <t>VÄRMLANDS LÄN</t>
        </is>
      </c>
      <c r="E1021" t="inlineStr">
        <is>
          <t>ARVIKA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3148-2024</t>
        </is>
      </c>
      <c r="B1022" s="1" t="n">
        <v>45316.59310185185</v>
      </c>
      <c r="C1022" s="1" t="n">
        <v>46143</v>
      </c>
      <c r="D1022" t="inlineStr">
        <is>
          <t>VÄRMLANDS LÄN</t>
        </is>
      </c>
      <c r="E1022" t="inlineStr">
        <is>
          <t>ARVIKA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59088-2025</t>
        </is>
      </c>
      <c r="B1023" s="1" t="n">
        <v>45988.44495370371</v>
      </c>
      <c r="C1023" s="1" t="n">
        <v>46143</v>
      </c>
      <c r="D1023" t="inlineStr">
        <is>
          <t>VÄRMLANDS LÄN</t>
        </is>
      </c>
      <c r="E1023" t="inlineStr">
        <is>
          <t>ARVIKA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59287-2025</t>
        </is>
      </c>
      <c r="B1024" s="1" t="n">
        <v>45988.74680555556</v>
      </c>
      <c r="C1024" s="1" t="n">
        <v>46143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414-2024</t>
        </is>
      </c>
      <c r="B1025" s="1" t="n">
        <v>45296.4865625</v>
      </c>
      <c r="C1025" s="1" t="n">
        <v>46143</v>
      </c>
      <c r="D1025" t="inlineStr">
        <is>
          <t>VÄRMLANDS LÄN</t>
        </is>
      </c>
      <c r="E1025" t="inlineStr">
        <is>
          <t>ARVIKA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45971-2024</t>
        </is>
      </c>
      <c r="B1026" s="1" t="n">
        <v>45580</v>
      </c>
      <c r="C1026" s="1" t="n">
        <v>46143</v>
      </c>
      <c r="D1026" t="inlineStr">
        <is>
          <t>VÄRMLANDS LÄN</t>
        </is>
      </c>
      <c r="E1026" t="inlineStr">
        <is>
          <t>ARVIKA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59082-2025</t>
        </is>
      </c>
      <c r="B1027" s="1" t="n">
        <v>45988.43575231481</v>
      </c>
      <c r="C1027" s="1" t="n">
        <v>46143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32856-2023</t>
        </is>
      </c>
      <c r="B1028" s="1" t="n">
        <v>45124</v>
      </c>
      <c r="C1028" s="1" t="n">
        <v>46143</v>
      </c>
      <c r="D1028" t="inlineStr">
        <is>
          <t>VÄRMLANDS LÄN</t>
        </is>
      </c>
      <c r="E1028" t="inlineStr">
        <is>
          <t>ARVIKA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59172-2025</t>
        </is>
      </c>
      <c r="B1029" s="1" t="n">
        <v>45988.56655092593</v>
      </c>
      <c r="C1029" s="1" t="n">
        <v>46143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59166-2025</t>
        </is>
      </c>
      <c r="B1030" s="1" t="n">
        <v>45988.55993055556</v>
      </c>
      <c r="C1030" s="1" t="n">
        <v>46143</v>
      </c>
      <c r="D1030" t="inlineStr">
        <is>
          <t>VÄRMLANDS LÄN</t>
        </is>
      </c>
      <c r="E1030" t="inlineStr">
        <is>
          <t>ARVIKA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58153-2022</t>
        </is>
      </c>
      <c r="B1031" s="1" t="n">
        <v>44900.79802083333</v>
      </c>
      <c r="C1031" s="1" t="n">
        <v>46143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54158-2024</t>
        </is>
      </c>
      <c r="B1032" s="1" t="n">
        <v>45616.61067129629</v>
      </c>
      <c r="C1032" s="1" t="n">
        <v>46143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51608-2021</t>
        </is>
      </c>
      <c r="B1033" s="1" t="n">
        <v>44461</v>
      </c>
      <c r="C1033" s="1" t="n">
        <v>46143</v>
      </c>
      <c r="D1033" t="inlineStr">
        <is>
          <t>VÄRMLANDS LÄN</t>
        </is>
      </c>
      <c r="E1033" t="inlineStr">
        <is>
          <t>ARVIKA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60043-2025</t>
        </is>
      </c>
      <c r="B1034" s="1" t="n">
        <v>45992</v>
      </c>
      <c r="C1034" s="1" t="n">
        <v>46143</v>
      </c>
      <c r="D1034" t="inlineStr">
        <is>
          <t>VÄRMLANDS LÄN</t>
        </is>
      </c>
      <c r="E1034" t="inlineStr">
        <is>
          <t>ARVIKA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60046-2025</t>
        </is>
      </c>
      <c r="B1035" s="1" t="n">
        <v>45992</v>
      </c>
      <c r="C1035" s="1" t="n">
        <v>46143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59943-2025</t>
        </is>
      </c>
      <c r="B1036" s="1" t="n">
        <v>45993.44114583333</v>
      </c>
      <c r="C1036" s="1" t="n">
        <v>46143</v>
      </c>
      <c r="D1036" t="inlineStr">
        <is>
          <t>VÄRMLANDS LÄN</t>
        </is>
      </c>
      <c r="E1036" t="inlineStr">
        <is>
          <t>ARVIKA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33885-2024</t>
        </is>
      </c>
      <c r="B1037" s="1" t="n">
        <v>45523</v>
      </c>
      <c r="C1037" s="1" t="n">
        <v>46143</v>
      </c>
      <c r="D1037" t="inlineStr">
        <is>
          <t>VÄRMLANDS LÄN</t>
        </is>
      </c>
      <c r="E1037" t="inlineStr">
        <is>
          <t>ARVIKA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59102-2025</t>
        </is>
      </c>
      <c r="B1038" s="1" t="n">
        <v>45988</v>
      </c>
      <c r="C1038" s="1" t="n">
        <v>46143</v>
      </c>
      <c r="D1038" t="inlineStr">
        <is>
          <t>VÄRMLANDS LÄN</t>
        </is>
      </c>
      <c r="E1038" t="inlineStr">
        <is>
          <t>ARVIKA</t>
        </is>
      </c>
      <c r="G1038" t="n">
        <v>9.800000000000001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42299-2023</t>
        </is>
      </c>
      <c r="B1039" s="1" t="n">
        <v>45180.44866898148</v>
      </c>
      <c r="C1039" s="1" t="n">
        <v>46143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27153-2024</t>
        </is>
      </c>
      <c r="B1040" s="1" t="n">
        <v>45471</v>
      </c>
      <c r="C1040" s="1" t="n">
        <v>46143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58399-2022</t>
        </is>
      </c>
      <c r="B1041" s="1" t="n">
        <v>44901.6680324074</v>
      </c>
      <c r="C1041" s="1" t="n">
        <v>46143</v>
      </c>
      <c r="D1041" t="inlineStr">
        <is>
          <t>VÄRMLANDS LÄN</t>
        </is>
      </c>
      <c r="E1041" t="inlineStr">
        <is>
          <t>ARVIKA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18082-2024</t>
        </is>
      </c>
      <c r="B1042" s="1" t="n">
        <v>45420.44766203704</v>
      </c>
      <c r="C1042" s="1" t="n">
        <v>46143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14551-2023</t>
        </is>
      </c>
      <c r="B1043" s="1" t="n">
        <v>45013.42649305556</v>
      </c>
      <c r="C1043" s="1" t="n">
        <v>46143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16329-2026</t>
        </is>
      </c>
      <c r="B1044" s="1" t="n">
        <v>46111</v>
      </c>
      <c r="C1044" s="1" t="n">
        <v>46143</v>
      </c>
      <c r="D1044" t="inlineStr">
        <is>
          <t>VÄRMLANDS LÄN</t>
        </is>
      </c>
      <c r="E1044" t="inlineStr">
        <is>
          <t>ARVIKA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8789-2023</t>
        </is>
      </c>
      <c r="B1045" s="1" t="n">
        <v>44978</v>
      </c>
      <c r="C1045" s="1" t="n">
        <v>46143</v>
      </c>
      <c r="D1045" t="inlineStr">
        <is>
          <t>VÄRMLANDS LÄN</t>
        </is>
      </c>
      <c r="E1045" t="inlineStr">
        <is>
          <t>ARVIKA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16214-2026</t>
        </is>
      </c>
      <c r="B1046" s="1" t="n">
        <v>46111.42543981481</v>
      </c>
      <c r="C1046" s="1" t="n">
        <v>46143</v>
      </c>
      <c r="D1046" t="inlineStr">
        <is>
          <t>VÄRMLANDS LÄN</t>
        </is>
      </c>
      <c r="E1046" t="inlineStr">
        <is>
          <t>ARVIKA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60041-2025</t>
        </is>
      </c>
      <c r="B1047" s="1" t="n">
        <v>45992</v>
      </c>
      <c r="C1047" s="1" t="n">
        <v>46143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4993-2024</t>
        </is>
      </c>
      <c r="B1048" s="1" t="n">
        <v>45329</v>
      </c>
      <c r="C1048" s="1" t="n">
        <v>46143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15878-2025</t>
        </is>
      </c>
      <c r="B1049" s="1" t="n">
        <v>45749.38857638889</v>
      </c>
      <c r="C1049" s="1" t="n">
        <v>46143</v>
      </c>
      <c r="D1049" t="inlineStr">
        <is>
          <t>VÄRMLANDS LÄN</t>
        </is>
      </c>
      <c r="E1049" t="inlineStr">
        <is>
          <t>ARVIKA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16223-2026</t>
        </is>
      </c>
      <c r="B1050" s="1" t="n">
        <v>46111</v>
      </c>
      <c r="C1050" s="1" t="n">
        <v>46143</v>
      </c>
      <c r="D1050" t="inlineStr">
        <is>
          <t>VÄRMLANDS LÄN</t>
        </is>
      </c>
      <c r="E1050" t="inlineStr">
        <is>
          <t>ARVIKA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60359-2025</t>
        </is>
      </c>
      <c r="B1051" s="1" t="n">
        <v>45995.32582175926</v>
      </c>
      <c r="C1051" s="1" t="n">
        <v>46143</v>
      </c>
      <c r="D1051" t="inlineStr">
        <is>
          <t>VÄRMLANDS LÄN</t>
        </is>
      </c>
      <c r="E1051" t="inlineStr">
        <is>
          <t>ARVIKA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60541-2025</t>
        </is>
      </c>
      <c r="B1052" s="1" t="n">
        <v>45995.67907407408</v>
      </c>
      <c r="C1052" s="1" t="n">
        <v>46143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59297-2025</t>
        </is>
      </c>
      <c r="B1053" s="1" t="n">
        <v>45988</v>
      </c>
      <c r="C1053" s="1" t="n">
        <v>46143</v>
      </c>
      <c r="D1053" t="inlineStr">
        <is>
          <t>VÄRMLANDS LÄN</t>
        </is>
      </c>
      <c r="E1053" t="inlineStr">
        <is>
          <t>ARVIKA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60826-2024</t>
        </is>
      </c>
      <c r="B1054" s="1" t="n">
        <v>45644</v>
      </c>
      <c r="C1054" s="1" t="n">
        <v>46143</v>
      </c>
      <c r="D1054" t="inlineStr">
        <is>
          <t>VÄRMLANDS LÄN</t>
        </is>
      </c>
      <c r="E1054" t="inlineStr">
        <is>
          <t>ARVIKA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60343-2025</t>
        </is>
      </c>
      <c r="B1055" s="1" t="n">
        <v>45994</v>
      </c>
      <c r="C1055" s="1" t="n">
        <v>46143</v>
      </c>
      <c r="D1055" t="inlineStr">
        <is>
          <t>VÄRMLANDS LÄN</t>
        </is>
      </c>
      <c r="E1055" t="inlineStr">
        <is>
          <t>ARVIKA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7741-2025</t>
        </is>
      </c>
      <c r="B1056" s="1" t="n">
        <v>45706</v>
      </c>
      <c r="C1056" s="1" t="n">
        <v>46143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60627-2025</t>
        </is>
      </c>
      <c r="B1057" s="1" t="n">
        <v>45996.40677083333</v>
      </c>
      <c r="C1057" s="1" t="n">
        <v>46143</v>
      </c>
      <c r="D1057" t="inlineStr">
        <is>
          <t>VÄRMLANDS LÄN</t>
        </is>
      </c>
      <c r="E1057" t="inlineStr">
        <is>
          <t>ARVIKA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4997-2025</t>
        </is>
      </c>
      <c r="B1058" s="1" t="n">
        <v>45691.35917824074</v>
      </c>
      <c r="C1058" s="1" t="n">
        <v>46143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12170-2025</t>
        </is>
      </c>
      <c r="B1059" s="1" t="n">
        <v>45729.43740740741</v>
      </c>
      <c r="C1059" s="1" t="n">
        <v>46143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60739-2025</t>
        </is>
      </c>
      <c r="B1060" s="1" t="n">
        <v>45996.87302083334</v>
      </c>
      <c r="C1060" s="1" t="n">
        <v>46143</v>
      </c>
      <c r="D1060" t="inlineStr">
        <is>
          <t>VÄRMLANDS LÄN</t>
        </is>
      </c>
      <c r="E1060" t="inlineStr">
        <is>
          <t>ARVIKA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17033-2024</t>
        </is>
      </c>
      <c r="B1061" s="1" t="n">
        <v>45412.39658564814</v>
      </c>
      <c r="C1061" s="1" t="n">
        <v>46143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61513-2025</t>
        </is>
      </c>
      <c r="B1062" s="1" t="n">
        <v>46001.68435185185</v>
      </c>
      <c r="C1062" s="1" t="n">
        <v>46143</v>
      </c>
      <c r="D1062" t="inlineStr">
        <is>
          <t>VÄRMLANDS LÄN</t>
        </is>
      </c>
      <c r="E1062" t="inlineStr">
        <is>
          <t>ARVIKA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51729-2024</t>
        </is>
      </c>
      <c r="B1063" s="1" t="n">
        <v>45607</v>
      </c>
      <c r="C1063" s="1" t="n">
        <v>46143</v>
      </c>
      <c r="D1063" t="inlineStr">
        <is>
          <t>VÄRMLANDS LÄN</t>
        </is>
      </c>
      <c r="E1063" t="inlineStr">
        <is>
          <t>ARVIKA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61246-2025</t>
        </is>
      </c>
      <c r="B1064" s="1" t="n">
        <v>46000</v>
      </c>
      <c r="C1064" s="1" t="n">
        <v>46143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48451-2024</t>
        </is>
      </c>
      <c r="B1065" s="1" t="n">
        <v>45590</v>
      </c>
      <c r="C1065" s="1" t="n">
        <v>46143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7792-2025</t>
        </is>
      </c>
      <c r="B1066" s="1" t="n">
        <v>45706.59540509259</v>
      </c>
      <c r="C1066" s="1" t="n">
        <v>46143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5397-2025</t>
        </is>
      </c>
      <c r="B1067" s="1" t="n">
        <v>45692.63806712963</v>
      </c>
      <c r="C1067" s="1" t="n">
        <v>46143</v>
      </c>
      <c r="D1067" t="inlineStr">
        <is>
          <t>VÄRMLANDS LÄN</t>
        </is>
      </c>
      <c r="E1067" t="inlineStr">
        <is>
          <t>ARVIKA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51658-2023</t>
        </is>
      </c>
      <c r="B1068" s="1" t="n">
        <v>45222</v>
      </c>
      <c r="C1068" s="1" t="n">
        <v>46143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29578-2022</t>
        </is>
      </c>
      <c r="B1069" s="1" t="n">
        <v>44754</v>
      </c>
      <c r="C1069" s="1" t="n">
        <v>46143</v>
      </c>
      <c r="D1069" t="inlineStr">
        <is>
          <t>VÄRMLANDS LÄN</t>
        </is>
      </c>
      <c r="E1069" t="inlineStr">
        <is>
          <t>ARVIKA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15917-2023</t>
        </is>
      </c>
      <c r="B1070" s="1" t="n">
        <v>45022.51802083333</v>
      </c>
      <c r="C1070" s="1" t="n">
        <v>46143</v>
      </c>
      <c r="D1070" t="inlineStr">
        <is>
          <t>VÄRMLANDS LÄN</t>
        </is>
      </c>
      <c r="E1070" t="inlineStr">
        <is>
          <t>ARVIKA</t>
        </is>
      </c>
      <c r="G1070" t="n">
        <v>18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17387-2024</t>
        </is>
      </c>
      <c r="B1071" s="1" t="n">
        <v>45414.67236111111</v>
      </c>
      <c r="C1071" s="1" t="n">
        <v>46143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61326-2025</t>
        </is>
      </c>
      <c r="B1072" s="1" t="n">
        <v>46001.29766203704</v>
      </c>
      <c r="C1072" s="1" t="n">
        <v>46143</v>
      </c>
      <c r="D1072" t="inlineStr">
        <is>
          <t>VÄRMLANDS LÄN</t>
        </is>
      </c>
      <c r="E1072" t="inlineStr">
        <is>
          <t>ARVIKA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37652-2023</t>
        </is>
      </c>
      <c r="B1073" s="1" t="n">
        <v>45159</v>
      </c>
      <c r="C1073" s="1" t="n">
        <v>46143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9057-2025</t>
        </is>
      </c>
      <c r="B1074" s="1" t="n">
        <v>45713</v>
      </c>
      <c r="C1074" s="1" t="n">
        <v>46143</v>
      </c>
      <c r="D1074" t="inlineStr">
        <is>
          <t>VÄRMLANDS LÄN</t>
        </is>
      </c>
      <c r="E1074" t="inlineStr">
        <is>
          <t>ARVIKA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9059-2025</t>
        </is>
      </c>
      <c r="B1075" s="1" t="n">
        <v>45713</v>
      </c>
      <c r="C1075" s="1" t="n">
        <v>46143</v>
      </c>
      <c r="D1075" t="inlineStr">
        <is>
          <t>VÄRMLANDS LÄN</t>
        </is>
      </c>
      <c r="E1075" t="inlineStr">
        <is>
          <t>ARVIKA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21381-2021</t>
        </is>
      </c>
      <c r="B1076" s="1" t="n">
        <v>44320</v>
      </c>
      <c r="C1076" s="1" t="n">
        <v>46143</v>
      </c>
      <c r="D1076" t="inlineStr">
        <is>
          <t>VÄRMLANDS LÄN</t>
        </is>
      </c>
      <c r="E1076" t="inlineStr">
        <is>
          <t>ARVIKA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36469-2025</t>
        </is>
      </c>
      <c r="B1077" s="1" t="n">
        <v>45869.47287037037</v>
      </c>
      <c r="C1077" s="1" t="n">
        <v>46143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17123-2025</t>
        </is>
      </c>
      <c r="B1078" s="1" t="n">
        <v>45755.69649305556</v>
      </c>
      <c r="C1078" s="1" t="n">
        <v>46143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62030-2025</t>
        </is>
      </c>
      <c r="B1079" s="1" t="n">
        <v>46003</v>
      </c>
      <c r="C1079" s="1" t="n">
        <v>46143</v>
      </c>
      <c r="D1079" t="inlineStr">
        <is>
          <t>VÄRMLANDS LÄN</t>
        </is>
      </c>
      <c r="E1079" t="inlineStr">
        <is>
          <t>ARVIKA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49913-2024</t>
        </is>
      </c>
      <c r="B1080" s="1" t="n">
        <v>45597</v>
      </c>
      <c r="C1080" s="1" t="n">
        <v>46143</v>
      </c>
      <c r="D1080" t="inlineStr">
        <is>
          <t>VÄRMLANDS LÄN</t>
        </is>
      </c>
      <c r="E1080" t="inlineStr">
        <is>
          <t>ARVIKA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51602-2025</t>
        </is>
      </c>
      <c r="B1081" s="1" t="n">
        <v>45951.37796296296</v>
      </c>
      <c r="C1081" s="1" t="n">
        <v>46143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63128-2023</t>
        </is>
      </c>
      <c r="B1082" s="1" t="n">
        <v>45273</v>
      </c>
      <c r="C1082" s="1" t="n">
        <v>46143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62348-2025</t>
        </is>
      </c>
      <c r="B1083" s="1" t="n">
        <v>46006</v>
      </c>
      <c r="C1083" s="1" t="n">
        <v>46143</v>
      </c>
      <c r="D1083" t="inlineStr">
        <is>
          <t>VÄRMLANDS LÄN</t>
        </is>
      </c>
      <c r="E1083" t="inlineStr">
        <is>
          <t>ARVIKA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62385-2025</t>
        </is>
      </c>
      <c r="B1084" s="1" t="n">
        <v>46007.3786574074</v>
      </c>
      <c r="C1084" s="1" t="n">
        <v>46143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62051-2025</t>
        </is>
      </c>
      <c r="B1085" s="1" t="n">
        <v>46006.32009259259</v>
      </c>
      <c r="C1085" s="1" t="n">
        <v>46143</v>
      </c>
      <c r="D1085" t="inlineStr">
        <is>
          <t>VÄRMLANDS LÄN</t>
        </is>
      </c>
      <c r="E1085" t="inlineStr">
        <is>
          <t>ARVIKA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4299-2022</t>
        </is>
      </c>
      <c r="B1086" s="1" t="n">
        <v>44588.76162037037</v>
      </c>
      <c r="C1086" s="1" t="n">
        <v>46143</v>
      </c>
      <c r="D1086" t="inlineStr">
        <is>
          <t>VÄRMLANDS LÄN</t>
        </is>
      </c>
      <c r="E1086" t="inlineStr">
        <is>
          <t>ARVIKA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42064-2021</t>
        </is>
      </c>
      <c r="B1087" s="1" t="n">
        <v>44426</v>
      </c>
      <c r="C1087" s="1" t="n">
        <v>46143</v>
      </c>
      <c r="D1087" t="inlineStr">
        <is>
          <t>VÄRMLANDS LÄN</t>
        </is>
      </c>
      <c r="E1087" t="inlineStr">
        <is>
          <t>ARVIKA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16734-2026</t>
        </is>
      </c>
      <c r="B1088" s="1" t="n">
        <v>46113</v>
      </c>
      <c r="C1088" s="1" t="n">
        <v>46143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46379-2023</t>
        </is>
      </c>
      <c r="B1089" s="1" t="n">
        <v>45197</v>
      </c>
      <c r="C1089" s="1" t="n">
        <v>46143</v>
      </c>
      <c r="D1089" t="inlineStr">
        <is>
          <t>VÄRMLANDS LÄN</t>
        </is>
      </c>
      <c r="E1089" t="inlineStr">
        <is>
          <t>ARVIKA</t>
        </is>
      </c>
      <c r="F1089" t="inlineStr">
        <is>
          <t>Kyrkan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25931-2023</t>
        </is>
      </c>
      <c r="B1090" s="1" t="n">
        <v>45090.67958333333</v>
      </c>
      <c r="C1090" s="1" t="n">
        <v>46143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74129-2021</t>
        </is>
      </c>
      <c r="B1091" s="1" t="n">
        <v>44557</v>
      </c>
      <c r="C1091" s="1" t="n">
        <v>46143</v>
      </c>
      <c r="D1091" t="inlineStr">
        <is>
          <t>VÄRMLANDS LÄN</t>
        </is>
      </c>
      <c r="E1091" t="inlineStr">
        <is>
          <t>ARVIKA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44859-2025</t>
        </is>
      </c>
      <c r="B1092" s="1" t="n">
        <v>45918</v>
      </c>
      <c r="C1092" s="1" t="n">
        <v>46143</v>
      </c>
      <c r="D1092" t="inlineStr">
        <is>
          <t>VÄRMLANDS LÄN</t>
        </is>
      </c>
      <c r="E1092" t="inlineStr">
        <is>
          <t>ARVIKA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44867-2025</t>
        </is>
      </c>
      <c r="B1093" s="1" t="n">
        <v>45918</v>
      </c>
      <c r="C1093" s="1" t="n">
        <v>46143</v>
      </c>
      <c r="D1093" t="inlineStr">
        <is>
          <t>VÄRMLANDS LÄN</t>
        </is>
      </c>
      <c r="E1093" t="inlineStr">
        <is>
          <t>ARVIKA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9957-2026</t>
        </is>
      </c>
      <c r="B1094" s="1" t="n">
        <v>46073.48476851852</v>
      </c>
      <c r="C1094" s="1" t="n">
        <v>46143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63202-2025</t>
        </is>
      </c>
      <c r="B1095" s="1" t="n">
        <v>46009</v>
      </c>
      <c r="C1095" s="1" t="n">
        <v>46143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43978-2024</t>
        </is>
      </c>
      <c r="B1096" s="1" t="n">
        <v>45572</v>
      </c>
      <c r="C1096" s="1" t="n">
        <v>46143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23358-2023</t>
        </is>
      </c>
      <c r="B1097" s="1" t="n">
        <v>45076</v>
      </c>
      <c r="C1097" s="1" t="n">
        <v>46143</v>
      </c>
      <c r="D1097" t="inlineStr">
        <is>
          <t>VÄRMLANDS LÄN</t>
        </is>
      </c>
      <c r="E1097" t="inlineStr">
        <is>
          <t>ARVIKA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51300-2024</t>
        </is>
      </c>
      <c r="B1098" s="1" t="n">
        <v>45604</v>
      </c>
      <c r="C1098" s="1" t="n">
        <v>46143</v>
      </c>
      <c r="D1098" t="inlineStr">
        <is>
          <t>VÄRMLANDS LÄN</t>
        </is>
      </c>
      <c r="E1098" t="inlineStr">
        <is>
          <t>ARVIKA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17088-2026</t>
        </is>
      </c>
      <c r="B1099" s="1" t="n">
        <v>46114.57555555556</v>
      </c>
      <c r="C1099" s="1" t="n">
        <v>46143</v>
      </c>
      <c r="D1099" t="inlineStr">
        <is>
          <t>VÄRMLANDS LÄN</t>
        </is>
      </c>
      <c r="E1099" t="inlineStr">
        <is>
          <t>ARVIKA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9743-2026</t>
        </is>
      </c>
      <c r="B1100" s="1" t="n">
        <v>46072.51854166666</v>
      </c>
      <c r="C1100" s="1" t="n">
        <v>46143</v>
      </c>
      <c r="D1100" t="inlineStr">
        <is>
          <t>VÄRMLANDS LÄN</t>
        </is>
      </c>
      <c r="E1100" t="inlineStr">
        <is>
          <t>ARVIKA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63506-2025</t>
        </is>
      </c>
      <c r="B1101" s="1" t="n">
        <v>46013.49039351852</v>
      </c>
      <c r="C1101" s="1" t="n">
        <v>46143</v>
      </c>
      <c r="D1101" t="inlineStr">
        <is>
          <t>VÄRMLANDS LÄN</t>
        </is>
      </c>
      <c r="E1101" t="inlineStr">
        <is>
          <t>ARVIKA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63123-2025</t>
        </is>
      </c>
      <c r="B1102" s="1" t="n">
        <v>46009.88842592593</v>
      </c>
      <c r="C1102" s="1" t="n">
        <v>46143</v>
      </c>
      <c r="D1102" t="inlineStr">
        <is>
          <t>VÄRMLANDS LÄN</t>
        </is>
      </c>
      <c r="E1102" t="inlineStr">
        <is>
          <t>ARVIKA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9602-2026</t>
        </is>
      </c>
      <c r="B1103" s="1" t="n">
        <v>46071.91267361111</v>
      </c>
      <c r="C1103" s="1" t="n">
        <v>46143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32280-2023</t>
        </is>
      </c>
      <c r="B1104" s="1" t="n">
        <v>45120.36809027778</v>
      </c>
      <c r="C1104" s="1" t="n">
        <v>46143</v>
      </c>
      <c r="D1104" t="inlineStr">
        <is>
          <t>VÄRMLANDS LÄN</t>
        </is>
      </c>
      <c r="E1104" t="inlineStr">
        <is>
          <t>ARVIKA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63409-2025</t>
        </is>
      </c>
      <c r="B1105" s="1" t="n">
        <v>46012.86429398148</v>
      </c>
      <c r="C1105" s="1" t="n">
        <v>46143</v>
      </c>
      <c r="D1105" t="inlineStr">
        <is>
          <t>VÄRMLANDS LÄN</t>
        </is>
      </c>
      <c r="E1105" t="inlineStr">
        <is>
          <t>ARVIKA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63496-2025</t>
        </is>
      </c>
      <c r="B1106" s="1" t="n">
        <v>46013.48351851852</v>
      </c>
      <c r="C1106" s="1" t="n">
        <v>46143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69354-2021</t>
        </is>
      </c>
      <c r="B1107" s="1" t="n">
        <v>44531</v>
      </c>
      <c r="C1107" s="1" t="n">
        <v>46143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63124-2025</t>
        </is>
      </c>
      <c r="B1108" s="1" t="n">
        <v>46009.89548611111</v>
      </c>
      <c r="C1108" s="1" t="n">
        <v>46143</v>
      </c>
      <c r="D1108" t="inlineStr">
        <is>
          <t>VÄRMLANDS LÄN</t>
        </is>
      </c>
      <c r="E1108" t="inlineStr">
        <is>
          <t>ARVIKA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6237-2025</t>
        </is>
      </c>
      <c r="B1109" s="1" t="n">
        <v>45698</v>
      </c>
      <c r="C1109" s="1" t="n">
        <v>46143</v>
      </c>
      <c r="D1109" t="inlineStr">
        <is>
          <t>VÄRMLANDS LÄN</t>
        </is>
      </c>
      <c r="E1109" t="inlineStr">
        <is>
          <t>ARVIKA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29067-2022</t>
        </is>
      </c>
      <c r="B1110" s="1" t="n">
        <v>44750</v>
      </c>
      <c r="C1110" s="1" t="n">
        <v>46143</v>
      </c>
      <c r="D1110" t="inlineStr">
        <is>
          <t>VÄRMLANDS LÄN</t>
        </is>
      </c>
      <c r="E1110" t="inlineStr">
        <is>
          <t>ARVIKA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10061-2026</t>
        </is>
      </c>
      <c r="B1111" s="1" t="n">
        <v>46073</v>
      </c>
      <c r="C1111" s="1" t="n">
        <v>46143</v>
      </c>
      <c r="D1111" t="inlineStr">
        <is>
          <t>VÄRMLANDS LÄN</t>
        </is>
      </c>
      <c r="E1111" t="inlineStr">
        <is>
          <t>ARVIKA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9708-2026</t>
        </is>
      </c>
      <c r="B1112" s="1" t="n">
        <v>46072.43199074074</v>
      </c>
      <c r="C1112" s="1" t="n">
        <v>46143</v>
      </c>
      <c r="D1112" t="inlineStr">
        <is>
          <t>VÄRMLANDS LÄN</t>
        </is>
      </c>
      <c r="E1112" t="inlineStr">
        <is>
          <t>ARVIKA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9789-2026</t>
        </is>
      </c>
      <c r="B1113" s="1" t="n">
        <v>46071</v>
      </c>
      <c r="C1113" s="1" t="n">
        <v>46143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209-2023</t>
        </is>
      </c>
      <c r="B1114" s="1" t="n">
        <v>44928.61258101852</v>
      </c>
      <c r="C1114" s="1" t="n">
        <v>46143</v>
      </c>
      <c r="D1114" t="inlineStr">
        <is>
          <t>VÄRMLANDS LÄN</t>
        </is>
      </c>
      <c r="E1114" t="inlineStr">
        <is>
          <t>ARVIKA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10050-2026</t>
        </is>
      </c>
      <c r="B1115" s="1" t="n">
        <v>46073.61179398148</v>
      </c>
      <c r="C1115" s="1" t="n">
        <v>46143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3636-2023</t>
        </is>
      </c>
      <c r="B1116" s="1" t="n">
        <v>44950</v>
      </c>
      <c r="C1116" s="1" t="n">
        <v>46143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63721-2025</t>
        </is>
      </c>
      <c r="B1117" s="1" t="n">
        <v>46014.71667824074</v>
      </c>
      <c r="C1117" s="1" t="n">
        <v>46143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14123-2025</t>
        </is>
      </c>
      <c r="B1118" s="1" t="n">
        <v>45740</v>
      </c>
      <c r="C1118" s="1" t="n">
        <v>46143</v>
      </c>
      <c r="D1118" t="inlineStr">
        <is>
          <t>VÄRMLANDS LÄN</t>
        </is>
      </c>
      <c r="E1118" t="inlineStr">
        <is>
          <t>ARVIKA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17085-2026</t>
        </is>
      </c>
      <c r="B1119" s="1" t="n">
        <v>46114.57180555556</v>
      </c>
      <c r="C1119" s="1" t="n">
        <v>46143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20106-2022</t>
        </is>
      </c>
      <c r="B1120" s="1" t="n">
        <v>44697</v>
      </c>
      <c r="C1120" s="1" t="n">
        <v>46143</v>
      </c>
      <c r="D1120" t="inlineStr">
        <is>
          <t>VÄRMLANDS LÄN</t>
        </is>
      </c>
      <c r="E1120" t="inlineStr">
        <is>
          <t>ARVIKA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9855-2026</t>
        </is>
      </c>
      <c r="B1121" s="1" t="n">
        <v>46072.83623842592</v>
      </c>
      <c r="C1121" s="1" t="n">
        <v>46143</v>
      </c>
      <c r="D1121" t="inlineStr">
        <is>
          <t>VÄRMLANDS LÄN</t>
        </is>
      </c>
      <c r="E1121" t="inlineStr">
        <is>
          <t>ARVIKA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9721-2025</t>
        </is>
      </c>
      <c r="B1122" s="1" t="n">
        <v>45716.40907407407</v>
      </c>
      <c r="C1122" s="1" t="n">
        <v>46143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10098-2026</t>
        </is>
      </c>
      <c r="B1123" s="1" t="n">
        <v>46073.83366898148</v>
      </c>
      <c r="C1123" s="1" t="n">
        <v>46143</v>
      </c>
      <c r="D1123" t="inlineStr">
        <is>
          <t>VÄRMLANDS LÄN</t>
        </is>
      </c>
      <c r="E1123" t="inlineStr">
        <is>
          <t>ARVIKA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10102-2026</t>
        </is>
      </c>
      <c r="B1124" s="1" t="n">
        <v>46073.86908564815</v>
      </c>
      <c r="C1124" s="1" t="n">
        <v>46143</v>
      </c>
      <c r="D1124" t="inlineStr">
        <is>
          <t>VÄRMLANDS LÄN</t>
        </is>
      </c>
      <c r="E1124" t="inlineStr">
        <is>
          <t>ARVIKA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10103-2026</t>
        </is>
      </c>
      <c r="B1125" s="1" t="n">
        <v>46073.87657407407</v>
      </c>
      <c r="C1125" s="1" t="n">
        <v>46143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10105-2026</t>
        </is>
      </c>
      <c r="B1126" s="1" t="n">
        <v>46073.88944444444</v>
      </c>
      <c r="C1126" s="1" t="n">
        <v>46143</v>
      </c>
      <c r="D1126" t="inlineStr">
        <is>
          <t>VÄRMLANDS LÄN</t>
        </is>
      </c>
      <c r="E1126" t="inlineStr">
        <is>
          <t>ARVIKA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1309-2025</t>
        </is>
      </c>
      <c r="B1127" s="1" t="n">
        <v>45667</v>
      </c>
      <c r="C1127" s="1" t="n">
        <v>46143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13188-2023</t>
        </is>
      </c>
      <c r="B1128" s="1" t="n">
        <v>45002</v>
      </c>
      <c r="C1128" s="1" t="n">
        <v>46143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26175-2024</t>
        </is>
      </c>
      <c r="B1129" s="1" t="n">
        <v>45468</v>
      </c>
      <c r="C1129" s="1" t="n">
        <v>46143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41311-2021</t>
        </is>
      </c>
      <c r="B1130" s="1" t="n">
        <v>44424</v>
      </c>
      <c r="C1130" s="1" t="n">
        <v>46143</v>
      </c>
      <c r="D1130" t="inlineStr">
        <is>
          <t>VÄRMLANDS LÄN</t>
        </is>
      </c>
      <c r="E1130" t="inlineStr">
        <is>
          <t>ARVIKA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10104-2026</t>
        </is>
      </c>
      <c r="B1131" s="1" t="n">
        <v>46073.8792824074</v>
      </c>
      <c r="C1131" s="1" t="n">
        <v>46143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10603-2026</t>
        </is>
      </c>
      <c r="B1132" s="1" t="n">
        <v>46077</v>
      </c>
      <c r="C1132" s="1" t="n">
        <v>46143</v>
      </c>
      <c r="D1132" t="inlineStr">
        <is>
          <t>VÄRMLANDS LÄN</t>
        </is>
      </c>
      <c r="E1132" t="inlineStr">
        <is>
          <t>ARVIKA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16338-2025</t>
        </is>
      </c>
      <c r="B1133" s="1" t="n">
        <v>45751.36587962963</v>
      </c>
      <c r="C1133" s="1" t="n">
        <v>46143</v>
      </c>
      <c r="D1133" t="inlineStr">
        <is>
          <t>VÄRMLANDS LÄN</t>
        </is>
      </c>
      <c r="E1133" t="inlineStr">
        <is>
          <t>ARVIKA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16496-2023</t>
        </is>
      </c>
      <c r="B1134" s="1" t="n">
        <v>45029</v>
      </c>
      <c r="C1134" s="1" t="n">
        <v>46143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10709-2026</t>
        </is>
      </c>
      <c r="B1135" s="1" t="n">
        <v>46078.44939814815</v>
      </c>
      <c r="C1135" s="1" t="n">
        <v>46143</v>
      </c>
      <c r="D1135" t="inlineStr">
        <is>
          <t>VÄRMLANDS LÄN</t>
        </is>
      </c>
      <c r="E1135" t="inlineStr">
        <is>
          <t>ARVIKA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17708-2026</t>
        </is>
      </c>
      <c r="B1136" s="1" t="n">
        <v>46121.68533564815</v>
      </c>
      <c r="C1136" s="1" t="n">
        <v>46143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11152-2026</t>
        </is>
      </c>
      <c r="B1137" s="1" t="n">
        <v>46080</v>
      </c>
      <c r="C1137" s="1" t="n">
        <v>46143</v>
      </c>
      <c r="D1137" t="inlineStr">
        <is>
          <t>VÄRMLANDS LÄN</t>
        </is>
      </c>
      <c r="E1137" t="inlineStr">
        <is>
          <t>ARVIKA</t>
        </is>
      </c>
      <c r="F1137" t="inlineStr">
        <is>
          <t>Kommuner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17703-2026</t>
        </is>
      </c>
      <c r="B1138" s="1" t="n">
        <v>46121.67346064815</v>
      </c>
      <c r="C1138" s="1" t="n">
        <v>46143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17540-2026</t>
        </is>
      </c>
      <c r="B1139" s="1" t="n">
        <v>46120</v>
      </c>
      <c r="C1139" s="1" t="n">
        <v>46143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11190-2026</t>
        </is>
      </c>
      <c r="B1140" s="1" t="n">
        <v>46080.41533564815</v>
      </c>
      <c r="C1140" s="1" t="n">
        <v>46143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17541-2026</t>
        </is>
      </c>
      <c r="B1141" s="1" t="n">
        <v>46120</v>
      </c>
      <c r="C1141" s="1" t="n">
        <v>46143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11696-2026</t>
        </is>
      </c>
      <c r="B1142" s="1" t="n">
        <v>46084.60459490741</v>
      </c>
      <c r="C1142" s="1" t="n">
        <v>46143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18368-2026</t>
        </is>
      </c>
      <c r="B1143" s="1" t="n">
        <v>46126.6128125</v>
      </c>
      <c r="C1143" s="1" t="n">
        <v>46143</v>
      </c>
      <c r="D1143" t="inlineStr">
        <is>
          <t>VÄRMLANDS LÄN</t>
        </is>
      </c>
      <c r="E1143" t="inlineStr">
        <is>
          <t>ARVIKA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11377-2026</t>
        </is>
      </c>
      <c r="B1144" s="1" t="n">
        <v>46083.39732638889</v>
      </c>
      <c r="C1144" s="1" t="n">
        <v>46143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18146-2026</t>
        </is>
      </c>
      <c r="B1145" s="1" t="n">
        <v>46125.61635416667</v>
      </c>
      <c r="C1145" s="1" t="n">
        <v>46143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41235-2024</t>
        </is>
      </c>
      <c r="B1146" s="1" t="n">
        <v>45559.5674074074</v>
      </c>
      <c r="C1146" s="1" t="n">
        <v>46143</v>
      </c>
      <c r="D1146" t="inlineStr">
        <is>
          <t>VÄRMLANDS LÄN</t>
        </is>
      </c>
      <c r="E1146" t="inlineStr">
        <is>
          <t>ARVIKA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50387-2021</t>
        </is>
      </c>
      <c r="B1147" s="1" t="n">
        <v>44459</v>
      </c>
      <c r="C1147" s="1" t="n">
        <v>46143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11435-2026</t>
        </is>
      </c>
      <c r="B1148" s="1" t="n">
        <v>46083.49862268518</v>
      </c>
      <c r="C1148" s="1" t="n">
        <v>46143</v>
      </c>
      <c r="D1148" t="inlineStr">
        <is>
          <t>VÄRMLANDS LÄN</t>
        </is>
      </c>
      <c r="E1148" t="inlineStr">
        <is>
          <t>ARVIKA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21188-2023</t>
        </is>
      </c>
      <c r="B1149" s="1" t="n">
        <v>45057</v>
      </c>
      <c r="C1149" s="1" t="n">
        <v>46143</v>
      </c>
      <c r="D1149" t="inlineStr">
        <is>
          <t>VÄRMLANDS LÄN</t>
        </is>
      </c>
      <c r="E1149" t="inlineStr">
        <is>
          <t>ARVIKA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18059-2026</t>
        </is>
      </c>
      <c r="B1150" s="1" t="n">
        <v>46125.45521990741</v>
      </c>
      <c r="C1150" s="1" t="n">
        <v>46143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48449-2024</t>
        </is>
      </c>
      <c r="B1151" s="1" t="n">
        <v>45590</v>
      </c>
      <c r="C1151" s="1" t="n">
        <v>46143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18011-2026</t>
        </is>
      </c>
      <c r="B1152" s="1" t="n">
        <v>46123</v>
      </c>
      <c r="C1152" s="1" t="n">
        <v>46143</v>
      </c>
      <c r="D1152" t="inlineStr">
        <is>
          <t>VÄRMLANDS LÄN</t>
        </is>
      </c>
      <c r="E1152" t="inlineStr">
        <is>
          <t>ARVIKA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18019-2026</t>
        </is>
      </c>
      <c r="B1153" s="1" t="n">
        <v>46125.35373842593</v>
      </c>
      <c r="C1153" s="1" t="n">
        <v>46143</v>
      </c>
      <c r="D1153" t="inlineStr">
        <is>
          <t>VÄRMLANDS LÄN</t>
        </is>
      </c>
      <c r="E1153" t="inlineStr">
        <is>
          <t>ARVIKA</t>
        </is>
      </c>
      <c r="F1153" t="inlineStr">
        <is>
          <t>Kyrkan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11539-2026</t>
        </is>
      </c>
      <c r="B1154" s="1" t="n">
        <v>46083.84451388889</v>
      </c>
      <c r="C1154" s="1" t="n">
        <v>46143</v>
      </c>
      <c r="D1154" t="inlineStr">
        <is>
          <t>VÄRMLANDS LÄN</t>
        </is>
      </c>
      <c r="E1154" t="inlineStr">
        <is>
          <t>ARVIKA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14467-2023</t>
        </is>
      </c>
      <c r="B1155" s="1" t="n">
        <v>45012</v>
      </c>
      <c r="C1155" s="1" t="n">
        <v>46143</v>
      </c>
      <c r="D1155" t="inlineStr">
        <is>
          <t>VÄRMLANDS LÄN</t>
        </is>
      </c>
      <c r="E1155" t="inlineStr">
        <is>
          <t>ARVIKA</t>
        </is>
      </c>
      <c r="G1155" t="n">
        <v>7.4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11091-2023</t>
        </is>
      </c>
      <c r="B1156" s="1" t="n">
        <v>44992</v>
      </c>
      <c r="C1156" s="1" t="n">
        <v>46143</v>
      </c>
      <c r="D1156" t="inlineStr">
        <is>
          <t>VÄRMLANDS LÄN</t>
        </is>
      </c>
      <c r="E1156" t="inlineStr">
        <is>
          <t>ARVIKA</t>
        </is>
      </c>
      <c r="G1156" t="n">
        <v>9.800000000000001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18062-2026</t>
        </is>
      </c>
      <c r="B1157" s="1" t="n">
        <v>46125.46135416667</v>
      </c>
      <c r="C1157" s="1" t="n">
        <v>46143</v>
      </c>
      <c r="D1157" t="inlineStr">
        <is>
          <t>VÄRMLANDS LÄN</t>
        </is>
      </c>
      <c r="E1157" t="inlineStr">
        <is>
          <t>ARVIKA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17122-2025</t>
        </is>
      </c>
      <c r="B1158" s="1" t="n">
        <v>45755.69629629629</v>
      </c>
      <c r="C1158" s="1" t="n">
        <v>46143</v>
      </c>
      <c r="D1158" t="inlineStr">
        <is>
          <t>VÄRMLANDS LÄN</t>
        </is>
      </c>
      <c r="E1158" t="inlineStr">
        <is>
          <t>ARVIKA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20349-2025</t>
        </is>
      </c>
      <c r="B1159" s="1" t="n">
        <v>45775</v>
      </c>
      <c r="C1159" s="1" t="n">
        <v>46143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18344-2024</t>
        </is>
      </c>
      <c r="B1160" s="1" t="n">
        <v>45422.60321759259</v>
      </c>
      <c r="C1160" s="1" t="n">
        <v>46143</v>
      </c>
      <c r="D1160" t="inlineStr">
        <is>
          <t>VÄRMLANDS LÄN</t>
        </is>
      </c>
      <c r="E1160" t="inlineStr">
        <is>
          <t>ARVIKA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48858-2024</t>
        </is>
      </c>
      <c r="B1161" s="1" t="n">
        <v>45593</v>
      </c>
      <c r="C1161" s="1" t="n">
        <v>46143</v>
      </c>
      <c r="D1161" t="inlineStr">
        <is>
          <t>VÄRMLANDS LÄN</t>
        </is>
      </c>
      <c r="E1161" t="inlineStr">
        <is>
          <t>ARVIKA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18501-2026</t>
        </is>
      </c>
      <c r="B1162" s="1" t="n">
        <v>46127.47298611111</v>
      </c>
      <c r="C1162" s="1" t="n">
        <v>46143</v>
      </c>
      <c r="D1162" t="inlineStr">
        <is>
          <t>VÄRMLANDS LÄN</t>
        </is>
      </c>
      <c r="E1162" t="inlineStr">
        <is>
          <t>ARVIKA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18550-2026</t>
        </is>
      </c>
      <c r="B1163" s="1" t="n">
        <v>46127.57017361111</v>
      </c>
      <c r="C1163" s="1" t="n">
        <v>46143</v>
      </c>
      <c r="D1163" t="inlineStr">
        <is>
          <t>VÄRMLANDS LÄN</t>
        </is>
      </c>
      <c r="E1163" t="inlineStr">
        <is>
          <t>ARVIKA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50291-2024</t>
        </is>
      </c>
      <c r="B1164" s="1" t="n">
        <v>45600.62076388889</v>
      </c>
      <c r="C1164" s="1" t="n">
        <v>46143</v>
      </c>
      <c r="D1164" t="inlineStr">
        <is>
          <t>VÄRMLANDS LÄN</t>
        </is>
      </c>
      <c r="E1164" t="inlineStr">
        <is>
          <t>ARVIKA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12519-2026</t>
        </is>
      </c>
      <c r="B1165" s="1" t="n">
        <v>46090.59322916667</v>
      </c>
      <c r="C1165" s="1" t="n">
        <v>46143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16151-2025</t>
        </is>
      </c>
      <c r="B1166" s="1" t="n">
        <v>45750</v>
      </c>
      <c r="C1166" s="1" t="n">
        <v>46143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53084-2024</t>
        </is>
      </c>
      <c r="B1167" s="1" t="n">
        <v>45611.50719907408</v>
      </c>
      <c r="C1167" s="1" t="n">
        <v>46143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12544-2026</t>
        </is>
      </c>
      <c r="B1168" s="1" t="n">
        <v>46090.6278125</v>
      </c>
      <c r="C1168" s="1" t="n">
        <v>46143</v>
      </c>
      <c r="D1168" t="inlineStr">
        <is>
          <t>VÄRMLANDS LÄN</t>
        </is>
      </c>
      <c r="E1168" t="inlineStr">
        <is>
          <t>ARVIKA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50789-2024</t>
        </is>
      </c>
      <c r="B1169" s="1" t="n">
        <v>45602</v>
      </c>
      <c r="C1169" s="1" t="n">
        <v>46143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50847-2024</t>
        </is>
      </c>
      <c r="B1170" s="1" t="n">
        <v>45602</v>
      </c>
      <c r="C1170" s="1" t="n">
        <v>46143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2564-2025</t>
        </is>
      </c>
      <c r="B1171" s="1" t="n">
        <v>45674.65866898148</v>
      </c>
      <c r="C1171" s="1" t="n">
        <v>46143</v>
      </c>
      <c r="D1171" t="inlineStr">
        <is>
          <t>VÄRMLANDS LÄN</t>
        </is>
      </c>
      <c r="E1171" t="inlineStr">
        <is>
          <t>ARVIKA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42050-2024</t>
        </is>
      </c>
      <c r="B1172" s="1" t="n">
        <v>45561</v>
      </c>
      <c r="C1172" s="1" t="n">
        <v>46143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245-2023</t>
        </is>
      </c>
      <c r="B1173" s="1" t="n">
        <v>44922</v>
      </c>
      <c r="C1173" s="1" t="n">
        <v>46143</v>
      </c>
      <c r="D1173" t="inlineStr">
        <is>
          <t>VÄRMLANDS LÄN</t>
        </is>
      </c>
      <c r="E1173" t="inlineStr">
        <is>
          <t>ARVIKA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2157-2023</t>
        </is>
      </c>
      <c r="B1174" s="1" t="n">
        <v>44941.60394675926</v>
      </c>
      <c r="C1174" s="1" t="n">
        <v>46143</v>
      </c>
      <c r="D1174" t="inlineStr">
        <is>
          <t>VÄRMLANDS LÄN</t>
        </is>
      </c>
      <c r="E1174" t="inlineStr">
        <is>
          <t>ARVIKA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19425-2024</t>
        </is>
      </c>
      <c r="B1175" s="1" t="n">
        <v>45429.43708333333</v>
      </c>
      <c r="C1175" s="1" t="n">
        <v>46143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19254-2026</t>
        </is>
      </c>
      <c r="B1176" s="1" t="n">
        <v>46132.68490740741</v>
      </c>
      <c r="C1176" s="1" t="n">
        <v>46143</v>
      </c>
      <c r="D1176" t="inlineStr">
        <is>
          <t>VÄRMLANDS LÄN</t>
        </is>
      </c>
      <c r="E1176" t="inlineStr">
        <is>
          <t>ARVIKA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32176-2022</t>
        </is>
      </c>
      <c r="B1177" s="1" t="n">
        <v>44780</v>
      </c>
      <c r="C1177" s="1" t="n">
        <v>46143</v>
      </c>
      <c r="D1177" t="inlineStr">
        <is>
          <t>VÄRMLANDS LÄN</t>
        </is>
      </c>
      <c r="E1177" t="inlineStr">
        <is>
          <t>ARVIKA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12331-2026</t>
        </is>
      </c>
      <c r="B1178" s="1" t="n">
        <v>46087.62796296296</v>
      </c>
      <c r="C1178" s="1" t="n">
        <v>46143</v>
      </c>
      <c r="D1178" t="inlineStr">
        <is>
          <t>VÄRMLANDS LÄN</t>
        </is>
      </c>
      <c r="E1178" t="inlineStr">
        <is>
          <t>ARVIKA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23089-2024</t>
        </is>
      </c>
      <c r="B1179" s="1" t="n">
        <v>45450</v>
      </c>
      <c r="C1179" s="1" t="n">
        <v>46143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HYPERLINK("https://klasma.github.io/Logging_1784/knärot/A 23089-2024 karta knärot.png", "A 23089-2024")</f>
        <v/>
      </c>
      <c r="V1179">
        <f>HYPERLINK("https://klasma.github.io/Logging_1784/klagomål/A 23089-2024 FSC-klagomål.docx", "A 23089-2024")</f>
        <v/>
      </c>
      <c r="W1179">
        <f>HYPERLINK("https://klasma.github.io/Logging_1784/klagomålsmail/A 23089-2024 FSC-klagomål mail.docx", "A 23089-2024")</f>
        <v/>
      </c>
      <c r="X1179">
        <f>HYPERLINK("https://klasma.github.io/Logging_1784/tillsyn/A 23089-2024 tillsynsbegäran.docx", "A 23089-2024")</f>
        <v/>
      </c>
      <c r="Y1179">
        <f>HYPERLINK("https://klasma.github.io/Logging_1784/tillsynsmail/A 23089-2024 tillsynsbegäran mail.docx", "A 23089-2024")</f>
        <v/>
      </c>
    </row>
    <row r="1180" ht="15" customHeight="1">
      <c r="A1180" t="inlineStr">
        <is>
          <t>A 12246-2026</t>
        </is>
      </c>
      <c r="B1180" s="1" t="n">
        <v>46087.43482638889</v>
      </c>
      <c r="C1180" s="1" t="n">
        <v>46143</v>
      </c>
      <c r="D1180" t="inlineStr">
        <is>
          <t>VÄRMLANDS LÄN</t>
        </is>
      </c>
      <c r="E1180" t="inlineStr">
        <is>
          <t>ARVIKA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18962-2026</t>
        </is>
      </c>
      <c r="B1181" s="1" t="n">
        <v>46129.59780092593</v>
      </c>
      <c r="C1181" s="1" t="n">
        <v>46143</v>
      </c>
      <c r="D1181" t="inlineStr">
        <is>
          <t>VÄRMLANDS LÄN</t>
        </is>
      </c>
      <c r="E1181" t="inlineStr">
        <is>
          <t>ARVIKA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12545-2026</t>
        </is>
      </c>
      <c r="B1182" s="1" t="n">
        <v>46090.63025462963</v>
      </c>
      <c r="C1182" s="1" t="n">
        <v>46143</v>
      </c>
      <c r="D1182" t="inlineStr">
        <is>
          <t>VÄRMLANDS LÄN</t>
        </is>
      </c>
      <c r="E1182" t="inlineStr">
        <is>
          <t>ARVIKA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6250-2025</t>
        </is>
      </c>
      <c r="B1183" s="1" t="n">
        <v>45698.57707175926</v>
      </c>
      <c r="C1183" s="1" t="n">
        <v>46143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37648-2023</t>
        </is>
      </c>
      <c r="B1184" s="1" t="n">
        <v>45159</v>
      </c>
      <c r="C1184" s="1" t="n">
        <v>46143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37658-2023</t>
        </is>
      </c>
      <c r="B1185" s="1" t="n">
        <v>45159.52385416667</v>
      </c>
      <c r="C1185" s="1" t="n">
        <v>46143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19132-2026</t>
        </is>
      </c>
      <c r="B1186" s="1" t="n">
        <v>46132.49185185185</v>
      </c>
      <c r="C1186" s="1" t="n">
        <v>46143</v>
      </c>
      <c r="D1186" t="inlineStr">
        <is>
          <t>VÄRMLANDS LÄN</t>
        </is>
      </c>
      <c r="E1186" t="inlineStr">
        <is>
          <t>ARVIKA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61008-2024</t>
        </is>
      </c>
      <c r="B1187" s="1" t="n">
        <v>45645</v>
      </c>
      <c r="C1187" s="1" t="n">
        <v>46143</v>
      </c>
      <c r="D1187" t="inlineStr">
        <is>
          <t>VÄRMLANDS LÄN</t>
        </is>
      </c>
      <c r="E1187" t="inlineStr">
        <is>
          <t>ARVIKA</t>
        </is>
      </c>
      <c r="G1187" t="n">
        <v>38.7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58133-2022</t>
        </is>
      </c>
      <c r="B1188" s="1" t="n">
        <v>44900.6913425926</v>
      </c>
      <c r="C1188" s="1" t="n">
        <v>46143</v>
      </c>
      <c r="D1188" t="inlineStr">
        <is>
          <t>VÄRMLANDS LÄN</t>
        </is>
      </c>
      <c r="E1188" t="inlineStr">
        <is>
          <t>ARVIKA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567-2024</t>
        </is>
      </c>
      <c r="B1189" s="1" t="n">
        <v>45299</v>
      </c>
      <c r="C1189" s="1" t="n">
        <v>46143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2156-2023</t>
        </is>
      </c>
      <c r="B1190" s="1" t="n">
        <v>44941.60054398148</v>
      </c>
      <c r="C1190" s="1" t="n">
        <v>46143</v>
      </c>
      <c r="D1190" t="inlineStr">
        <is>
          <t>VÄRMLANDS LÄN</t>
        </is>
      </c>
      <c r="E1190" t="inlineStr">
        <is>
          <t>ARVIKA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3610-2025</t>
        </is>
      </c>
      <c r="B1191" s="1" t="n">
        <v>45681.35855324074</v>
      </c>
      <c r="C1191" s="1" t="n">
        <v>46143</v>
      </c>
      <c r="D1191" t="inlineStr">
        <is>
          <t>VÄRMLANDS LÄN</t>
        </is>
      </c>
      <c r="E1191" t="inlineStr">
        <is>
          <t>ARVIKA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20319-2025</t>
        </is>
      </c>
      <c r="B1192" s="1" t="n">
        <v>45775</v>
      </c>
      <c r="C1192" s="1" t="n">
        <v>46143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6978-2025</t>
        </is>
      </c>
      <c r="B1193" s="1" t="n">
        <v>45701</v>
      </c>
      <c r="C1193" s="1" t="n">
        <v>46143</v>
      </c>
      <c r="D1193" t="inlineStr">
        <is>
          <t>VÄRMLANDS LÄN</t>
        </is>
      </c>
      <c r="E1193" t="inlineStr">
        <is>
          <t>ARVIKA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19295-2026</t>
        </is>
      </c>
      <c r="B1194" s="1" t="n">
        <v>46133</v>
      </c>
      <c r="C1194" s="1" t="n">
        <v>46143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19296-2026</t>
        </is>
      </c>
      <c r="B1195" s="1" t="n">
        <v>46133</v>
      </c>
      <c r="C1195" s="1" t="n">
        <v>46143</v>
      </c>
      <c r="D1195" t="inlineStr">
        <is>
          <t>VÄRMLANDS LÄN</t>
        </is>
      </c>
      <c r="E1195" t="inlineStr">
        <is>
          <t>ARVIKA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50678-2024</t>
        </is>
      </c>
      <c r="B1196" s="1" t="n">
        <v>45601.90618055555</v>
      </c>
      <c r="C1196" s="1" t="n">
        <v>46143</v>
      </c>
      <c r="D1196" t="inlineStr">
        <is>
          <t>VÄRMLANDS LÄN</t>
        </is>
      </c>
      <c r="E1196" t="inlineStr">
        <is>
          <t>ARVIKA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19532-2026</t>
        </is>
      </c>
      <c r="B1197" s="1" t="n">
        <v>46134.36696759259</v>
      </c>
      <c r="C1197" s="1" t="n">
        <v>46143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19544-2026</t>
        </is>
      </c>
      <c r="B1198" s="1" t="n">
        <v>46134.38349537037</v>
      </c>
      <c r="C1198" s="1" t="n">
        <v>46143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29291-2024</t>
        </is>
      </c>
      <c r="B1199" s="1" t="n">
        <v>45482</v>
      </c>
      <c r="C1199" s="1" t="n">
        <v>46143</v>
      </c>
      <c r="D1199" t="inlineStr">
        <is>
          <t>VÄRMLANDS LÄN</t>
        </is>
      </c>
      <c r="E1199" t="inlineStr">
        <is>
          <t>ARVIKA</t>
        </is>
      </c>
      <c r="G1199" t="n">
        <v>11.8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20188-2025</t>
        </is>
      </c>
      <c r="B1200" s="1" t="n">
        <v>45772</v>
      </c>
      <c r="C1200" s="1" t="n">
        <v>46143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19764-2022</t>
        </is>
      </c>
      <c r="B1201" s="1" t="n">
        <v>44694.64902777778</v>
      </c>
      <c r="C1201" s="1" t="n">
        <v>46143</v>
      </c>
      <c r="D1201" t="inlineStr">
        <is>
          <t>VÄRMLANDS LÄN</t>
        </is>
      </c>
      <c r="E1201" t="inlineStr">
        <is>
          <t>ARVIKA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12928-2026</t>
        </is>
      </c>
      <c r="B1202" s="1" t="n">
        <v>46092</v>
      </c>
      <c r="C1202" s="1" t="n">
        <v>46143</v>
      </c>
      <c r="D1202" t="inlineStr">
        <is>
          <t>VÄRMLANDS LÄN</t>
        </is>
      </c>
      <c r="E1202" t="inlineStr">
        <is>
          <t>ARVIKA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19205-2026</t>
        </is>
      </c>
      <c r="B1203" s="1" t="n">
        <v>46132</v>
      </c>
      <c r="C1203" s="1" t="n">
        <v>46143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10276-2025</t>
        </is>
      </c>
      <c r="B1204" s="1" t="n">
        <v>45720</v>
      </c>
      <c r="C1204" s="1" t="n">
        <v>46143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64664-2021</t>
        </is>
      </c>
      <c r="B1205" s="1" t="n">
        <v>44512</v>
      </c>
      <c r="C1205" s="1" t="n">
        <v>46143</v>
      </c>
      <c r="D1205" t="inlineStr">
        <is>
          <t>VÄRMLANDS LÄN</t>
        </is>
      </c>
      <c r="E1205" t="inlineStr">
        <is>
          <t>ARVIKA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37854-2023</t>
        </is>
      </c>
      <c r="B1206" s="1" t="n">
        <v>45158</v>
      </c>
      <c r="C1206" s="1" t="n">
        <v>46143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3076-2025</t>
        </is>
      </c>
      <c r="B1207" s="1" t="n">
        <v>45678</v>
      </c>
      <c r="C1207" s="1" t="n">
        <v>46143</v>
      </c>
      <c r="D1207" t="inlineStr">
        <is>
          <t>VÄRMLANDS LÄN</t>
        </is>
      </c>
      <c r="E1207" t="inlineStr">
        <is>
          <t>ARVIKA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19489-2026</t>
        </is>
      </c>
      <c r="B1208" s="1" t="n">
        <v>46134.31575231482</v>
      </c>
      <c r="C1208" s="1" t="n">
        <v>46143</v>
      </c>
      <c r="D1208" t="inlineStr">
        <is>
          <t>VÄRMLANDS LÄN</t>
        </is>
      </c>
      <c r="E1208" t="inlineStr">
        <is>
          <t>ARVIKA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49295-2023</t>
        </is>
      </c>
      <c r="B1209" s="1" t="n">
        <v>45210</v>
      </c>
      <c r="C1209" s="1" t="n">
        <v>46143</v>
      </c>
      <c r="D1209" t="inlineStr">
        <is>
          <t>VÄRMLANDS LÄN</t>
        </is>
      </c>
      <c r="E1209" t="inlineStr">
        <is>
          <t>ARVIKA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19829-2026</t>
        </is>
      </c>
      <c r="B1210" s="1" t="n">
        <v>46135.59033564815</v>
      </c>
      <c r="C1210" s="1" t="n">
        <v>46143</v>
      </c>
      <c r="D1210" t="inlineStr">
        <is>
          <t>VÄRMLANDS LÄN</t>
        </is>
      </c>
      <c r="E1210" t="inlineStr">
        <is>
          <t>ARVIKA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17484-2023</t>
        </is>
      </c>
      <c r="B1211" s="1" t="n">
        <v>45036.37512731482</v>
      </c>
      <c r="C1211" s="1" t="n">
        <v>46143</v>
      </c>
      <c r="D1211" t="inlineStr">
        <is>
          <t>VÄRMLANDS LÄN</t>
        </is>
      </c>
      <c r="E1211" t="inlineStr">
        <is>
          <t>ARVIKA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45132-2023</t>
        </is>
      </c>
      <c r="B1212" s="1" t="n">
        <v>45191</v>
      </c>
      <c r="C1212" s="1" t="n">
        <v>46143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7717-2025</t>
        </is>
      </c>
      <c r="B1213" s="1" t="n">
        <v>45706.43501157407</v>
      </c>
      <c r="C1213" s="1" t="n">
        <v>46143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9.300000000000001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108-2024</t>
        </is>
      </c>
      <c r="B1214" s="1" t="n">
        <v>45293</v>
      </c>
      <c r="C1214" s="1" t="n">
        <v>46143</v>
      </c>
      <c r="D1214" t="inlineStr">
        <is>
          <t>VÄRMLANDS LÄN</t>
        </is>
      </c>
      <c r="E1214" t="inlineStr">
        <is>
          <t>ARVIKA</t>
        </is>
      </c>
      <c r="F1214" t="inlineStr">
        <is>
          <t>Kyrkan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19495-2026</t>
        </is>
      </c>
      <c r="B1215" s="1" t="n">
        <v>46134.32408564815</v>
      </c>
      <c r="C1215" s="1" t="n">
        <v>46143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19500-2026</t>
        </is>
      </c>
      <c r="B1216" s="1" t="n">
        <v>46134.32930555556</v>
      </c>
      <c r="C1216" s="1" t="n">
        <v>46143</v>
      </c>
      <c r="D1216" t="inlineStr">
        <is>
          <t>VÄRMLANDS LÄN</t>
        </is>
      </c>
      <c r="E1216" t="inlineStr">
        <is>
          <t>ARVIKA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375-2023</t>
        </is>
      </c>
      <c r="B1217" s="1" t="n">
        <v>44922</v>
      </c>
      <c r="C1217" s="1" t="n">
        <v>46143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379-2023</t>
        </is>
      </c>
      <c r="B1218" s="1" t="n">
        <v>44922</v>
      </c>
      <c r="C1218" s="1" t="n">
        <v>46143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14626-2025</t>
        </is>
      </c>
      <c r="B1219" s="1" t="n">
        <v>45742.42351851852</v>
      </c>
      <c r="C1219" s="1" t="n">
        <v>46143</v>
      </c>
      <c r="D1219" t="inlineStr">
        <is>
          <t>VÄRMLANDS LÄN</t>
        </is>
      </c>
      <c r="E1219" t="inlineStr">
        <is>
          <t>ARVIKA</t>
        </is>
      </c>
      <c r="G1219" t="n">
        <v>14.9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4430-2023</t>
        </is>
      </c>
      <c r="B1220" s="1" t="n">
        <v>44956</v>
      </c>
      <c r="C1220" s="1" t="n">
        <v>46143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19488-2026</t>
        </is>
      </c>
      <c r="B1221" s="1" t="n">
        <v>46134.31144675926</v>
      </c>
      <c r="C1221" s="1" t="n">
        <v>46143</v>
      </c>
      <c r="D1221" t="inlineStr">
        <is>
          <t>VÄRMLANDS LÄN</t>
        </is>
      </c>
      <c r="E1221" t="inlineStr">
        <is>
          <t>ARVIKA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26863-2024</t>
        </is>
      </c>
      <c r="B1222" s="1" t="n">
        <v>45470.60811342593</v>
      </c>
      <c r="C1222" s="1" t="n">
        <v>46143</v>
      </c>
      <c r="D1222" t="inlineStr">
        <is>
          <t>VÄRMLANDS LÄN</t>
        </is>
      </c>
      <c r="E1222" t="inlineStr">
        <is>
          <t>ARVIKA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59014-2022</t>
        </is>
      </c>
      <c r="B1223" s="1" t="n">
        <v>44903</v>
      </c>
      <c r="C1223" s="1" t="n">
        <v>46143</v>
      </c>
      <c r="D1223" t="inlineStr">
        <is>
          <t>VÄRMLANDS LÄN</t>
        </is>
      </c>
      <c r="E1223" t="inlineStr">
        <is>
          <t>ARVIKA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13074-2023</t>
        </is>
      </c>
      <c r="B1224" s="1" t="n">
        <v>45001</v>
      </c>
      <c r="C1224" s="1" t="n">
        <v>46143</v>
      </c>
      <c r="D1224" t="inlineStr">
        <is>
          <t>VÄRMLANDS LÄN</t>
        </is>
      </c>
      <c r="E1224" t="inlineStr">
        <is>
          <t>ARVIKA</t>
        </is>
      </c>
      <c r="G1224" t="n">
        <v>21.1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11178-2022</t>
        </is>
      </c>
      <c r="B1225" s="1" t="n">
        <v>44629</v>
      </c>
      <c r="C1225" s="1" t="n">
        <v>46143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49744-2021</t>
        </is>
      </c>
      <c r="B1226" s="1" t="n">
        <v>44455</v>
      </c>
      <c r="C1226" s="1" t="n">
        <v>46143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13690-2026</t>
        </is>
      </c>
      <c r="B1227" s="1" t="n">
        <v>46097.53893518518</v>
      </c>
      <c r="C1227" s="1" t="n">
        <v>46143</v>
      </c>
      <c r="D1227" t="inlineStr">
        <is>
          <t>VÄRMLANDS LÄN</t>
        </is>
      </c>
      <c r="E1227" t="inlineStr">
        <is>
          <t>ARVIKA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4090-2022</t>
        </is>
      </c>
      <c r="B1228" s="1" t="n">
        <v>44588.40508101852</v>
      </c>
      <c r="C1228" s="1" t="n">
        <v>46143</v>
      </c>
      <c r="D1228" t="inlineStr">
        <is>
          <t>VÄRMLANDS LÄN</t>
        </is>
      </c>
      <c r="E1228" t="inlineStr">
        <is>
          <t>ARVIKA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24929-2023</t>
        </is>
      </c>
      <c r="B1229" s="1" t="n">
        <v>45085.51541666667</v>
      </c>
      <c r="C1229" s="1" t="n">
        <v>46143</v>
      </c>
      <c r="D1229" t="inlineStr">
        <is>
          <t>VÄRMLANDS LÄN</t>
        </is>
      </c>
      <c r="E1229" t="inlineStr">
        <is>
          <t>ARVIKA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47239-2022</t>
        </is>
      </c>
      <c r="B1230" s="1" t="n">
        <v>44852</v>
      </c>
      <c r="C1230" s="1" t="n">
        <v>46143</v>
      </c>
      <c r="D1230" t="inlineStr">
        <is>
          <t>VÄRMLANDS LÄN</t>
        </is>
      </c>
      <c r="E1230" t="inlineStr">
        <is>
          <t>ARVIKA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19216-2025</t>
        </is>
      </c>
      <c r="B1231" s="1" t="n">
        <v>45769</v>
      </c>
      <c r="C1231" s="1" t="n">
        <v>46143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25520-2024</t>
        </is>
      </c>
      <c r="B1232" s="1" t="n">
        <v>45463</v>
      </c>
      <c r="C1232" s="1" t="n">
        <v>46143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13691-2026</t>
        </is>
      </c>
      <c r="B1233" s="1" t="n">
        <v>46097.54193287037</v>
      </c>
      <c r="C1233" s="1" t="n">
        <v>46143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20434-2025</t>
        </is>
      </c>
      <c r="B1234" s="1" t="n">
        <v>45775.48181712963</v>
      </c>
      <c r="C1234" s="1" t="n">
        <v>46143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60593-2023</t>
        </is>
      </c>
      <c r="B1235" s="1" t="n">
        <v>45260.32078703704</v>
      </c>
      <c r="C1235" s="1" t="n">
        <v>46143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13999-2026</t>
        </is>
      </c>
      <c r="B1236" s="1" t="n">
        <v>46098</v>
      </c>
      <c r="C1236" s="1" t="n">
        <v>46143</v>
      </c>
      <c r="D1236" t="inlineStr">
        <is>
          <t>VÄRMLANDS LÄN</t>
        </is>
      </c>
      <c r="E1236" t="inlineStr">
        <is>
          <t>ARVIKA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24620-2024</t>
        </is>
      </c>
      <c r="B1237" s="1" t="n">
        <v>45460.49582175926</v>
      </c>
      <c r="C1237" s="1" t="n">
        <v>46143</v>
      </c>
      <c r="D1237" t="inlineStr">
        <is>
          <t>VÄRMLANDS LÄN</t>
        </is>
      </c>
      <c r="E1237" t="inlineStr">
        <is>
          <t>ARVIKA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50263-2022</t>
        </is>
      </c>
      <c r="B1238" s="1" t="n">
        <v>44865.6884375</v>
      </c>
      <c r="C1238" s="1" t="n">
        <v>46143</v>
      </c>
      <c r="D1238" t="inlineStr">
        <is>
          <t>VÄRMLANDS LÄN</t>
        </is>
      </c>
      <c r="E1238" t="inlineStr">
        <is>
          <t>ARVIKA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52943-2024</t>
        </is>
      </c>
      <c r="B1239" s="1" t="n">
        <v>45610</v>
      </c>
      <c r="C1239" s="1" t="n">
        <v>46143</v>
      </c>
      <c r="D1239" t="inlineStr">
        <is>
          <t>VÄRMLANDS LÄN</t>
        </is>
      </c>
      <c r="E1239" t="inlineStr">
        <is>
          <t>ARVIKA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925-2025</t>
        </is>
      </c>
      <c r="B1240" s="1" t="n">
        <v>45665.82885416667</v>
      </c>
      <c r="C1240" s="1" t="n">
        <v>46143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927-2025</t>
        </is>
      </c>
      <c r="B1241" s="1" t="n">
        <v>45665.83350694444</v>
      </c>
      <c r="C1241" s="1" t="n">
        <v>46143</v>
      </c>
      <c r="D1241" t="inlineStr">
        <is>
          <t>VÄRMLANDS LÄN</t>
        </is>
      </c>
      <c r="E1241" t="inlineStr">
        <is>
          <t>ARVIKA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58586-2023</t>
        </is>
      </c>
      <c r="B1242" s="1" t="n">
        <v>45251</v>
      </c>
      <c r="C1242" s="1" t="n">
        <v>46143</v>
      </c>
      <c r="D1242" t="inlineStr">
        <is>
          <t>VÄRMLANDS LÄN</t>
        </is>
      </c>
      <c r="E1242" t="inlineStr">
        <is>
          <t>ARVIKA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20508-2026</t>
        </is>
      </c>
      <c r="B1243" s="1" t="n">
        <v>46140.53355324074</v>
      </c>
      <c r="C1243" s="1" t="n">
        <v>46143</v>
      </c>
      <c r="D1243" t="inlineStr">
        <is>
          <t>VÄRMLANDS LÄN</t>
        </is>
      </c>
      <c r="E1243" t="inlineStr">
        <is>
          <t>ARVIKA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56710-2022</t>
        </is>
      </c>
      <c r="B1244" s="1" t="n">
        <v>44893.83693287037</v>
      </c>
      <c r="C1244" s="1" t="n">
        <v>46143</v>
      </c>
      <c r="D1244" t="inlineStr">
        <is>
          <t>VÄRMLANDS LÄN</t>
        </is>
      </c>
      <c r="E1244" t="inlineStr">
        <is>
          <t>ARVIKA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24329-2023</t>
        </is>
      </c>
      <c r="B1245" s="1" t="n">
        <v>45081</v>
      </c>
      <c r="C1245" s="1" t="n">
        <v>46143</v>
      </c>
      <c r="D1245" t="inlineStr">
        <is>
          <t>VÄRMLANDS LÄN</t>
        </is>
      </c>
      <c r="E1245" t="inlineStr">
        <is>
          <t>ARVIKA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3980-2023</t>
        </is>
      </c>
      <c r="B1246" s="1" t="n">
        <v>44952.46194444445</v>
      </c>
      <c r="C1246" s="1" t="n">
        <v>46143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37852-2023</t>
        </is>
      </c>
      <c r="B1247" s="1" t="n">
        <v>45158</v>
      </c>
      <c r="C1247" s="1" t="n">
        <v>46143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35288-2021</t>
        </is>
      </c>
      <c r="B1248" s="1" t="n">
        <v>44383</v>
      </c>
      <c r="C1248" s="1" t="n">
        <v>46143</v>
      </c>
      <c r="D1248" t="inlineStr">
        <is>
          <t>VÄRMLANDS LÄN</t>
        </is>
      </c>
      <c r="E1248" t="inlineStr">
        <is>
          <t>ARVIKA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19586-2025</t>
        </is>
      </c>
      <c r="B1249" s="1" t="n">
        <v>45770.5678587963</v>
      </c>
      <c r="C1249" s="1" t="n">
        <v>46143</v>
      </c>
      <c r="D1249" t="inlineStr">
        <is>
          <t>VÄRMLANDS LÄN</t>
        </is>
      </c>
      <c r="E1249" t="inlineStr">
        <is>
          <t>ARVIKA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19591-2025</t>
        </is>
      </c>
      <c r="B1250" s="1" t="n">
        <v>45770.57542824074</v>
      </c>
      <c r="C1250" s="1" t="n">
        <v>46143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2849-2023</t>
        </is>
      </c>
      <c r="B1251" s="1" t="n">
        <v>44945.38209490741</v>
      </c>
      <c r="C1251" s="1" t="n">
        <v>46143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56137-2024</t>
        </is>
      </c>
      <c r="B1252" s="1" t="n">
        <v>45624.48733796296</v>
      </c>
      <c r="C1252" s="1" t="n">
        <v>46143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17409-2026</t>
        </is>
      </c>
      <c r="B1253" s="1" t="n">
        <v>46120.33989583333</v>
      </c>
      <c r="C1253" s="1" t="n">
        <v>46143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14399-2026</t>
        </is>
      </c>
      <c r="B1254" s="1" t="n">
        <v>46100.41530092592</v>
      </c>
      <c r="C1254" s="1" t="n">
        <v>46143</v>
      </c>
      <c r="D1254" t="inlineStr">
        <is>
          <t>VÄRMLANDS LÄN</t>
        </is>
      </c>
      <c r="E1254" t="inlineStr">
        <is>
          <t>ARVIKA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21523-2023</t>
        </is>
      </c>
      <c r="B1255" s="1" t="n">
        <v>45063</v>
      </c>
      <c r="C1255" s="1" t="n">
        <v>46143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20737-2026</t>
        </is>
      </c>
      <c r="B1256" s="1" t="n">
        <v>46141.56945601852</v>
      </c>
      <c r="C1256" s="1" t="n">
        <v>46143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29494-2024</t>
        </is>
      </c>
      <c r="B1257" s="1" t="n">
        <v>45484.36981481482</v>
      </c>
      <c r="C1257" s="1" t="n">
        <v>46143</v>
      </c>
      <c r="D1257" t="inlineStr">
        <is>
          <t>VÄRMLANDS LÄN</t>
        </is>
      </c>
      <c r="E1257" t="inlineStr">
        <is>
          <t>ARVIKA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50462-2024</t>
        </is>
      </c>
      <c r="B1258" s="1" t="n">
        <v>45601</v>
      </c>
      <c r="C1258" s="1" t="n">
        <v>46143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4466-2025</t>
        </is>
      </c>
      <c r="B1259" s="1" t="n">
        <v>45686</v>
      </c>
      <c r="C1259" s="1" t="n">
        <v>46143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20716-2026</t>
        </is>
      </c>
      <c r="B1260" s="1" t="n">
        <v>46141.51202546297</v>
      </c>
      <c r="C1260" s="1" t="n">
        <v>46143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20725-2026</t>
        </is>
      </c>
      <c r="B1261" s="1" t="n">
        <v>46141.55041666667</v>
      </c>
      <c r="C1261" s="1" t="n">
        <v>46143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60595-2022</t>
        </is>
      </c>
      <c r="B1262" s="1" t="n">
        <v>44906</v>
      </c>
      <c r="C1262" s="1" t="n">
        <v>46143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60607-2022</t>
        </is>
      </c>
      <c r="B1263" s="1" t="n">
        <v>44906</v>
      </c>
      <c r="C1263" s="1" t="n">
        <v>46143</v>
      </c>
      <c r="D1263" t="inlineStr">
        <is>
          <t>VÄRMLANDS LÄN</t>
        </is>
      </c>
      <c r="E1263" t="inlineStr">
        <is>
          <t>ARVIKA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71399-2021</t>
        </is>
      </c>
      <c r="B1264" s="1" t="n">
        <v>44540.35973379629</v>
      </c>
      <c r="C1264" s="1" t="n">
        <v>46143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4238-2025</t>
        </is>
      </c>
      <c r="B1265" s="1" t="n">
        <v>45685</v>
      </c>
      <c r="C1265" s="1" t="n">
        <v>46143</v>
      </c>
      <c r="D1265" t="inlineStr">
        <is>
          <t>VÄRMLANDS LÄN</t>
        </is>
      </c>
      <c r="E1265" t="inlineStr">
        <is>
          <t>ARVIKA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45908-2022</t>
        </is>
      </c>
      <c r="B1266" s="1" t="n">
        <v>44846</v>
      </c>
      <c r="C1266" s="1" t="n">
        <v>46143</v>
      </c>
      <c r="D1266" t="inlineStr">
        <is>
          <t>VÄRMLANDS LÄN</t>
        </is>
      </c>
      <c r="E1266" t="inlineStr">
        <is>
          <t>ARVIKA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71886-2021</t>
        </is>
      </c>
      <c r="B1267" s="1" t="n">
        <v>44543</v>
      </c>
      <c r="C1267" s="1" t="n">
        <v>46143</v>
      </c>
      <c r="D1267" t="inlineStr">
        <is>
          <t>VÄRMLANDS LÄN</t>
        </is>
      </c>
      <c r="E1267" t="inlineStr">
        <is>
          <t>ARVIKA</t>
        </is>
      </c>
      <c r="G1267" t="n">
        <v>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47534-2024</t>
        </is>
      </c>
      <c r="B1268" s="1" t="n">
        <v>45587</v>
      </c>
      <c r="C1268" s="1" t="n">
        <v>46143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13671-2025</t>
        </is>
      </c>
      <c r="B1269" s="1" t="n">
        <v>45736</v>
      </c>
      <c r="C1269" s="1" t="n">
        <v>46143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47383-2023</t>
        </is>
      </c>
      <c r="B1270" s="1" t="n">
        <v>45202.62162037037</v>
      </c>
      <c r="C1270" s="1" t="n">
        <v>46143</v>
      </c>
      <c r="D1270" t="inlineStr">
        <is>
          <t>VÄRMLANDS LÄN</t>
        </is>
      </c>
      <c r="E1270" t="inlineStr">
        <is>
          <t>ARVIKA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44519-2023</t>
        </is>
      </c>
      <c r="B1271" s="1" t="n">
        <v>45189.47052083333</v>
      </c>
      <c r="C1271" s="1" t="n">
        <v>46143</v>
      </c>
      <c r="D1271" t="inlineStr">
        <is>
          <t>VÄRMLANDS LÄN</t>
        </is>
      </c>
      <c r="E1271" t="inlineStr">
        <is>
          <t>ARVIKA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12020-2023</t>
        </is>
      </c>
      <c r="B1272" s="1" t="n">
        <v>44995</v>
      </c>
      <c r="C1272" s="1" t="n">
        <v>46143</v>
      </c>
      <c r="D1272" t="inlineStr">
        <is>
          <t>VÄRMLANDS LÄN</t>
        </is>
      </c>
      <c r="E1272" t="inlineStr">
        <is>
          <t>ARVIKA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21464-2023</t>
        </is>
      </c>
      <c r="B1273" s="1" t="n">
        <v>45063.46725694444</v>
      </c>
      <c r="C1273" s="1" t="n">
        <v>46143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46687-2023</t>
        </is>
      </c>
      <c r="B1274" s="1" t="n">
        <v>45198</v>
      </c>
      <c r="C1274" s="1" t="n">
        <v>46143</v>
      </c>
      <c r="D1274" t="inlineStr">
        <is>
          <t>VÄRMLANDS LÄN</t>
        </is>
      </c>
      <c r="E1274" t="inlineStr">
        <is>
          <t>ARVIKA</t>
        </is>
      </c>
      <c r="G1274" t="n">
        <v>14.9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10513-2024</t>
        </is>
      </c>
      <c r="B1275" s="1" t="n">
        <v>45366</v>
      </c>
      <c r="C1275" s="1" t="n">
        <v>46143</v>
      </c>
      <c r="D1275" t="inlineStr">
        <is>
          <t>VÄRMLANDS LÄN</t>
        </is>
      </c>
      <c r="E1275" t="inlineStr">
        <is>
          <t>ARVIKA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22720-2024</t>
        </is>
      </c>
      <c r="B1276" s="1" t="n">
        <v>45448.36391203704</v>
      </c>
      <c r="C1276" s="1" t="n">
        <v>46143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26698-2023</t>
        </is>
      </c>
      <c r="B1277" s="1" t="n">
        <v>45093.36835648148</v>
      </c>
      <c r="C1277" s="1" t="n">
        <v>46143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8165-2024</t>
        </is>
      </c>
      <c r="B1278" s="1" t="n">
        <v>45351</v>
      </c>
      <c r="C1278" s="1" t="n">
        <v>46143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31703-2024</t>
        </is>
      </c>
      <c r="B1279" s="1" t="n">
        <v>45508</v>
      </c>
      <c r="C1279" s="1" t="n">
        <v>46143</v>
      </c>
      <c r="D1279" t="inlineStr">
        <is>
          <t>VÄRMLANDS LÄN</t>
        </is>
      </c>
      <c r="E1279" t="inlineStr">
        <is>
          <t>ARVIKA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4751-2022</t>
        </is>
      </c>
      <c r="B1280" s="1" t="n">
        <v>44592</v>
      </c>
      <c r="C1280" s="1" t="n">
        <v>46143</v>
      </c>
      <c r="D1280" t="inlineStr">
        <is>
          <t>VÄRMLANDS LÄN</t>
        </is>
      </c>
      <c r="E1280" t="inlineStr">
        <is>
          <t>ARVIKA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54756-2022</t>
        </is>
      </c>
      <c r="B1281" s="1" t="n">
        <v>44883</v>
      </c>
      <c r="C1281" s="1" t="n">
        <v>46143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50530-2023</t>
        </is>
      </c>
      <c r="B1282" s="1" t="n">
        <v>45217</v>
      </c>
      <c r="C1282" s="1" t="n">
        <v>46143</v>
      </c>
      <c r="D1282" t="inlineStr">
        <is>
          <t>VÄRMLANDS LÄN</t>
        </is>
      </c>
      <c r="E1282" t="inlineStr">
        <is>
          <t>ARVIKA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63208-2023</t>
        </is>
      </c>
      <c r="B1283" s="1" t="n">
        <v>45273.61193287037</v>
      </c>
      <c r="C1283" s="1" t="n">
        <v>46143</v>
      </c>
      <c r="D1283" t="inlineStr">
        <is>
          <t>VÄRMLANDS LÄN</t>
        </is>
      </c>
      <c r="E1283" t="inlineStr">
        <is>
          <t>ARVIKA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53993-2022</t>
        </is>
      </c>
      <c r="B1284" s="1" t="n">
        <v>44881</v>
      </c>
      <c r="C1284" s="1" t="n">
        <v>46143</v>
      </c>
      <c r="D1284" t="inlineStr">
        <is>
          <t>VÄRMLANDS LÄN</t>
        </is>
      </c>
      <c r="E1284" t="inlineStr">
        <is>
          <t>ARVIKA</t>
        </is>
      </c>
      <c r="G1284" t="n">
        <v>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29392-2023</t>
        </is>
      </c>
      <c r="B1285" s="1" t="n">
        <v>45106</v>
      </c>
      <c r="C1285" s="1" t="n">
        <v>46143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7985-2025</t>
        </is>
      </c>
      <c r="B1286" s="1" t="n">
        <v>45707.47486111111</v>
      </c>
      <c r="C1286" s="1" t="n">
        <v>46143</v>
      </c>
      <c r="D1286" t="inlineStr">
        <is>
          <t>VÄRMLANDS LÄN</t>
        </is>
      </c>
      <c r="E1286" t="inlineStr">
        <is>
          <t>ARVIKA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65036-2023</t>
        </is>
      </c>
      <c r="B1287" s="1" t="n">
        <v>45287</v>
      </c>
      <c r="C1287" s="1" t="n">
        <v>46143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51400-2022</t>
        </is>
      </c>
      <c r="B1288" s="1" t="n">
        <v>44869</v>
      </c>
      <c r="C1288" s="1" t="n">
        <v>46143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41203-2024</t>
        </is>
      </c>
      <c r="B1289" s="1" t="n">
        <v>45559.52240740741</v>
      </c>
      <c r="C1289" s="1" t="n">
        <v>46143</v>
      </c>
      <c r="D1289" t="inlineStr">
        <is>
          <t>VÄRMLANDS LÄN</t>
        </is>
      </c>
      <c r="E1289" t="inlineStr">
        <is>
          <t>ARVIKA</t>
        </is>
      </c>
      <c r="F1289" t="inlineStr">
        <is>
          <t>Kommuner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47191-2023</t>
        </is>
      </c>
      <c r="B1290" s="1" t="n">
        <v>45202.30049768519</v>
      </c>
      <c r="C1290" s="1" t="n">
        <v>46143</v>
      </c>
      <c r="D1290" t="inlineStr">
        <is>
          <t>VÄRMLANDS LÄN</t>
        </is>
      </c>
      <c r="E1290" t="inlineStr">
        <is>
          <t>ARVIKA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42051-2024</t>
        </is>
      </c>
      <c r="B1291" s="1" t="n">
        <v>45561.86493055556</v>
      </c>
      <c r="C1291" s="1" t="n">
        <v>46143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38705-2022</t>
        </is>
      </c>
      <c r="B1292" s="1" t="n">
        <v>44814.72725694445</v>
      </c>
      <c r="C1292" s="1" t="n">
        <v>46143</v>
      </c>
      <c r="D1292" t="inlineStr">
        <is>
          <t>VÄRMLANDS LÄN</t>
        </is>
      </c>
      <c r="E1292" t="inlineStr">
        <is>
          <t>ARVIKA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1511-2025</t>
        </is>
      </c>
      <c r="B1293" s="1" t="n">
        <v>45670</v>
      </c>
      <c r="C1293" s="1" t="n">
        <v>46143</v>
      </c>
      <c r="D1293" t="inlineStr">
        <is>
          <t>VÄRMLANDS LÄN</t>
        </is>
      </c>
      <c r="E1293" t="inlineStr">
        <is>
          <t>ARVIKA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45300-2023</t>
        </is>
      </c>
      <c r="B1294" s="1" t="n">
        <v>45191</v>
      </c>
      <c r="C1294" s="1" t="n">
        <v>46143</v>
      </c>
      <c r="D1294" t="inlineStr">
        <is>
          <t>VÄRMLANDS LÄN</t>
        </is>
      </c>
      <c r="E1294" t="inlineStr">
        <is>
          <t>ARVIKA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13341-2023</t>
        </is>
      </c>
      <c r="B1295" s="1" t="n">
        <v>45005</v>
      </c>
      <c r="C1295" s="1" t="n">
        <v>46143</v>
      </c>
      <c r="D1295" t="inlineStr">
        <is>
          <t>VÄRMLANDS LÄN</t>
        </is>
      </c>
      <c r="E1295" t="inlineStr">
        <is>
          <t>ARVIKA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20582-2025</t>
        </is>
      </c>
      <c r="B1296" s="1" t="n">
        <v>45775.68714120371</v>
      </c>
      <c r="C1296" s="1" t="n">
        <v>46143</v>
      </c>
      <c r="D1296" t="inlineStr">
        <is>
          <t>VÄRMLANDS LÄN</t>
        </is>
      </c>
      <c r="E1296" t="inlineStr">
        <is>
          <t>ARVIKA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33088-2022</t>
        </is>
      </c>
      <c r="B1297" s="1" t="n">
        <v>44785</v>
      </c>
      <c r="C1297" s="1" t="n">
        <v>46143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42894-2023</t>
        </is>
      </c>
      <c r="B1298" s="1" t="n">
        <v>45182.47541666667</v>
      </c>
      <c r="C1298" s="1" t="n">
        <v>46143</v>
      </c>
      <c r="D1298" t="inlineStr">
        <is>
          <t>VÄRMLANDS LÄN</t>
        </is>
      </c>
      <c r="E1298" t="inlineStr">
        <is>
          <t>ARVIKA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21959-2023</t>
        </is>
      </c>
      <c r="B1299" s="1" t="n">
        <v>45068.63384259259</v>
      </c>
      <c r="C1299" s="1" t="n">
        <v>46143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45063-2023</t>
        </is>
      </c>
      <c r="B1300" s="1" t="n">
        <v>45191.38239583333</v>
      </c>
      <c r="C1300" s="1" t="n">
        <v>46143</v>
      </c>
      <c r="D1300" t="inlineStr">
        <is>
          <t>VÄRMLANDS LÄN</t>
        </is>
      </c>
      <c r="E1300" t="inlineStr">
        <is>
          <t>ARVIKA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54155-2024</t>
        </is>
      </c>
      <c r="B1301" s="1" t="n">
        <v>45616.60831018518</v>
      </c>
      <c r="C1301" s="1" t="n">
        <v>46143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45069-2023</t>
        </is>
      </c>
      <c r="B1302" s="1" t="n">
        <v>45191.38833333334</v>
      </c>
      <c r="C1302" s="1" t="n">
        <v>46143</v>
      </c>
      <c r="D1302" t="inlineStr">
        <is>
          <t>VÄRMLANDS LÄN</t>
        </is>
      </c>
      <c r="E1302" t="inlineStr">
        <is>
          <t>ARVIKA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45081-2023</t>
        </is>
      </c>
      <c r="B1303" s="1" t="n">
        <v>45191.40557870371</v>
      </c>
      <c r="C1303" s="1" t="n">
        <v>46143</v>
      </c>
      <c r="D1303" t="inlineStr">
        <is>
          <t>VÄRMLANDS LÄN</t>
        </is>
      </c>
      <c r="E1303" t="inlineStr">
        <is>
          <t>ARVIKA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24953-2023</t>
        </is>
      </c>
      <c r="B1304" s="1" t="n">
        <v>45085.58476851852</v>
      </c>
      <c r="C1304" s="1" t="n">
        <v>46143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7685-2023</t>
        </is>
      </c>
      <c r="B1305" s="1" t="n">
        <v>44972</v>
      </c>
      <c r="C1305" s="1" t="n">
        <v>46143</v>
      </c>
      <c r="D1305" t="inlineStr">
        <is>
          <t>VÄRMLANDS LÄN</t>
        </is>
      </c>
      <c r="E1305" t="inlineStr">
        <is>
          <t>ARVIKA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63627-2021</t>
        </is>
      </c>
      <c r="B1306" s="1" t="n">
        <v>44496</v>
      </c>
      <c r="C1306" s="1" t="n">
        <v>46143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7313-2022</t>
        </is>
      </c>
      <c r="B1307" s="1" t="n">
        <v>44606.51982638889</v>
      </c>
      <c r="C1307" s="1" t="n">
        <v>46143</v>
      </c>
      <c r="D1307" t="inlineStr">
        <is>
          <t>VÄRMLANDS LÄN</t>
        </is>
      </c>
      <c r="E1307" t="inlineStr">
        <is>
          <t>ARVIKA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60593-2022</t>
        </is>
      </c>
      <c r="B1308" s="1" t="n">
        <v>44906</v>
      </c>
      <c r="C1308" s="1" t="n">
        <v>46143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60627-2022</t>
        </is>
      </c>
      <c r="B1309" s="1" t="n">
        <v>44906</v>
      </c>
      <c r="C1309" s="1" t="n">
        <v>46143</v>
      </c>
      <c r="D1309" t="inlineStr">
        <is>
          <t>VÄRMLANDS LÄN</t>
        </is>
      </c>
      <c r="E1309" t="inlineStr">
        <is>
          <t>ARVIKA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32503-2024</t>
        </is>
      </c>
      <c r="B1310" s="1" t="n">
        <v>45513.43894675926</v>
      </c>
      <c r="C1310" s="1" t="n">
        <v>46143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27578-2024</t>
        </is>
      </c>
      <c r="B1311" s="1" t="n">
        <v>45474</v>
      </c>
      <c r="C1311" s="1" t="n">
        <v>46143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61927-2024</t>
        </is>
      </c>
      <c r="B1312" s="1" t="n">
        <v>45653</v>
      </c>
      <c r="C1312" s="1" t="n">
        <v>46143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58061-2024</t>
        </is>
      </c>
      <c r="B1313" s="1" t="n">
        <v>45631.89354166666</v>
      </c>
      <c r="C1313" s="1" t="n">
        <v>46143</v>
      </c>
      <c r="D1313" t="inlineStr">
        <is>
          <t>VÄRMLANDS LÄN</t>
        </is>
      </c>
      <c r="E1313" t="inlineStr">
        <is>
          <t>ARVIKA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47041-2024</t>
        </is>
      </c>
      <c r="B1314" s="1" t="n">
        <v>45586.44325231481</v>
      </c>
      <c r="C1314" s="1" t="n">
        <v>46143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48995-2021</t>
        </is>
      </c>
      <c r="B1315" s="1" t="n">
        <v>44453.44313657407</v>
      </c>
      <c r="C1315" s="1" t="n">
        <v>46143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26544-2023</t>
        </is>
      </c>
      <c r="B1316" s="1" t="n">
        <v>45092.59253472222</v>
      </c>
      <c r="C1316" s="1" t="n">
        <v>46143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37630-2024</t>
        </is>
      </c>
      <c r="B1317" s="1" t="n">
        <v>45541.53141203704</v>
      </c>
      <c r="C1317" s="1" t="n">
        <v>46143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35969-2022</t>
        </is>
      </c>
      <c r="B1318" s="1" t="n">
        <v>44802.57747685185</v>
      </c>
      <c r="C1318" s="1" t="n">
        <v>46143</v>
      </c>
      <c r="D1318" t="inlineStr">
        <is>
          <t>VÄRMLANDS LÄN</t>
        </is>
      </c>
      <c r="E1318" t="inlineStr">
        <is>
          <t>ARVIKA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7686-2023</t>
        </is>
      </c>
      <c r="B1319" s="1" t="n">
        <v>44972</v>
      </c>
      <c r="C1319" s="1" t="n">
        <v>46143</v>
      </c>
      <c r="D1319" t="inlineStr">
        <is>
          <t>VÄRMLANDS LÄN</t>
        </is>
      </c>
      <c r="E1319" t="inlineStr">
        <is>
          <t>ARVIKA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10581-2023</t>
        </is>
      </c>
      <c r="B1320" s="1" t="n">
        <v>44988.36252314815</v>
      </c>
      <c r="C1320" s="1" t="n">
        <v>46143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21468-2023</t>
        </is>
      </c>
      <c r="B1321" s="1" t="n">
        <v>45063.47018518519</v>
      </c>
      <c r="C1321" s="1" t="n">
        <v>46143</v>
      </c>
      <c r="D1321" t="inlineStr">
        <is>
          <t>VÄRMLANDS LÄN</t>
        </is>
      </c>
      <c r="E1321" t="inlineStr">
        <is>
          <t>ARVIKA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40299-2023</t>
        </is>
      </c>
      <c r="B1322" s="1" t="n">
        <v>45169</v>
      </c>
      <c r="C1322" s="1" t="n">
        <v>46143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46171-2023</t>
        </is>
      </c>
      <c r="B1323" s="1" t="n">
        <v>45196</v>
      </c>
      <c r="C1323" s="1" t="n">
        <v>46143</v>
      </c>
      <c r="D1323" t="inlineStr">
        <is>
          <t>VÄRMLANDS LÄN</t>
        </is>
      </c>
      <c r="E1323" t="inlineStr">
        <is>
          <t>ARVIKA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40509-2024</t>
        </is>
      </c>
      <c r="B1324" s="1" t="n">
        <v>45555.58422453704</v>
      </c>
      <c r="C1324" s="1" t="n">
        <v>46143</v>
      </c>
      <c r="D1324" t="inlineStr">
        <is>
          <t>VÄRMLANDS LÄN</t>
        </is>
      </c>
      <c r="E1324" t="inlineStr">
        <is>
          <t>ARVIKA</t>
        </is>
      </c>
      <c r="F1324" t="inlineStr">
        <is>
          <t>Kommuner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10129-2025</t>
        </is>
      </c>
      <c r="B1325" s="1" t="n">
        <v>45719.60755787037</v>
      </c>
      <c r="C1325" s="1" t="n">
        <v>46143</v>
      </c>
      <c r="D1325" t="inlineStr">
        <is>
          <t>VÄRMLANDS LÄN</t>
        </is>
      </c>
      <c r="E1325" t="inlineStr">
        <is>
          <t>ARVIKA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15420-2024</t>
        </is>
      </c>
      <c r="B1326" s="1" t="n">
        <v>45401</v>
      </c>
      <c r="C1326" s="1" t="n">
        <v>46143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14488-2025</t>
        </is>
      </c>
      <c r="B1327" s="1" t="n">
        <v>45741</v>
      </c>
      <c r="C1327" s="1" t="n">
        <v>46143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45175.65452546296</v>
      </c>
      <c r="C1328" s="1" t="n">
        <v>46143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20318-2025</t>
        </is>
      </c>
      <c r="B1329" s="1" t="n">
        <v>45775</v>
      </c>
      <c r="C1329" s="1" t="n">
        <v>46143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33639-2024</t>
        </is>
      </c>
      <c r="B1330" s="1" t="n">
        <v>45520</v>
      </c>
      <c r="C1330" s="1" t="n">
        <v>46143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28411-2024</t>
        </is>
      </c>
      <c r="B1331" s="1" t="n">
        <v>45477</v>
      </c>
      <c r="C1331" s="1" t="n">
        <v>46143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10475-2025</t>
        </is>
      </c>
      <c r="B1332" s="1" t="n">
        <v>45720</v>
      </c>
      <c r="C1332" s="1" t="n">
        <v>46143</v>
      </c>
      <c r="D1332" t="inlineStr">
        <is>
          <t>VÄRMLANDS LÄN</t>
        </is>
      </c>
      <c r="E1332" t="inlineStr">
        <is>
          <t>ARVIKA</t>
        </is>
      </c>
      <c r="F1332" t="inlineStr">
        <is>
          <t>Kyrkan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61864-2024</t>
        </is>
      </c>
      <c r="B1333" s="1" t="n">
        <v>45650</v>
      </c>
      <c r="C1333" s="1" t="n">
        <v>46143</v>
      </c>
      <c r="D1333" t="inlineStr">
        <is>
          <t>VÄRMLANDS LÄN</t>
        </is>
      </c>
      <c r="E1333" t="inlineStr">
        <is>
          <t>ARVIKA</t>
        </is>
      </c>
      <c r="G1333" t="n">
        <v>13.3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59104-2024</t>
        </is>
      </c>
      <c r="B1334" s="1" t="n">
        <v>45637</v>
      </c>
      <c r="C1334" s="1" t="n">
        <v>46143</v>
      </c>
      <c r="D1334" t="inlineStr">
        <is>
          <t>VÄRMLANDS LÄN</t>
        </is>
      </c>
      <c r="E1334" t="inlineStr">
        <is>
          <t>ARVIKA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32262-2024</t>
        </is>
      </c>
      <c r="B1335" s="1" t="n">
        <v>45512</v>
      </c>
      <c r="C1335" s="1" t="n">
        <v>46143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32263-2024</t>
        </is>
      </c>
      <c r="B1336" s="1" t="n">
        <v>45512</v>
      </c>
      <c r="C1336" s="1" t="n">
        <v>46143</v>
      </c>
      <c r="D1336" t="inlineStr">
        <is>
          <t>VÄRMLANDS LÄN</t>
        </is>
      </c>
      <c r="E1336" t="inlineStr">
        <is>
          <t>ARVIKA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47945-2024</t>
        </is>
      </c>
      <c r="B1337" s="1" t="n">
        <v>45589.35581018519</v>
      </c>
      <c r="C1337" s="1" t="n">
        <v>46143</v>
      </c>
      <c r="D1337" t="inlineStr">
        <is>
          <t>VÄRMLANDS LÄN</t>
        </is>
      </c>
      <c r="E1337" t="inlineStr">
        <is>
          <t>ARVIKA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31452-2023</t>
        </is>
      </c>
      <c r="B1338" s="1" t="n">
        <v>45114</v>
      </c>
      <c r="C1338" s="1" t="n">
        <v>46143</v>
      </c>
      <c r="D1338" t="inlineStr">
        <is>
          <t>VÄRMLANDS LÄN</t>
        </is>
      </c>
      <c r="E1338" t="inlineStr">
        <is>
          <t>ARVIKA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26703-2023</t>
        </is>
      </c>
      <c r="B1339" s="1" t="n">
        <v>45093.37353009259</v>
      </c>
      <c r="C1339" s="1" t="n">
        <v>46143</v>
      </c>
      <c r="D1339" t="inlineStr">
        <is>
          <t>VÄRMLANDS LÄN</t>
        </is>
      </c>
      <c r="E1339" t="inlineStr">
        <is>
          <t>ARVIKA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26710-2023</t>
        </is>
      </c>
      <c r="B1340" s="1" t="n">
        <v>45093.37859953703</v>
      </c>
      <c r="C1340" s="1" t="n">
        <v>46143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14622-2025</t>
        </is>
      </c>
      <c r="B1341" s="1" t="n">
        <v>45742.41634259259</v>
      </c>
      <c r="C1341" s="1" t="n">
        <v>46143</v>
      </c>
      <c r="D1341" t="inlineStr">
        <is>
          <t>VÄRMLANDS LÄN</t>
        </is>
      </c>
      <c r="E1341" t="inlineStr">
        <is>
          <t>ARVIKA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56430-2023</t>
        </is>
      </c>
      <c r="B1342" s="1" t="n">
        <v>45243</v>
      </c>
      <c r="C1342" s="1" t="n">
        <v>46143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23813-2022</t>
        </is>
      </c>
      <c r="B1343" s="1" t="n">
        <v>44722.47209490741</v>
      </c>
      <c r="C1343" s="1" t="n">
        <v>46143</v>
      </c>
      <c r="D1343" t="inlineStr">
        <is>
          <t>VÄRMLANDS LÄN</t>
        </is>
      </c>
      <c r="E1343" t="inlineStr">
        <is>
          <t>ARVIKA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44-2024</t>
        </is>
      </c>
      <c r="B1344" s="1" t="n">
        <v>45293</v>
      </c>
      <c r="C1344" s="1" t="n">
        <v>46143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9321-2022</t>
        </is>
      </c>
      <c r="B1345" s="1" t="n">
        <v>44616</v>
      </c>
      <c r="C1345" s="1" t="n">
        <v>46143</v>
      </c>
      <c r="D1345" t="inlineStr">
        <is>
          <t>VÄRMLANDS LÄN</t>
        </is>
      </c>
      <c r="E1345" t="inlineStr">
        <is>
          <t>ARVIKA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3643-2022</t>
        </is>
      </c>
      <c r="B1346" s="1" t="n">
        <v>44586.45680555556</v>
      </c>
      <c r="C1346" s="1" t="n">
        <v>46143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41493-2024</t>
        </is>
      </c>
      <c r="B1347" s="1" t="n">
        <v>45560.45288194445</v>
      </c>
      <c r="C1347" s="1" t="n">
        <v>46143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23660-2023</t>
        </is>
      </c>
      <c r="B1348" s="1" t="n">
        <v>45077</v>
      </c>
      <c r="C1348" s="1" t="n">
        <v>46143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19320-2024</t>
        </is>
      </c>
      <c r="B1349" s="1" t="n">
        <v>45428.90929398148</v>
      </c>
      <c r="C1349" s="1" t="n">
        <v>46143</v>
      </c>
      <c r="D1349" t="inlineStr">
        <is>
          <t>VÄRMLANDS LÄN</t>
        </is>
      </c>
      <c r="E1349" t="inlineStr">
        <is>
          <t>ARVIKA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2702-2025</t>
        </is>
      </c>
      <c r="B1350" s="1" t="n">
        <v>45677</v>
      </c>
      <c r="C1350" s="1" t="n">
        <v>46143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19260-2024</t>
        </is>
      </c>
      <c r="B1351" s="1" t="n">
        <v>45428.60917824074</v>
      </c>
      <c r="C1351" s="1" t="n">
        <v>46143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49-2025</t>
        </is>
      </c>
      <c r="B1352" s="1" t="n">
        <v>45659</v>
      </c>
      <c r="C1352" s="1" t="n">
        <v>46143</v>
      </c>
      <c r="D1352" t="inlineStr">
        <is>
          <t>VÄRMLANDS LÄN</t>
        </is>
      </c>
      <c r="E1352" t="inlineStr">
        <is>
          <t>ARVIKA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3760-2023</t>
        </is>
      </c>
      <c r="B1353" s="1" t="n">
        <v>44951</v>
      </c>
      <c r="C1353" s="1" t="n">
        <v>46143</v>
      </c>
      <c r="D1353" t="inlineStr">
        <is>
          <t>VÄRMLANDS LÄN</t>
        </is>
      </c>
      <c r="E1353" t="inlineStr">
        <is>
          <t>ARVIKA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59105-2022</t>
        </is>
      </c>
      <c r="B1354" s="1" t="n">
        <v>44904.41652777778</v>
      </c>
      <c r="C1354" s="1" t="n">
        <v>46143</v>
      </c>
      <c r="D1354" t="inlineStr">
        <is>
          <t>VÄRMLANDS LÄN</t>
        </is>
      </c>
      <c r="E1354" t="inlineStr">
        <is>
          <t>ARVIKA</t>
        </is>
      </c>
      <c r="F1354" t="inlineStr">
        <is>
          <t>Kommuner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45756-2024</t>
        </is>
      </c>
      <c r="B1355" s="1" t="n">
        <v>45579</v>
      </c>
      <c r="C1355" s="1" t="n">
        <v>46143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14772-2023</t>
        </is>
      </c>
      <c r="B1356" s="1" t="n">
        <v>45014</v>
      </c>
      <c r="C1356" s="1" t="n">
        <v>46143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10316-2025</t>
        </is>
      </c>
      <c r="B1357" s="1" t="n">
        <v>45720</v>
      </c>
      <c r="C1357" s="1" t="n">
        <v>46143</v>
      </c>
      <c r="D1357" t="inlineStr">
        <is>
          <t>VÄRMLANDS LÄN</t>
        </is>
      </c>
      <c r="E1357" t="inlineStr">
        <is>
          <t>ARVIKA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20071-2025</t>
        </is>
      </c>
      <c r="B1358" s="1" t="n">
        <v>45772.44461805555</v>
      </c>
      <c r="C1358" s="1" t="n">
        <v>46143</v>
      </c>
      <c r="D1358" t="inlineStr">
        <is>
          <t>VÄRMLANDS LÄN</t>
        </is>
      </c>
      <c r="E1358" t="inlineStr">
        <is>
          <t>ARVIKA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20096-2025</t>
        </is>
      </c>
      <c r="B1359" s="1" t="n">
        <v>45772</v>
      </c>
      <c r="C1359" s="1" t="n">
        <v>46143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23072-2022</t>
        </is>
      </c>
      <c r="B1360" s="1" t="n">
        <v>44718</v>
      </c>
      <c r="C1360" s="1" t="n">
        <v>46143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8784-2023</t>
        </is>
      </c>
      <c r="B1361" s="1" t="n">
        <v>44978</v>
      </c>
      <c r="C1361" s="1" t="n">
        <v>46143</v>
      </c>
      <c r="D1361" t="inlineStr">
        <is>
          <t>VÄRMLANDS LÄN</t>
        </is>
      </c>
      <c r="E1361" t="inlineStr">
        <is>
          <t>ARVIKA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9213-2025</t>
        </is>
      </c>
      <c r="B1362" s="1" t="n">
        <v>45714</v>
      </c>
      <c r="C1362" s="1" t="n">
        <v>46143</v>
      </c>
      <c r="D1362" t="inlineStr">
        <is>
          <t>VÄRMLANDS LÄN</t>
        </is>
      </c>
      <c r="E1362" t="inlineStr">
        <is>
          <t>ARVIKA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19177-2025</t>
        </is>
      </c>
      <c r="B1363" s="1" t="n">
        <v>45769</v>
      </c>
      <c r="C1363" s="1" t="n">
        <v>46143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12744-2024</t>
        </is>
      </c>
      <c r="B1364" s="1" t="n">
        <v>45384.54175925926</v>
      </c>
      <c r="C1364" s="1" t="n">
        <v>46143</v>
      </c>
      <c r="D1364" t="inlineStr">
        <is>
          <t>VÄRMLANDS LÄN</t>
        </is>
      </c>
      <c r="E1364" t="inlineStr">
        <is>
          <t>ARVIKA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24999-2024</t>
        </is>
      </c>
      <c r="B1365" s="1" t="n">
        <v>45461</v>
      </c>
      <c r="C1365" s="1" t="n">
        <v>46143</v>
      </c>
      <c r="D1365" t="inlineStr">
        <is>
          <t>VÄRMLANDS LÄN</t>
        </is>
      </c>
      <c r="E1365" t="inlineStr">
        <is>
          <t>ARVIKA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15755-2025</t>
        </is>
      </c>
      <c r="B1366" s="1" t="n">
        <v>45748</v>
      </c>
      <c r="C1366" s="1" t="n">
        <v>46143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9.5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HYPERLINK("https://klasma.github.io/Logging_1784/knärot/A 15755-2025 karta knärot.png", "A 15755-2025")</f>
        <v/>
      </c>
      <c r="V1366">
        <f>HYPERLINK("https://klasma.github.io/Logging_1784/klagomål/A 15755-2025 FSC-klagomål.docx", "A 15755-2025")</f>
        <v/>
      </c>
      <c r="W1366">
        <f>HYPERLINK("https://klasma.github.io/Logging_1784/klagomålsmail/A 15755-2025 FSC-klagomål mail.docx", "A 15755-2025")</f>
        <v/>
      </c>
      <c r="X1366">
        <f>HYPERLINK("https://klasma.github.io/Logging_1784/tillsyn/A 15755-2025 tillsynsbegäran.docx", "A 15755-2025")</f>
        <v/>
      </c>
      <c r="Y1366">
        <f>HYPERLINK("https://klasma.github.io/Logging_1784/tillsynsmail/A 15755-2025 tillsynsbegäran mail.docx", "A 15755-2025")</f>
        <v/>
      </c>
    </row>
    <row r="1367" ht="15" customHeight="1">
      <c r="A1367" t="inlineStr">
        <is>
          <t>A 58591-2023</t>
        </is>
      </c>
      <c r="B1367" s="1" t="n">
        <v>45251</v>
      </c>
      <c r="C1367" s="1" t="n">
        <v>46143</v>
      </c>
      <c r="D1367" t="inlineStr">
        <is>
          <t>VÄRMLANDS LÄN</t>
        </is>
      </c>
      <c r="E1367" t="inlineStr">
        <is>
          <t>ARVIKA</t>
        </is>
      </c>
      <c r="G1367" t="n">
        <v>15.3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61945-2024</t>
        </is>
      </c>
      <c r="B1368" s="1" t="n">
        <v>45653.49907407408</v>
      </c>
      <c r="C1368" s="1" t="n">
        <v>46143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37929-2024</t>
        </is>
      </c>
      <c r="B1369" s="1" t="n">
        <v>45544</v>
      </c>
      <c r="C1369" s="1" t="n">
        <v>46143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60059-2022</t>
        </is>
      </c>
      <c r="B1370" s="1" t="n">
        <v>44909</v>
      </c>
      <c r="C1370" s="1" t="n">
        <v>46143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35992-2023</t>
        </is>
      </c>
      <c r="B1371" s="1" t="n">
        <v>45149</v>
      </c>
      <c r="C1371" s="1" t="n">
        <v>46143</v>
      </c>
      <c r="D1371" t="inlineStr">
        <is>
          <t>VÄRMLANDS LÄN</t>
        </is>
      </c>
      <c r="E1371" t="inlineStr">
        <is>
          <t>ARVIKA</t>
        </is>
      </c>
      <c r="F1371" t="inlineStr">
        <is>
          <t>Kyrkan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45296-2023</t>
        </is>
      </c>
      <c r="B1372" s="1" t="n">
        <v>45191</v>
      </c>
      <c r="C1372" s="1" t="n">
        <v>46143</v>
      </c>
      <c r="D1372" t="inlineStr">
        <is>
          <t>VÄRMLANDS LÄN</t>
        </is>
      </c>
      <c r="E1372" t="inlineStr">
        <is>
          <t>ARVIKA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45298-2023</t>
        </is>
      </c>
      <c r="B1373" s="1" t="n">
        <v>45191</v>
      </c>
      <c r="C1373" s="1" t="n">
        <v>46143</v>
      </c>
      <c r="D1373" t="inlineStr">
        <is>
          <t>VÄRMLANDS LÄN</t>
        </is>
      </c>
      <c r="E1373" t="inlineStr">
        <is>
          <t>ARVIKA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52800-2021</t>
        </is>
      </c>
      <c r="B1374" s="1" t="n">
        <v>44467</v>
      </c>
      <c r="C1374" s="1" t="n">
        <v>46143</v>
      </c>
      <c r="D1374" t="inlineStr">
        <is>
          <t>VÄRMLANDS LÄN</t>
        </is>
      </c>
      <c r="E1374" t="inlineStr">
        <is>
          <t>ARVIKA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34400-2023</t>
        </is>
      </c>
      <c r="B1375" s="1" t="n">
        <v>45132</v>
      </c>
      <c r="C1375" s="1" t="n">
        <v>46143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42179-2022</t>
        </is>
      </c>
      <c r="B1376" s="1" t="n">
        <v>44830.63068287037</v>
      </c>
      <c r="C1376" s="1" t="n">
        <v>46143</v>
      </c>
      <c r="D1376" t="inlineStr">
        <is>
          <t>VÄRMLANDS LÄN</t>
        </is>
      </c>
      <c r="E1376" t="inlineStr">
        <is>
          <t>ARVIKA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35339-2024</t>
        </is>
      </c>
      <c r="B1377" s="1" t="n">
        <v>45530.87145833333</v>
      </c>
      <c r="C1377" s="1" t="n">
        <v>46143</v>
      </c>
      <c r="D1377" t="inlineStr">
        <is>
          <t>VÄRMLANDS LÄN</t>
        </is>
      </c>
      <c r="E1377" t="inlineStr">
        <is>
          <t>ARVIKA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33641-2024</t>
        </is>
      </c>
      <c r="B1378" s="1" t="n">
        <v>45520.44603009259</v>
      </c>
      <c r="C1378" s="1" t="n">
        <v>46143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49337-2023</t>
        </is>
      </c>
      <c r="B1379" s="1" t="n">
        <v>45210.96349537037</v>
      </c>
      <c r="C1379" s="1" t="n">
        <v>46143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3355-2022</t>
        </is>
      </c>
      <c r="B1380" s="1" t="n">
        <v>44585.39229166666</v>
      </c>
      <c r="C1380" s="1" t="n">
        <v>46143</v>
      </c>
      <c r="D1380" t="inlineStr">
        <is>
          <t>VÄRMLANDS LÄN</t>
        </is>
      </c>
      <c r="E1380" t="inlineStr">
        <is>
          <t>ARVIKA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60183-2021</t>
        </is>
      </c>
      <c r="B1381" s="1" t="n">
        <v>44495</v>
      </c>
      <c r="C1381" s="1" t="n">
        <v>46143</v>
      </c>
      <c r="D1381" t="inlineStr">
        <is>
          <t>VÄRMLANDS LÄN</t>
        </is>
      </c>
      <c r="E1381" t="inlineStr">
        <is>
          <t>ARVIKA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41175-2024</t>
        </is>
      </c>
      <c r="B1382" s="1" t="n">
        <v>45559.4950925926</v>
      </c>
      <c r="C1382" s="1" t="n">
        <v>46143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11892-2025</t>
        </is>
      </c>
      <c r="B1383" s="1" t="n">
        <v>45728.46597222222</v>
      </c>
      <c r="C1383" s="1" t="n">
        <v>46143</v>
      </c>
      <c r="D1383" t="inlineStr">
        <is>
          <t>VÄRMLANDS LÄN</t>
        </is>
      </c>
      <c r="E1383" t="inlineStr">
        <is>
          <t>ARVIKA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59625-2024</t>
        </is>
      </c>
      <c r="B1384" s="1" t="n">
        <v>45638</v>
      </c>
      <c r="C1384" s="1" t="n">
        <v>46143</v>
      </c>
      <c r="D1384" t="inlineStr">
        <is>
          <t>VÄRMLANDS LÄN</t>
        </is>
      </c>
      <c r="E1384" t="inlineStr">
        <is>
          <t>ARVIKA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51815-2024</t>
        </is>
      </c>
      <c r="B1385" s="1" t="n">
        <v>45607</v>
      </c>
      <c r="C1385" s="1" t="n">
        <v>46143</v>
      </c>
      <c r="D1385" t="inlineStr">
        <is>
          <t>VÄRMLANDS LÄN</t>
        </is>
      </c>
      <c r="E1385" t="inlineStr">
        <is>
          <t>ARVIKA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5744-2024</t>
        </is>
      </c>
      <c r="B1386" s="1" t="n">
        <v>45335.29577546296</v>
      </c>
      <c r="C1386" s="1" t="n">
        <v>46143</v>
      </c>
      <c r="D1386" t="inlineStr">
        <is>
          <t>VÄRMLANDS LÄN</t>
        </is>
      </c>
      <c r="E1386" t="inlineStr">
        <is>
          <t>ARVIKA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36479-2024</t>
        </is>
      </c>
      <c r="B1387" s="1" t="n">
        <v>45537.3708449074</v>
      </c>
      <c r="C1387" s="1" t="n">
        <v>46143</v>
      </c>
      <c r="D1387" t="inlineStr">
        <is>
          <t>VÄRMLANDS LÄN</t>
        </is>
      </c>
      <c r="E1387" t="inlineStr">
        <is>
          <t>ARVIKA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57346-2022</t>
        </is>
      </c>
      <c r="B1388" s="1" t="n">
        <v>44896.40659722222</v>
      </c>
      <c r="C1388" s="1" t="n">
        <v>46143</v>
      </c>
      <c r="D1388" t="inlineStr">
        <is>
          <t>VÄRMLANDS LÄN</t>
        </is>
      </c>
      <c r="E1388" t="inlineStr">
        <is>
          <t>ARVIKA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42314-2021</t>
        </is>
      </c>
      <c r="B1389" s="1" t="n">
        <v>44427</v>
      </c>
      <c r="C1389" s="1" t="n">
        <v>46143</v>
      </c>
      <c r="D1389" t="inlineStr">
        <is>
          <t>VÄRMLANDS LÄN</t>
        </is>
      </c>
      <c r="E1389" t="inlineStr">
        <is>
          <t>ARVIKA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55061-2023</t>
        </is>
      </c>
      <c r="B1390" s="1" t="n">
        <v>45237</v>
      </c>
      <c r="C1390" s="1" t="n">
        <v>46143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73936-2021</t>
        </is>
      </c>
      <c r="B1391" s="1" t="n">
        <v>44552</v>
      </c>
      <c r="C1391" s="1" t="n">
        <v>46143</v>
      </c>
      <c r="D1391" t="inlineStr">
        <is>
          <t>VÄRMLANDS LÄN</t>
        </is>
      </c>
      <c r="E1391" t="inlineStr">
        <is>
          <t>ARVIKA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1410-2025</t>
        </is>
      </c>
      <c r="B1392" s="1" t="n">
        <v>45667.97048611111</v>
      </c>
      <c r="C1392" s="1" t="n">
        <v>46143</v>
      </c>
      <c r="D1392" t="inlineStr">
        <is>
          <t>VÄRMLANDS LÄN</t>
        </is>
      </c>
      <c r="E1392" t="inlineStr">
        <is>
          <t>ARVIKA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34446-2023</t>
        </is>
      </c>
      <c r="B1393" s="1" t="n">
        <v>45135</v>
      </c>
      <c r="C1393" s="1" t="n">
        <v>46143</v>
      </c>
      <c r="D1393" t="inlineStr">
        <is>
          <t>VÄRMLANDS LÄN</t>
        </is>
      </c>
      <c r="E1393" t="inlineStr">
        <is>
          <t>ARVIKA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6255-2023</t>
        </is>
      </c>
      <c r="B1394" s="1" t="n">
        <v>44965.34155092593</v>
      </c>
      <c r="C1394" s="1" t="n">
        <v>46143</v>
      </c>
      <c r="D1394" t="inlineStr">
        <is>
          <t>VÄRMLANDS LÄN</t>
        </is>
      </c>
      <c r="E1394" t="inlineStr">
        <is>
          <t>ARVIKA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44420-2021</t>
        </is>
      </c>
      <c r="B1395" s="1" t="n">
        <v>44435</v>
      </c>
      <c r="C1395" s="1" t="n">
        <v>46143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59100-2024</t>
        </is>
      </c>
      <c r="B1396" s="1" t="n">
        <v>45637</v>
      </c>
      <c r="C1396" s="1" t="n">
        <v>46143</v>
      </c>
      <c r="D1396" t="inlineStr">
        <is>
          <t>VÄRMLANDS LÄN</t>
        </is>
      </c>
      <c r="E1396" t="inlineStr">
        <is>
          <t>ARVIKA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50234-2023</t>
        </is>
      </c>
      <c r="B1397" s="1" t="n">
        <v>45216</v>
      </c>
      <c r="C1397" s="1" t="n">
        <v>46143</v>
      </c>
      <c r="D1397" t="inlineStr">
        <is>
          <t>VÄRMLANDS LÄN</t>
        </is>
      </c>
      <c r="E1397" t="inlineStr">
        <is>
          <t>ARVIKA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20345-2022</t>
        </is>
      </c>
      <c r="B1398" s="1" t="n">
        <v>44699</v>
      </c>
      <c r="C1398" s="1" t="n">
        <v>46143</v>
      </c>
      <c r="D1398" t="inlineStr">
        <is>
          <t>VÄRMLANDS LÄN</t>
        </is>
      </c>
      <c r="E1398" t="inlineStr">
        <is>
          <t>ARVIKA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4065-2025</t>
        </is>
      </c>
      <c r="B1399" s="1" t="n">
        <v>45684.63273148148</v>
      </c>
      <c r="C1399" s="1" t="n">
        <v>46143</v>
      </c>
      <c r="D1399" t="inlineStr">
        <is>
          <t>VÄRMLANDS LÄN</t>
        </is>
      </c>
      <c r="E1399" t="inlineStr">
        <is>
          <t>ARVIKA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61653-2023</t>
        </is>
      </c>
      <c r="B1400" s="1" t="n">
        <v>45265</v>
      </c>
      <c r="C1400" s="1" t="n">
        <v>46143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8.9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20171-2025</t>
        </is>
      </c>
      <c r="B1401" s="1" t="n">
        <v>45772</v>
      </c>
      <c r="C1401" s="1" t="n">
        <v>46143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60516-2024</t>
        </is>
      </c>
      <c r="B1402" s="1" t="n">
        <v>45643</v>
      </c>
      <c r="C1402" s="1" t="n">
        <v>46143</v>
      </c>
      <c r="D1402" t="inlineStr">
        <is>
          <t>VÄRMLANDS LÄN</t>
        </is>
      </c>
      <c r="E1402" t="inlineStr">
        <is>
          <t>ARVIKA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60842-2021</t>
        </is>
      </c>
      <c r="B1403" s="1" t="n">
        <v>44496</v>
      </c>
      <c r="C1403" s="1" t="n">
        <v>46143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4736-2025</t>
        </is>
      </c>
      <c r="B1404" s="1" t="n">
        <v>45688.44668981482</v>
      </c>
      <c r="C1404" s="1" t="n">
        <v>46143</v>
      </c>
      <c r="D1404" t="inlineStr">
        <is>
          <t>VÄRMLANDS LÄN</t>
        </is>
      </c>
      <c r="E1404" t="inlineStr">
        <is>
          <t>ARVIKA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33047-2024</t>
        </is>
      </c>
      <c r="B1405" s="1" t="n">
        <v>45517</v>
      </c>
      <c r="C1405" s="1" t="n">
        <v>46143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  <c r="U1405">
        <f>HYPERLINK("https://klasma.github.io/Logging_1784/knärot/A 33047-2024 karta knärot.png", "A 33047-2024")</f>
        <v/>
      </c>
      <c r="V1405">
        <f>HYPERLINK("https://klasma.github.io/Logging_1784/klagomål/A 33047-2024 FSC-klagomål.docx", "A 33047-2024")</f>
        <v/>
      </c>
      <c r="W1405">
        <f>HYPERLINK("https://klasma.github.io/Logging_1784/klagomålsmail/A 33047-2024 FSC-klagomål mail.docx", "A 33047-2024")</f>
        <v/>
      </c>
      <c r="X1405">
        <f>HYPERLINK("https://klasma.github.io/Logging_1784/tillsyn/A 33047-2024 tillsynsbegäran.docx", "A 33047-2024")</f>
        <v/>
      </c>
      <c r="Y1405">
        <f>HYPERLINK("https://klasma.github.io/Logging_1784/tillsynsmail/A 33047-2024 tillsynsbegäran mail.docx", "A 33047-2024")</f>
        <v/>
      </c>
    </row>
    <row r="1406" ht="15" customHeight="1">
      <c r="A1406" t="inlineStr">
        <is>
          <t>A 58066-2024</t>
        </is>
      </c>
      <c r="B1406" s="1" t="n">
        <v>45631</v>
      </c>
      <c r="C1406" s="1" t="n">
        <v>46143</v>
      </c>
      <c r="D1406" t="inlineStr">
        <is>
          <t>VÄRMLANDS LÄN</t>
        </is>
      </c>
      <c r="E1406" t="inlineStr">
        <is>
          <t>ARVIKA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71778-2021</t>
        </is>
      </c>
      <c r="B1407" s="1" t="n">
        <v>44543</v>
      </c>
      <c r="C1407" s="1" t="n">
        <v>46143</v>
      </c>
      <c r="D1407" t="inlineStr">
        <is>
          <t>VÄRMLANDS LÄN</t>
        </is>
      </c>
      <c r="E1407" t="inlineStr">
        <is>
          <t>ARVIKA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58151-2024</t>
        </is>
      </c>
      <c r="B1408" s="1" t="n">
        <v>45632</v>
      </c>
      <c r="C1408" s="1" t="n">
        <v>46143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58153-2024</t>
        </is>
      </c>
      <c r="B1409" s="1" t="n">
        <v>45632</v>
      </c>
      <c r="C1409" s="1" t="n">
        <v>46143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39597-2023</t>
        </is>
      </c>
      <c r="B1410" s="1" t="n">
        <v>45163</v>
      </c>
      <c r="C1410" s="1" t="n">
        <v>46143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39601-2023</t>
        </is>
      </c>
      <c r="B1411" s="1" t="n">
        <v>45163</v>
      </c>
      <c r="C1411" s="1" t="n">
        <v>46143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61555-2022</t>
        </is>
      </c>
      <c r="B1412" s="1" t="n">
        <v>44916.58346064815</v>
      </c>
      <c r="C1412" s="1" t="n">
        <v>46143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51316-2024</t>
        </is>
      </c>
      <c r="B1413" s="1" t="n">
        <v>45604.32564814815</v>
      </c>
      <c r="C1413" s="1" t="n">
        <v>46143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59341-2022</t>
        </is>
      </c>
      <c r="B1414" s="1" t="n">
        <v>44904.66460648148</v>
      </c>
      <c r="C1414" s="1" t="n">
        <v>46143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38987-2022</t>
        </is>
      </c>
      <c r="B1415" s="1" t="n">
        <v>44816.88849537037</v>
      </c>
      <c r="C1415" s="1" t="n">
        <v>46143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46515-2023</t>
        </is>
      </c>
      <c r="B1416" s="1" t="n">
        <v>45197.70663194444</v>
      </c>
      <c r="C1416" s="1" t="n">
        <v>46143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49925-2024</t>
        </is>
      </c>
      <c r="B1417" s="1" t="n">
        <v>45597</v>
      </c>
      <c r="C1417" s="1" t="n">
        <v>46143</v>
      </c>
      <c r="D1417" t="inlineStr">
        <is>
          <t>VÄRMLANDS LÄN</t>
        </is>
      </c>
      <c r="E1417" t="inlineStr">
        <is>
          <t>ARVIKA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55734-2024</t>
        </is>
      </c>
      <c r="B1418" s="1" t="n">
        <v>45622</v>
      </c>
      <c r="C1418" s="1" t="n">
        <v>46143</v>
      </c>
      <c r="D1418" t="inlineStr">
        <is>
          <t>VÄRMLANDS LÄN</t>
        </is>
      </c>
      <c r="E1418" t="inlineStr">
        <is>
          <t>ARVIKA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67196-2021</t>
        </is>
      </c>
      <c r="B1419" s="1" t="n">
        <v>44523.45806712963</v>
      </c>
      <c r="C1419" s="1" t="n">
        <v>46143</v>
      </c>
      <c r="D1419" t="inlineStr">
        <is>
          <t>VÄRMLANDS LÄN</t>
        </is>
      </c>
      <c r="E1419" t="inlineStr">
        <is>
          <t>ARVIKA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65357-2021</t>
        </is>
      </c>
      <c r="B1420" s="1" t="n">
        <v>44515.66583333333</v>
      </c>
      <c r="C1420" s="1" t="n">
        <v>46143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33869-2024</t>
        </is>
      </c>
      <c r="B1421" s="1" t="n">
        <v>45520.73450231482</v>
      </c>
      <c r="C1421" s="1" t="n">
        <v>46143</v>
      </c>
      <c r="D1421" t="inlineStr">
        <is>
          <t>VÄRMLANDS LÄN</t>
        </is>
      </c>
      <c r="E1421" t="inlineStr">
        <is>
          <t>ARVIKA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32556-2024</t>
        </is>
      </c>
      <c r="B1422" s="1" t="n">
        <v>45513.52241898148</v>
      </c>
      <c r="C1422" s="1" t="n">
        <v>46143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20020-2025</t>
        </is>
      </c>
      <c r="B1423" s="1" t="n">
        <v>45772</v>
      </c>
      <c r="C1423" s="1" t="n">
        <v>46143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8631-2025</t>
        </is>
      </c>
      <c r="B1424" s="1" t="n">
        <v>45711.72951388889</v>
      </c>
      <c r="C1424" s="1" t="n">
        <v>46143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7348-2025</t>
        </is>
      </c>
      <c r="B1425" s="1" t="n">
        <v>45703</v>
      </c>
      <c r="C1425" s="1" t="n">
        <v>46143</v>
      </c>
      <c r="D1425" t="inlineStr">
        <is>
          <t>VÄRMLANDS LÄN</t>
        </is>
      </c>
      <c r="E1425" t="inlineStr">
        <is>
          <t>ARVIKA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20195-2025</t>
        </is>
      </c>
      <c r="B1426" s="1" t="n">
        <v>45772.60922453704</v>
      </c>
      <c r="C1426" s="1" t="n">
        <v>46143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8795-2023</t>
        </is>
      </c>
      <c r="B1427" s="1" t="n">
        <v>44978</v>
      </c>
      <c r="C1427" s="1" t="n">
        <v>46143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22563-2021</t>
        </is>
      </c>
      <c r="B1428" s="1" t="n">
        <v>44322</v>
      </c>
      <c r="C1428" s="1" t="n">
        <v>46143</v>
      </c>
      <c r="D1428" t="inlineStr">
        <is>
          <t>VÄRMLANDS LÄN</t>
        </is>
      </c>
      <c r="E1428" t="inlineStr">
        <is>
          <t>ARVIKA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27760-2023</t>
        </is>
      </c>
      <c r="B1429" s="1" t="n">
        <v>45098.40652777778</v>
      </c>
      <c r="C1429" s="1" t="n">
        <v>46143</v>
      </c>
      <c r="D1429" t="inlineStr">
        <is>
          <t>VÄRMLANDS LÄN</t>
        </is>
      </c>
      <c r="E1429" t="inlineStr">
        <is>
          <t>ARVIKA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10850-2022</t>
        </is>
      </c>
      <c r="B1430" s="1" t="n">
        <v>44627</v>
      </c>
      <c r="C1430" s="1" t="n">
        <v>46143</v>
      </c>
      <c r="D1430" t="inlineStr">
        <is>
          <t>VÄRMLANDS LÄN</t>
        </is>
      </c>
      <c r="E1430" t="inlineStr">
        <is>
          <t>ARVIKA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17363-2023</t>
        </is>
      </c>
      <c r="B1431" s="1" t="n">
        <v>45035</v>
      </c>
      <c r="C1431" s="1" t="n">
        <v>46143</v>
      </c>
      <c r="D1431" t="inlineStr">
        <is>
          <t>VÄRMLANDS LÄN</t>
        </is>
      </c>
      <c r="E1431" t="inlineStr">
        <is>
          <t>ARVIKA</t>
        </is>
      </c>
      <c r="G1431" t="n">
        <v>19.4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60366-2023</t>
        </is>
      </c>
      <c r="B1432" s="1" t="n">
        <v>45259</v>
      </c>
      <c r="C1432" s="1" t="n">
        <v>46143</v>
      </c>
      <c r="D1432" t="inlineStr">
        <is>
          <t>VÄRMLANDS LÄN</t>
        </is>
      </c>
      <c r="E1432" t="inlineStr">
        <is>
          <t>ARVIKA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46750-2024</t>
        </is>
      </c>
      <c r="B1433" s="1" t="n">
        <v>45583.48366898148</v>
      </c>
      <c r="C1433" s="1" t="n">
        <v>46143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36251-2024</t>
        </is>
      </c>
      <c r="B1434" s="1" t="n">
        <v>45534.53959490741</v>
      </c>
      <c r="C1434" s="1" t="n">
        <v>46143</v>
      </c>
      <c r="D1434" t="inlineStr">
        <is>
          <t>VÄRMLANDS LÄN</t>
        </is>
      </c>
      <c r="E1434" t="inlineStr">
        <is>
          <t>ARVIKA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17957-2025</t>
        </is>
      </c>
      <c r="B1435" s="1" t="n">
        <v>45760.95818287037</v>
      </c>
      <c r="C1435" s="1" t="n">
        <v>46143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45805-2024</t>
        </is>
      </c>
      <c r="B1436" s="1" t="n">
        <v>45579.69106481481</v>
      </c>
      <c r="C1436" s="1" t="n">
        <v>46143</v>
      </c>
      <c r="D1436" t="inlineStr">
        <is>
          <t>VÄRMLANDS LÄN</t>
        </is>
      </c>
      <c r="E1436" t="inlineStr">
        <is>
          <t>ARVIKA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58062-2024</t>
        </is>
      </c>
      <c r="B1437" s="1" t="n">
        <v>45631</v>
      </c>
      <c r="C1437" s="1" t="n">
        <v>46143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52357-2021</t>
        </is>
      </c>
      <c r="B1438" s="1" t="n">
        <v>44464</v>
      </c>
      <c r="C1438" s="1" t="n">
        <v>46143</v>
      </c>
      <c r="D1438" t="inlineStr">
        <is>
          <t>VÄRMLANDS LÄN</t>
        </is>
      </c>
      <c r="E1438" t="inlineStr">
        <is>
          <t>ARVIKA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12539-2025</t>
        </is>
      </c>
      <c r="B1439" s="1" t="n">
        <v>45730.75067129629</v>
      </c>
      <c r="C1439" s="1" t="n">
        <v>46143</v>
      </c>
      <c r="D1439" t="inlineStr">
        <is>
          <t>VÄRMLANDS LÄN</t>
        </is>
      </c>
      <c r="E1439" t="inlineStr">
        <is>
          <t>ARVIKA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25400-2023</t>
        </is>
      </c>
      <c r="B1440" s="1" t="n">
        <v>45089.36403935185</v>
      </c>
      <c r="C1440" s="1" t="n">
        <v>46143</v>
      </c>
      <c r="D1440" t="inlineStr">
        <is>
          <t>VÄRMLANDS LÄN</t>
        </is>
      </c>
      <c r="E1440" t="inlineStr">
        <is>
          <t>ARVIKA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25405-2023</t>
        </is>
      </c>
      <c r="B1441" s="1" t="n">
        <v>45089</v>
      </c>
      <c r="C1441" s="1" t="n">
        <v>46143</v>
      </c>
      <c r="D1441" t="inlineStr">
        <is>
          <t>VÄRMLANDS LÄN</t>
        </is>
      </c>
      <c r="E1441" t="inlineStr">
        <is>
          <t>ARVIKA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40436-2024</t>
        </is>
      </c>
      <c r="B1442" s="1" t="n">
        <v>45555</v>
      </c>
      <c r="C1442" s="1" t="n">
        <v>46143</v>
      </c>
      <c r="D1442" t="inlineStr">
        <is>
          <t>VÄRMLANDS LÄN</t>
        </is>
      </c>
      <c r="E1442" t="inlineStr">
        <is>
          <t>ARVIKA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40441-2024</t>
        </is>
      </c>
      <c r="B1443" s="1" t="n">
        <v>45555</v>
      </c>
      <c r="C1443" s="1" t="n">
        <v>46143</v>
      </c>
      <c r="D1443" t="inlineStr">
        <is>
          <t>VÄRMLANDS LÄN</t>
        </is>
      </c>
      <c r="E1443" t="inlineStr">
        <is>
          <t>ARVIKA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46530-2022</t>
        </is>
      </c>
      <c r="B1444" s="1" t="n">
        <v>44848</v>
      </c>
      <c r="C1444" s="1" t="n">
        <v>46143</v>
      </c>
      <c r="D1444" t="inlineStr">
        <is>
          <t>VÄRMLANDS LÄN</t>
        </is>
      </c>
      <c r="E1444" t="inlineStr">
        <is>
          <t>ARVIKA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49245-2023</t>
        </is>
      </c>
      <c r="B1445" s="1" t="n">
        <v>45210.65605324074</v>
      </c>
      <c r="C1445" s="1" t="n">
        <v>46143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10742-2022</t>
        </is>
      </c>
      <c r="B1446" s="1" t="n">
        <v>44627.36464120371</v>
      </c>
      <c r="C1446" s="1" t="n">
        <v>46143</v>
      </c>
      <c r="D1446" t="inlineStr">
        <is>
          <t>VÄRMLANDS LÄN</t>
        </is>
      </c>
      <c r="E1446" t="inlineStr">
        <is>
          <t>ARVIKA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16559-2025</t>
        </is>
      </c>
      <c r="B1447" s="1" t="n">
        <v>45751</v>
      </c>
      <c r="C1447" s="1" t="n">
        <v>46143</v>
      </c>
      <c r="D1447" t="inlineStr">
        <is>
          <t>VÄRMLANDS LÄN</t>
        </is>
      </c>
      <c r="E1447" t="inlineStr">
        <is>
          <t>ARVIKA</t>
        </is>
      </c>
      <c r="F1447" t="inlineStr">
        <is>
          <t>Kommuner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36303-2024</t>
        </is>
      </c>
      <c r="B1448" s="1" t="n">
        <v>45534</v>
      </c>
      <c r="C1448" s="1" t="n">
        <v>46143</v>
      </c>
      <c r="D1448" t="inlineStr">
        <is>
          <t>VÄRMLANDS LÄN</t>
        </is>
      </c>
      <c r="E1448" t="inlineStr">
        <is>
          <t>ARVIKA</t>
        </is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26056-2024</t>
        </is>
      </c>
      <c r="B1449" s="1" t="n">
        <v>45468</v>
      </c>
      <c r="C1449" s="1" t="n">
        <v>46143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48188-2024</t>
        </is>
      </c>
      <c r="B1450" s="1" t="n">
        <v>45590.10390046296</v>
      </c>
      <c r="C1450" s="1" t="n">
        <v>46143</v>
      </c>
      <c r="D1450" t="inlineStr">
        <is>
          <t>VÄRMLANDS LÄN</t>
        </is>
      </c>
      <c r="E1450" t="inlineStr">
        <is>
          <t>ARVIKA</t>
        </is>
      </c>
      <c r="F1450" t="inlineStr">
        <is>
          <t>Kommuner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25491-2023</t>
        </is>
      </c>
      <c r="B1451" s="1" t="n">
        <v>45089</v>
      </c>
      <c r="C1451" s="1" t="n">
        <v>46143</v>
      </c>
      <c r="D1451" t="inlineStr">
        <is>
          <t>VÄRMLANDS LÄN</t>
        </is>
      </c>
      <c r="E1451" t="inlineStr">
        <is>
          <t>ARVIKA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38536-2023</t>
        </is>
      </c>
      <c r="B1452" s="1" t="n">
        <v>45162.57837962963</v>
      </c>
      <c r="C1452" s="1" t="n">
        <v>46143</v>
      </c>
      <c r="D1452" t="inlineStr">
        <is>
          <t>VÄRMLANDS LÄN</t>
        </is>
      </c>
      <c r="E1452" t="inlineStr">
        <is>
          <t>ARVIKA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3974-2023</t>
        </is>
      </c>
      <c r="B1453" s="1" t="n">
        <v>44952.44694444445</v>
      </c>
      <c r="C1453" s="1" t="n">
        <v>46143</v>
      </c>
      <c r="D1453" t="inlineStr">
        <is>
          <t>VÄRMLANDS LÄN</t>
        </is>
      </c>
      <c r="E1453" t="inlineStr">
        <is>
          <t>ARVIKA</t>
        </is>
      </c>
      <c r="G1453" t="n">
        <v>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39124-2024</t>
        </is>
      </c>
      <c r="B1454" s="1" t="n">
        <v>45548</v>
      </c>
      <c r="C1454" s="1" t="n">
        <v>46143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31053-2023</t>
        </is>
      </c>
      <c r="B1455" s="1" t="n">
        <v>45113</v>
      </c>
      <c r="C1455" s="1" t="n">
        <v>46143</v>
      </c>
      <c r="D1455" t="inlineStr">
        <is>
          <t>VÄRMLANDS LÄN</t>
        </is>
      </c>
      <c r="E1455" t="inlineStr">
        <is>
          <t>ARVIKA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53960-2024</t>
        </is>
      </c>
      <c r="B1456" s="1" t="n">
        <v>45616.31168981481</v>
      </c>
      <c r="C1456" s="1" t="n">
        <v>46143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35528-2023</t>
        </is>
      </c>
      <c r="B1457" s="1" t="n">
        <v>45147</v>
      </c>
      <c r="C1457" s="1" t="n">
        <v>46143</v>
      </c>
      <c r="D1457" t="inlineStr">
        <is>
          <t>VÄRMLANDS LÄN</t>
        </is>
      </c>
      <c r="E1457" t="inlineStr">
        <is>
          <t>ARVIKA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57998-2023</t>
        </is>
      </c>
      <c r="B1458" s="1" t="n">
        <v>45247</v>
      </c>
      <c r="C1458" s="1" t="n">
        <v>46143</v>
      </c>
      <c r="D1458" t="inlineStr">
        <is>
          <t>VÄRMLANDS LÄN</t>
        </is>
      </c>
      <c r="E1458" t="inlineStr">
        <is>
          <t>ARVIKA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25482-2023</t>
        </is>
      </c>
      <c r="B1459" s="1" t="n">
        <v>45089</v>
      </c>
      <c r="C1459" s="1" t="n">
        <v>46143</v>
      </c>
      <c r="D1459" t="inlineStr">
        <is>
          <t>VÄRMLANDS LÄN</t>
        </is>
      </c>
      <c r="E1459" t="inlineStr">
        <is>
          <t>ARVIKA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56714-2022</t>
        </is>
      </c>
      <c r="B1460" s="1" t="n">
        <v>44893.86241898148</v>
      </c>
      <c r="C1460" s="1" t="n">
        <v>46143</v>
      </c>
      <c r="D1460" t="inlineStr">
        <is>
          <t>VÄRMLANDS LÄN</t>
        </is>
      </c>
      <c r="E1460" t="inlineStr">
        <is>
          <t>ARVIKA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4995-2025</t>
        </is>
      </c>
      <c r="B1461" s="1" t="n">
        <v>45691.35699074074</v>
      </c>
      <c r="C1461" s="1" t="n">
        <v>46143</v>
      </c>
      <c r="D1461" t="inlineStr">
        <is>
          <t>VÄRMLANDS LÄN</t>
        </is>
      </c>
      <c r="E1461" t="inlineStr">
        <is>
          <t>ARVIKA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45178-2023</t>
        </is>
      </c>
      <c r="B1462" s="1" t="n">
        <v>45191.53236111111</v>
      </c>
      <c r="C1462" s="1" t="n">
        <v>46143</v>
      </c>
      <c r="D1462" t="inlineStr">
        <is>
          <t>VÄRMLANDS LÄN</t>
        </is>
      </c>
      <c r="E1462" t="inlineStr">
        <is>
          <t>ARVIKA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40949-2022</t>
        </is>
      </c>
      <c r="B1463" s="1" t="n">
        <v>44825.45866898148</v>
      </c>
      <c r="C1463" s="1" t="n">
        <v>46143</v>
      </c>
      <c r="D1463" t="inlineStr">
        <is>
          <t>VÄRMLANDS LÄN</t>
        </is>
      </c>
      <c r="E1463" t="inlineStr">
        <is>
          <t>ARVIKA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5965-2024</t>
        </is>
      </c>
      <c r="B1464" s="1" t="n">
        <v>45336</v>
      </c>
      <c r="C1464" s="1" t="n">
        <v>46143</v>
      </c>
      <c r="D1464" t="inlineStr">
        <is>
          <t>VÄRMLANDS LÄN</t>
        </is>
      </c>
      <c r="E1464" t="inlineStr">
        <is>
          <t>ARVIKA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49334-2024</t>
        </is>
      </c>
      <c r="B1465" s="1" t="n">
        <v>45595.58565972222</v>
      </c>
      <c r="C1465" s="1" t="n">
        <v>46143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9.4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36125-2022</t>
        </is>
      </c>
      <c r="B1466" s="1" t="n">
        <v>44803</v>
      </c>
      <c r="C1466" s="1" t="n">
        <v>46143</v>
      </c>
      <c r="D1466" t="inlineStr">
        <is>
          <t>VÄRMLANDS LÄN</t>
        </is>
      </c>
      <c r="E1466" t="inlineStr">
        <is>
          <t>ARVIKA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33765-2024</t>
        </is>
      </c>
      <c r="B1467" s="1" t="n">
        <v>45520.57130787037</v>
      </c>
      <c r="C1467" s="1" t="n">
        <v>46143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41686-2021</t>
        </is>
      </c>
      <c r="B1468" s="1" t="n">
        <v>44425</v>
      </c>
      <c r="C1468" s="1" t="n">
        <v>46143</v>
      </c>
      <c r="D1468" t="inlineStr">
        <is>
          <t>VÄRMLANDS LÄN</t>
        </is>
      </c>
      <c r="E1468" t="inlineStr">
        <is>
          <t>ARVIKA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HYPERLINK("https://klasma.github.io/Logging_1784/knärot/A 41686-2021 karta knärot.png", "A 41686-2021")</f>
        <v/>
      </c>
      <c r="V1468">
        <f>HYPERLINK("https://klasma.github.io/Logging_1784/klagomål/A 41686-2021 FSC-klagomål.docx", "A 41686-2021")</f>
        <v/>
      </c>
      <c r="W1468">
        <f>HYPERLINK("https://klasma.github.io/Logging_1784/klagomålsmail/A 41686-2021 FSC-klagomål mail.docx", "A 41686-2021")</f>
        <v/>
      </c>
      <c r="X1468">
        <f>HYPERLINK("https://klasma.github.io/Logging_1784/tillsyn/A 41686-2021 tillsynsbegäran.docx", "A 41686-2021")</f>
        <v/>
      </c>
      <c r="Y1468">
        <f>HYPERLINK("https://klasma.github.io/Logging_1784/tillsynsmail/A 41686-2021 tillsynsbegäran mail.docx", "A 41686-2021")</f>
        <v/>
      </c>
    </row>
    <row r="1469" ht="15" customHeight="1">
      <c r="A1469" t="inlineStr">
        <is>
          <t>A 63217-2023</t>
        </is>
      </c>
      <c r="B1469" s="1" t="n">
        <v>45273</v>
      </c>
      <c r="C1469" s="1" t="n">
        <v>46143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4049-2022</t>
        </is>
      </c>
      <c r="B1470" s="1" t="n">
        <v>44588</v>
      </c>
      <c r="C1470" s="1" t="n">
        <v>46143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17108-2025</t>
        </is>
      </c>
      <c r="B1471" s="1" t="n">
        <v>45755</v>
      </c>
      <c r="C1471" s="1" t="n">
        <v>46143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26718-2023</t>
        </is>
      </c>
      <c r="B1472" s="1" t="n">
        <v>45093.3868287037</v>
      </c>
      <c r="C1472" s="1" t="n">
        <v>46143</v>
      </c>
      <c r="D1472" t="inlineStr">
        <is>
          <t>VÄRMLANDS LÄN</t>
        </is>
      </c>
      <c r="E1472" t="inlineStr">
        <is>
          <t>ARVIKA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26722-2023</t>
        </is>
      </c>
      <c r="B1473" s="1" t="n">
        <v>45093.39921296296</v>
      </c>
      <c r="C1473" s="1" t="n">
        <v>46143</v>
      </c>
      <c r="D1473" t="inlineStr">
        <is>
          <t>VÄRMLANDS LÄN</t>
        </is>
      </c>
      <c r="E1473" t="inlineStr">
        <is>
          <t>ARVIKA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26728-2023</t>
        </is>
      </c>
      <c r="B1474" s="1" t="n">
        <v>45093</v>
      </c>
      <c r="C1474" s="1" t="n">
        <v>46143</v>
      </c>
      <c r="D1474" t="inlineStr">
        <is>
          <t>VÄRMLANDS LÄN</t>
        </is>
      </c>
      <c r="E1474" t="inlineStr">
        <is>
          <t>ARVIKA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32577-2023</t>
        </is>
      </c>
      <c r="B1475" s="1" t="n">
        <v>45121.47208333333</v>
      </c>
      <c r="C1475" s="1" t="n">
        <v>46143</v>
      </c>
      <c r="D1475" t="inlineStr">
        <is>
          <t>VÄRMLANDS LÄN</t>
        </is>
      </c>
      <c r="E1475" t="inlineStr">
        <is>
          <t>ARVIKA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25227-2023</t>
        </is>
      </c>
      <c r="B1476" s="1" t="n">
        <v>45086</v>
      </c>
      <c r="C1476" s="1" t="n">
        <v>46143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25243-2023</t>
        </is>
      </c>
      <c r="B1477" s="1" t="n">
        <v>45086</v>
      </c>
      <c r="C1477" s="1" t="n">
        <v>46143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70453-2021</t>
        </is>
      </c>
      <c r="B1478" s="1" t="n">
        <v>44536</v>
      </c>
      <c r="C1478" s="1" t="n">
        <v>46143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8780-2023</t>
        </is>
      </c>
      <c r="B1479" s="1" t="n">
        <v>44978</v>
      </c>
      <c r="C1479" s="1" t="n">
        <v>46143</v>
      </c>
      <c r="D1479" t="inlineStr">
        <is>
          <t>VÄRMLANDS LÄN</t>
        </is>
      </c>
      <c r="E1479" t="inlineStr">
        <is>
          <t>ARVIKA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37561-2024</t>
        </is>
      </c>
      <c r="B1480" s="1" t="n">
        <v>45541</v>
      </c>
      <c r="C1480" s="1" t="n">
        <v>46143</v>
      </c>
      <c r="D1480" t="inlineStr">
        <is>
          <t>VÄRMLANDS LÄN</t>
        </is>
      </c>
      <c r="E1480" t="inlineStr">
        <is>
          <t>ARVIKA</t>
        </is>
      </c>
      <c r="G1480" t="n">
        <v>8.699999999999999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6602-2024</t>
        </is>
      </c>
      <c r="B1481" s="1" t="n">
        <v>45341</v>
      </c>
      <c r="C1481" s="1" t="n">
        <v>46143</v>
      </c>
      <c r="D1481" t="inlineStr">
        <is>
          <t>VÄRMLANDS LÄN</t>
        </is>
      </c>
      <c r="E1481" t="inlineStr">
        <is>
          <t>ARVIKA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47489-2024</t>
        </is>
      </c>
      <c r="B1482" s="1" t="n">
        <v>45587</v>
      </c>
      <c r="C1482" s="1" t="n">
        <v>46143</v>
      </c>
      <c r="D1482" t="inlineStr">
        <is>
          <t>VÄRMLANDS LÄN</t>
        </is>
      </c>
      <c r="E1482" t="inlineStr">
        <is>
          <t>ARVIKA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42997-2023</t>
        </is>
      </c>
      <c r="B1483" s="1" t="n">
        <v>45182.62891203703</v>
      </c>
      <c r="C1483" s="1" t="n">
        <v>46143</v>
      </c>
      <c r="D1483" t="inlineStr">
        <is>
          <t>VÄRMLANDS LÄN</t>
        </is>
      </c>
      <c r="E1483" t="inlineStr">
        <is>
          <t>ARVIKA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29175-2024</t>
        </is>
      </c>
      <c r="B1484" s="1" t="n">
        <v>45482.53081018518</v>
      </c>
      <c r="C1484" s="1" t="n">
        <v>46143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35579-2023</t>
        </is>
      </c>
      <c r="B1485" s="1" t="n">
        <v>45147</v>
      </c>
      <c r="C1485" s="1" t="n">
        <v>46143</v>
      </c>
      <c r="D1485" t="inlineStr">
        <is>
          <t>VÄRMLANDS LÄN</t>
        </is>
      </c>
      <c r="E1485" t="inlineStr">
        <is>
          <t>ARVIKA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16757-2025</t>
        </is>
      </c>
      <c r="B1486" s="1" t="n">
        <v>45754</v>
      </c>
      <c r="C1486" s="1" t="n">
        <v>46143</v>
      </c>
      <c r="D1486" t="inlineStr">
        <is>
          <t>VÄRMLANDS LÄN</t>
        </is>
      </c>
      <c r="E1486" t="inlineStr">
        <is>
          <t>ARVIKA</t>
        </is>
      </c>
      <c r="G1486" t="n">
        <v>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16762-2025</t>
        </is>
      </c>
      <c r="B1487" s="1" t="n">
        <v>45754.57711805555</v>
      </c>
      <c r="C1487" s="1" t="n">
        <v>46143</v>
      </c>
      <c r="D1487" t="inlineStr">
        <is>
          <t>VÄRMLANDS LÄN</t>
        </is>
      </c>
      <c r="E1487" t="inlineStr">
        <is>
          <t>ARVIKA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45891-2024</t>
        </is>
      </c>
      <c r="B1488" s="1" t="n">
        <v>45580</v>
      </c>
      <c r="C1488" s="1" t="n">
        <v>46143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45962-2024</t>
        </is>
      </c>
      <c r="B1489" s="1" t="n">
        <v>45580.57537037037</v>
      </c>
      <c r="C1489" s="1" t="n">
        <v>46143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3645-2023</t>
        </is>
      </c>
      <c r="B1490" s="1" t="n">
        <v>44950.70296296296</v>
      </c>
      <c r="C1490" s="1" t="n">
        <v>46143</v>
      </c>
      <c r="D1490" t="inlineStr">
        <is>
          <t>VÄRMLANDS LÄN</t>
        </is>
      </c>
      <c r="E1490" t="inlineStr">
        <is>
          <t>ARVIKA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41127-2024</t>
        </is>
      </c>
      <c r="B1491" s="1" t="n">
        <v>45559</v>
      </c>
      <c r="C1491" s="1" t="n">
        <v>46143</v>
      </c>
      <c r="D1491" t="inlineStr">
        <is>
          <t>VÄRMLANDS LÄN</t>
        </is>
      </c>
      <c r="E1491" t="inlineStr">
        <is>
          <t>ARVIKA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11562-2025</t>
        </is>
      </c>
      <c r="B1492" s="1" t="n">
        <v>45727.37107638889</v>
      </c>
      <c r="C1492" s="1" t="n">
        <v>46143</v>
      </c>
      <c r="D1492" t="inlineStr">
        <is>
          <t>VÄRMLANDS LÄN</t>
        </is>
      </c>
      <c r="E1492" t="inlineStr">
        <is>
          <t>ARVIKA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10427-2024</t>
        </is>
      </c>
      <c r="B1493" s="1" t="n">
        <v>45365</v>
      </c>
      <c r="C1493" s="1" t="n">
        <v>46143</v>
      </c>
      <c r="D1493" t="inlineStr">
        <is>
          <t>VÄRMLANDS LÄN</t>
        </is>
      </c>
      <c r="E1493" t="inlineStr">
        <is>
          <t>ARVIKA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40135-2023</t>
        </is>
      </c>
      <c r="B1494" s="1" t="n">
        <v>45169</v>
      </c>
      <c r="C1494" s="1" t="n">
        <v>46143</v>
      </c>
      <c r="D1494" t="inlineStr">
        <is>
          <t>VÄRMLANDS LÄN</t>
        </is>
      </c>
      <c r="E1494" t="inlineStr">
        <is>
          <t>ARVIKA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19109-2024</t>
        </is>
      </c>
      <c r="B1495" s="1" t="n">
        <v>45428</v>
      </c>
      <c r="C1495" s="1" t="n">
        <v>46143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14735-2023</t>
        </is>
      </c>
      <c r="B1496" s="1" t="n">
        <v>45013</v>
      </c>
      <c r="C1496" s="1" t="n">
        <v>46143</v>
      </c>
      <c r="D1496" t="inlineStr">
        <is>
          <t>VÄRMLANDS LÄN</t>
        </is>
      </c>
      <c r="E1496" t="inlineStr">
        <is>
          <t>ARVIKA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43968-2024</t>
        </is>
      </c>
      <c r="B1497" s="1" t="n">
        <v>45572</v>
      </c>
      <c r="C1497" s="1" t="n">
        <v>46143</v>
      </c>
      <c r="D1497" t="inlineStr">
        <is>
          <t>VÄRMLANDS LÄN</t>
        </is>
      </c>
      <c r="E1497" t="inlineStr">
        <is>
          <t>ARVIKA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22714-2024</t>
        </is>
      </c>
      <c r="B1498" s="1" t="n">
        <v>45448.36056712963</v>
      </c>
      <c r="C1498" s="1" t="n">
        <v>46143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20498-2025</t>
        </is>
      </c>
      <c r="B1499" s="1" t="n">
        <v>45775.57571759259</v>
      </c>
      <c r="C1499" s="1" t="n">
        <v>46143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11154-2024</t>
        </is>
      </c>
      <c r="B1500" s="1" t="n">
        <v>45371.47601851852</v>
      </c>
      <c r="C1500" s="1" t="n">
        <v>46143</v>
      </c>
      <c r="D1500" t="inlineStr">
        <is>
          <t>VÄRMLANDS LÄN</t>
        </is>
      </c>
      <c r="E1500" t="inlineStr">
        <is>
          <t>ARVIKA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54852-2024</t>
        </is>
      </c>
      <c r="B1501" s="1" t="n">
        <v>45618.57760416667</v>
      </c>
      <c r="C1501" s="1" t="n">
        <v>46143</v>
      </c>
      <c r="D1501" t="inlineStr">
        <is>
          <t>VÄRMLANDS LÄN</t>
        </is>
      </c>
      <c r="E1501" t="inlineStr">
        <is>
          <t>ARVIKA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20375-2025</t>
        </is>
      </c>
      <c r="B1502" s="1" t="n">
        <v>45775</v>
      </c>
      <c r="C1502" s="1" t="n">
        <v>46143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58399-2023</t>
        </is>
      </c>
      <c r="B1503" s="1" t="n">
        <v>45245</v>
      </c>
      <c r="C1503" s="1" t="n">
        <v>46143</v>
      </c>
      <c r="D1503" t="inlineStr">
        <is>
          <t>VÄRMLANDS LÄN</t>
        </is>
      </c>
      <c r="E1503" t="inlineStr">
        <is>
          <t>ARVIKA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33187-2022</t>
        </is>
      </c>
      <c r="B1504" s="1" t="n">
        <v>44785.63153935185</v>
      </c>
      <c r="C1504" s="1" t="n">
        <v>46143</v>
      </c>
      <c r="D1504" t="inlineStr">
        <is>
          <t>VÄRMLANDS LÄN</t>
        </is>
      </c>
      <c r="E1504" t="inlineStr">
        <is>
          <t>ARVIKA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53964-2024</t>
        </is>
      </c>
      <c r="B1505" s="1" t="n">
        <v>45616.31475694444</v>
      </c>
      <c r="C1505" s="1" t="n">
        <v>46143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16731-2024</t>
        </is>
      </c>
      <c r="B1506" s="1" t="n">
        <v>45410.73828703703</v>
      </c>
      <c r="C1506" s="1" t="n">
        <v>46143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16739-2024</t>
        </is>
      </c>
      <c r="B1507" s="1" t="n">
        <v>45410.86518518518</v>
      </c>
      <c r="C1507" s="1" t="n">
        <v>46143</v>
      </c>
      <c r="D1507" t="inlineStr">
        <is>
          <t>VÄRMLANDS LÄN</t>
        </is>
      </c>
      <c r="E1507" t="inlineStr">
        <is>
          <t>ARVIKA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19683-2025</t>
        </is>
      </c>
      <c r="B1508" s="1" t="n">
        <v>45770.86015046296</v>
      </c>
      <c r="C1508" s="1" t="n">
        <v>46143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4754-2024</t>
        </is>
      </c>
      <c r="B1509" s="1" t="n">
        <v>45328</v>
      </c>
      <c r="C1509" s="1" t="n">
        <v>46143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62610-2022</t>
        </is>
      </c>
      <c r="B1510" s="1" t="n">
        <v>44917</v>
      </c>
      <c r="C1510" s="1" t="n">
        <v>46143</v>
      </c>
      <c r="D1510" t="inlineStr">
        <is>
          <t>VÄRMLANDS LÄN</t>
        </is>
      </c>
      <c r="E1510" t="inlineStr">
        <is>
          <t>ARVIKA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62619-2022</t>
        </is>
      </c>
      <c r="B1511" s="1" t="n">
        <v>44917</v>
      </c>
      <c r="C1511" s="1" t="n">
        <v>46143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32823-2023</t>
        </is>
      </c>
      <c r="B1512" s="1" t="n">
        <v>45109</v>
      </c>
      <c r="C1512" s="1" t="n">
        <v>46143</v>
      </c>
      <c r="D1512" t="inlineStr">
        <is>
          <t>VÄRMLANDS LÄN</t>
        </is>
      </c>
      <c r="E1512" t="inlineStr">
        <is>
          <t>ARVIKA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28807-2024</t>
        </is>
      </c>
      <c r="B1513" s="1" t="n">
        <v>45478</v>
      </c>
      <c r="C1513" s="1" t="n">
        <v>46143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16558-2025</t>
        </is>
      </c>
      <c r="B1514" s="1" t="n">
        <v>45751</v>
      </c>
      <c r="C1514" s="1" t="n">
        <v>46143</v>
      </c>
      <c r="D1514" t="inlineStr">
        <is>
          <t>VÄRMLANDS LÄN</t>
        </is>
      </c>
      <c r="E1514" t="inlineStr">
        <is>
          <t>ARVIKA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17460-2023</t>
        </is>
      </c>
      <c r="B1515" s="1" t="n">
        <v>45036</v>
      </c>
      <c r="C1515" s="1" t="n">
        <v>46143</v>
      </c>
      <c r="D1515" t="inlineStr">
        <is>
          <t>VÄRMLANDS LÄN</t>
        </is>
      </c>
      <c r="E1515" t="inlineStr">
        <is>
          <t>ARVIKA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62428-2022</t>
        </is>
      </c>
      <c r="B1516" s="1" t="n">
        <v>44924</v>
      </c>
      <c r="C1516" s="1" t="n">
        <v>46143</v>
      </c>
      <c r="D1516" t="inlineStr">
        <is>
          <t>VÄRMLANDS LÄN</t>
        </is>
      </c>
      <c r="E1516" t="inlineStr">
        <is>
          <t>ARVIKA</t>
        </is>
      </c>
      <c r="G1516" t="n">
        <v>10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7583-2024</t>
        </is>
      </c>
      <c r="B1517" s="1" t="n">
        <v>45348.49320601852</v>
      </c>
      <c r="C1517" s="1" t="n">
        <v>46143</v>
      </c>
      <c r="D1517" t="inlineStr">
        <is>
          <t>VÄRMLANDS LÄN</t>
        </is>
      </c>
      <c r="E1517" t="inlineStr">
        <is>
          <t>ARVIKA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10572-2025</t>
        </is>
      </c>
      <c r="B1518" s="1" t="n">
        <v>45721</v>
      </c>
      <c r="C1518" s="1" t="n">
        <v>46143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10574-2025</t>
        </is>
      </c>
      <c r="B1519" s="1" t="n">
        <v>45721.54355324074</v>
      </c>
      <c r="C1519" s="1" t="n">
        <v>46143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35571-2023</t>
        </is>
      </c>
      <c r="B1520" s="1" t="n">
        <v>45147.46740740741</v>
      </c>
      <c r="C1520" s="1" t="n">
        <v>46143</v>
      </c>
      <c r="D1520" t="inlineStr">
        <is>
          <t>VÄRMLANDS LÄN</t>
        </is>
      </c>
      <c r="E1520" t="inlineStr">
        <is>
          <t>ARVIKA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7456-2023</t>
        </is>
      </c>
      <c r="B1521" s="1" t="n">
        <v>44971.6133912037</v>
      </c>
      <c r="C1521" s="1" t="n">
        <v>46143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3613-2025</t>
        </is>
      </c>
      <c r="B1522" s="1" t="n">
        <v>45681.36193287037</v>
      </c>
      <c r="C1522" s="1" t="n">
        <v>46143</v>
      </c>
      <c r="D1522" t="inlineStr">
        <is>
          <t>VÄRMLANDS LÄN</t>
        </is>
      </c>
      <c r="E1522" t="inlineStr">
        <is>
          <t>ARVIKA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12271-2023</t>
        </is>
      </c>
      <c r="B1523" s="1" t="n">
        <v>44998</v>
      </c>
      <c r="C1523" s="1" t="n">
        <v>46143</v>
      </c>
      <c r="D1523" t="inlineStr">
        <is>
          <t>VÄRMLANDS LÄN</t>
        </is>
      </c>
      <c r="E1523" t="inlineStr">
        <is>
          <t>ARVIKA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59787-2023</t>
        </is>
      </c>
      <c r="B1524" s="1" t="n">
        <v>45257</v>
      </c>
      <c r="C1524" s="1" t="n">
        <v>46143</v>
      </c>
      <c r="D1524" t="inlineStr">
        <is>
          <t>VÄRMLANDS LÄN</t>
        </is>
      </c>
      <c r="E1524" t="inlineStr">
        <is>
          <t>ARVIKA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20634-2025</t>
        </is>
      </c>
      <c r="B1525" s="1" t="n">
        <v>45776.35204861111</v>
      </c>
      <c r="C1525" s="1" t="n">
        <v>46143</v>
      </c>
      <c r="D1525" t="inlineStr">
        <is>
          <t>VÄRMLANDS LÄN</t>
        </is>
      </c>
      <c r="E1525" t="inlineStr">
        <is>
          <t>ARVIKA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21780-2025</t>
        </is>
      </c>
      <c r="B1526" s="1" t="n">
        <v>45783.66653935185</v>
      </c>
      <c r="C1526" s="1" t="n">
        <v>46143</v>
      </c>
      <c r="D1526" t="inlineStr">
        <is>
          <t>VÄRMLANDS LÄN</t>
        </is>
      </c>
      <c r="E1526" t="inlineStr">
        <is>
          <t>ARVIKA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21693-2025</t>
        </is>
      </c>
      <c r="B1527" s="1" t="n">
        <v>45783.49979166667</v>
      </c>
      <c r="C1527" s="1" t="n">
        <v>46143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21580-2025</t>
        </is>
      </c>
      <c r="B1528" s="1" t="n">
        <v>45782.94450231481</v>
      </c>
      <c r="C1528" s="1" t="n">
        <v>46143</v>
      </c>
      <c r="D1528" t="inlineStr">
        <is>
          <t>VÄRMLANDS LÄN</t>
        </is>
      </c>
      <c r="E1528" t="inlineStr">
        <is>
          <t>ARVIKA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37213-2024</t>
        </is>
      </c>
      <c r="B1529" s="1" t="n">
        <v>45539.69202546297</v>
      </c>
      <c r="C1529" s="1" t="n">
        <v>46143</v>
      </c>
      <c r="D1529" t="inlineStr">
        <is>
          <t>VÄRMLANDS LÄN</t>
        </is>
      </c>
      <c r="E1529" t="inlineStr">
        <is>
          <t>ARVIKA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21907-2025</t>
        </is>
      </c>
      <c r="B1530" s="1" t="n">
        <v>45784</v>
      </c>
      <c r="C1530" s="1" t="n">
        <v>46143</v>
      </c>
      <c r="D1530" t="inlineStr">
        <is>
          <t>VÄRMLANDS LÄN</t>
        </is>
      </c>
      <c r="E1530" t="inlineStr">
        <is>
          <t>ARVIKA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9525-2024</t>
        </is>
      </c>
      <c r="B1531" s="1" t="n">
        <v>45359.65731481482</v>
      </c>
      <c r="C1531" s="1" t="n">
        <v>46143</v>
      </c>
      <c r="D1531" t="inlineStr">
        <is>
          <t>VÄRMLANDS LÄN</t>
        </is>
      </c>
      <c r="E1531" t="inlineStr">
        <is>
          <t>ARVIKA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22037-2025</t>
        </is>
      </c>
      <c r="B1532" s="1" t="n">
        <v>45785.32155092592</v>
      </c>
      <c r="C1532" s="1" t="n">
        <v>46143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22589-2025</t>
        </is>
      </c>
      <c r="B1533" s="1" t="n">
        <v>45789.40226851852</v>
      </c>
      <c r="C1533" s="1" t="n">
        <v>46143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22714-2025</t>
        </is>
      </c>
      <c r="B1534" s="1" t="n">
        <v>45788</v>
      </c>
      <c r="C1534" s="1" t="n">
        <v>46143</v>
      </c>
      <c r="D1534" t="inlineStr">
        <is>
          <t>VÄRMLANDS LÄN</t>
        </is>
      </c>
      <c r="E1534" t="inlineStr">
        <is>
          <t>ARVIKA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22485-2025</t>
        </is>
      </c>
      <c r="B1535" s="1" t="n">
        <v>45786.64387731482</v>
      </c>
      <c r="C1535" s="1" t="n">
        <v>46143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22521-2025</t>
        </is>
      </c>
      <c r="B1536" s="1" t="n">
        <v>45786.68</v>
      </c>
      <c r="C1536" s="1" t="n">
        <v>46143</v>
      </c>
      <c r="D1536" t="inlineStr">
        <is>
          <t>VÄRMLANDS LÄN</t>
        </is>
      </c>
      <c r="E1536" t="inlineStr">
        <is>
          <t>ARVIKA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20884-2024</t>
        </is>
      </c>
      <c r="B1537" s="1" t="n">
        <v>45439.45408564815</v>
      </c>
      <c r="C1537" s="1" t="n">
        <v>46143</v>
      </c>
      <c r="D1537" t="inlineStr">
        <is>
          <t>VÄRMLANDS LÄN</t>
        </is>
      </c>
      <c r="E1537" t="inlineStr">
        <is>
          <t>ARVIKA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22849-2025</t>
        </is>
      </c>
      <c r="B1538" s="1" t="n">
        <v>45790.33559027778</v>
      </c>
      <c r="C1538" s="1" t="n">
        <v>46143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17985-2024</t>
        </is>
      </c>
      <c r="B1539" s="1" t="n">
        <v>45419</v>
      </c>
      <c r="C1539" s="1" t="n">
        <v>46143</v>
      </c>
      <c r="D1539" t="inlineStr">
        <is>
          <t>VÄRMLANDS LÄN</t>
        </is>
      </c>
      <c r="E1539" t="inlineStr">
        <is>
          <t>ARVIKA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22835-2025</t>
        </is>
      </c>
      <c r="B1540" s="1" t="n">
        <v>45789.90738425926</v>
      </c>
      <c r="C1540" s="1" t="n">
        <v>46143</v>
      </c>
      <c r="D1540" t="inlineStr">
        <is>
          <t>VÄRMLANDS LÄN</t>
        </is>
      </c>
      <c r="E1540" t="inlineStr">
        <is>
          <t>ARVIKA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22836-2025</t>
        </is>
      </c>
      <c r="B1541" s="1" t="n">
        <v>45789.9125</v>
      </c>
      <c r="C1541" s="1" t="n">
        <v>46143</v>
      </c>
      <c r="D1541" t="inlineStr">
        <is>
          <t>VÄRMLANDS LÄN</t>
        </is>
      </c>
      <c r="E1541" t="inlineStr">
        <is>
          <t>ARVIKA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22992-2025</t>
        </is>
      </c>
      <c r="B1542" s="1" t="n">
        <v>45790.58039351852</v>
      </c>
      <c r="C1542" s="1" t="n">
        <v>46143</v>
      </c>
      <c r="D1542" t="inlineStr">
        <is>
          <t>VÄRMLANDS LÄN</t>
        </is>
      </c>
      <c r="E1542" t="inlineStr">
        <is>
          <t>ARVIKA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22834-2025</t>
        </is>
      </c>
      <c r="B1543" s="1" t="n">
        <v>45789.90438657408</v>
      </c>
      <c r="C1543" s="1" t="n">
        <v>46143</v>
      </c>
      <c r="D1543" t="inlineStr">
        <is>
          <t>VÄRMLANDS LÄN</t>
        </is>
      </c>
      <c r="E1543" t="inlineStr">
        <is>
          <t>ARVIKA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>
      <c r="A1544" t="inlineStr">
        <is>
          <t>A 19722-2025</t>
        </is>
      </c>
      <c r="B1544" s="1" t="n">
        <v>45771.36209490741</v>
      </c>
      <c r="C1544" s="1" t="n">
        <v>46143</v>
      </c>
      <c r="D1544" t="inlineStr">
        <is>
          <t>VÄRMLANDS LÄN</t>
        </is>
      </c>
      <c r="E1544" t="inlineStr">
        <is>
          <t>ARVIKA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2026-05-01T10:57:37Z</dcterms:created>
  <dcterms:modified xmlns:dcterms="http://purl.org/dc/terms/" xmlns:xsi="http://www.w3.org/2001/XMLSchema-instance" xsi:type="dcterms:W3CDTF">2026-05-01T10:57:39Z</dcterms:modified>
</cp:coreProperties>
</file>