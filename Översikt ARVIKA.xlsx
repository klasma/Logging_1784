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46299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46299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46299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46299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46299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46299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46299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46299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46299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46299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46299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46299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46299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46299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46299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46299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46299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46299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46299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46299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46299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46299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46299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46299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46299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46299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46299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66652-2021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46299</v>
      </c>
      <c r="F32" t="inlineStr">
        <is>
          <t>VÄRMLANDS LÄN</t>
        </is>
      </c>
      <c r="G32" t="inlineStr">
        <is>
          <t>ARVIKA</t>
        </is>
      </c>
      <c r="I32" t="n">
        <v>12.3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Garnlav
Korallblylav</t>
        </is>
      </c>
      <c r="W32">
        <f>HYPERLINK("https://klasma.github.io/Logging_1784/artfynd/A 66652-2021 artfynd.xlsx", "A 66652-2021")</f>
        <v/>
      </c>
      <c r="X32">
        <f>HYPERLINK("https://klasma.github.io/Logging_1784/kartor/A 66652-2021 karta.png", "A 66652-2021")</f>
        <v/>
      </c>
      <c r="Y32">
        <f>HYPERLINK("https://klasma.github.io/Logging_1784/kartor_geotiff/A 66652-2021 georefererad karta.tif", "A 66652-2021")</f>
        <v/>
      </c>
      <c r="AA32">
        <f>HYPERLINK("https://klasma.github.io/Logging_1784/klagomål/A 66652-2021 FSC-klagomål.docx", "A 66652-2021")</f>
        <v/>
      </c>
      <c r="AB32">
        <f>HYPERLINK("https://klasma.github.io/Logging_1784/klagomålsmail/A 66652-2021 FSC-klagomål mail.docx", "A 66652-2021")</f>
        <v/>
      </c>
      <c r="AC32">
        <f>HYPERLINK("https://klasma.github.io/Logging_1784/tillsyn/A 66652-2021 tillsynsbegäran.docx", "A 66652-2021")</f>
        <v/>
      </c>
      <c r="AD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45951</v>
      </c>
      <c r="E33" s="1" t="n">
        <v>46299</v>
      </c>
      <c r="F33" t="inlineStr">
        <is>
          <t>VÄRMLANDS LÄN</t>
        </is>
      </c>
      <c r="G33" t="inlineStr">
        <is>
          <t>ARVIKA</t>
        </is>
      </c>
      <c r="I33" t="n">
        <v>1.8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Kattfotslav
Tjäder</t>
        </is>
      </c>
      <c r="W33">
        <f>HYPERLINK("https://klasma.github.io/Logging_1784/artfynd/A 51595-2025 artfynd.xlsx", "A 51595-2025")</f>
        <v/>
      </c>
      <c r="X33">
        <f>HYPERLINK("https://klasma.github.io/Logging_1784/kartor/A 51595-2025 karta.png", "A 51595-2025")</f>
        <v/>
      </c>
      <c r="Y33">
        <f>HYPERLINK("https://klasma.github.io/Logging_1784/kartor_geotiff/A 51595-2025 georefererad karta.tif", "A 51595-2025")</f>
        <v/>
      </c>
      <c r="AA33">
        <f>HYPERLINK("https://klasma.github.io/Logging_1784/klagomål/A 51595-2025 FSC-klagomål.docx", "A 51595-2025")</f>
        <v/>
      </c>
      <c r="AB33">
        <f>HYPERLINK("https://klasma.github.io/Logging_1784/klagomålsmail/A 51595-2025 FSC-klagomål mail.docx", "A 51595-2025")</f>
        <v/>
      </c>
      <c r="AC33">
        <f>HYPERLINK("https://klasma.github.io/Logging_1784/tillsyn/A 51595-2025 tillsynsbegäran.docx", "A 51595-2025")</f>
        <v/>
      </c>
      <c r="AD33">
        <f>HYPERLINK("https://klasma.github.io/Logging_1784/tillsynsmail/A 51595-2025 tillsynsbegäran mail.docx", "A 51595-2025")</f>
        <v/>
      </c>
      <c r="AE33">
        <f>HYPERLINK("https://klasma.github.io/Logging_1784/fåglar/A 51595-2025 prioriterade fågelarter.docx", "A 51595-2025")</f>
        <v/>
      </c>
    </row>
    <row r="34" ht="15" customHeight="1">
      <c r="A34" t="inlineStr">
        <is>
          <t>A 30457-2023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46299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0</v>
      </c>
      <c r="V34" s="2" t="inlineStr">
        <is>
          <t>Älg
Guldlockmossa</t>
        </is>
      </c>
      <c r="W34">
        <f>HYPERLINK("https://klasma.github.io/Logging_1784/artfynd/A 30457-2023 artfynd.xlsx", "A 30457-2023")</f>
        <v/>
      </c>
      <c r="X34">
        <f>HYPERLINK("https://klasma.github.io/Logging_1784/kartor/A 30457-2023 karta.png", "A 30457-2023")</f>
        <v/>
      </c>
      <c r="Y34">
        <f>HYPERLINK("https://klasma.github.io/Logging_1784/kartor_geotiff/A 30457-2023 georefererad karta.tif", "A 30457-2023")</f>
        <v/>
      </c>
      <c r="AA34">
        <f>HYPERLINK("https://klasma.github.io/Logging_1784/klagomål/A 30457-2023 FSC-klagomål.docx", "A 30457-2023")</f>
        <v/>
      </c>
      <c r="AB34">
        <f>HYPERLINK("https://klasma.github.io/Logging_1784/klagomålsmail/A 30457-2023 FSC-klagomål mail.docx", "A 30457-2023")</f>
        <v/>
      </c>
      <c r="AC34">
        <f>HYPERLINK("https://klasma.github.io/Logging_1784/tillsyn/A 30457-2023 tillsynsbegäran.docx", "A 30457-2023")</f>
        <v/>
      </c>
      <c r="AD34">
        <f>HYPERLINK("https://klasma.github.io/Logging_1784/tillsynsmail/A 30457-2023 tillsynsbegäran mail.docx", "A 30457-2023")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46299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46299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46299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46299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46299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46299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54323-2021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44472</v>
      </c>
      <c r="E41" s="1" t="n">
        <v>46299</v>
      </c>
      <c r="F41" t="inlineStr">
        <is>
          <t>VÄRMLANDS LÄN</t>
        </is>
      </c>
      <c r="G41" t="inlineStr">
        <is>
          <t>ARVIKA</t>
        </is>
      </c>
      <c r="I41" t="n">
        <v>26.7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8</v>
      </c>
      <c r="U41" t="n">
        <v>8</v>
      </c>
      <c r="V41" s="2" t="inlineStr">
        <is>
          <t>Tallticka
Vedskivlav</t>
        </is>
      </c>
      <c r="W41">
        <f>HYPERLINK("https://klasma.github.io/Logging_1784/artfynd/A 54323-2021 artfynd.xlsx", "A 54323-2021")</f>
        <v/>
      </c>
      <c r="X41">
        <f>HYPERLINK("https://klasma.github.io/Logging_1784/kartor/A 54323-2021 karta.png", "A 54323-2021")</f>
        <v/>
      </c>
      <c r="Y41">
        <f>HYPERLINK("https://klasma.github.io/Logging_1784/kartor_geotiff/A 54323-2021 georefererad karta.tif", "A 54323-2021")</f>
        <v/>
      </c>
      <c r="AA41">
        <f>HYPERLINK("https://klasma.github.io/Logging_1784/klagomål/A 54323-2021 FSC-klagomål.docx", "A 54323-2021")</f>
        <v/>
      </c>
      <c r="AB41">
        <f>HYPERLINK("https://klasma.github.io/Logging_1784/klagomålsmail/A 54323-2021 FSC-klagomål mail.docx", "A 54323-2021")</f>
        <v/>
      </c>
      <c r="AC41">
        <f>HYPERLINK("https://klasma.github.io/Logging_1784/tillsyn/A 54323-2021 tillsynsbegäran.docx", "A 54323-2021")</f>
        <v/>
      </c>
      <c r="AD41">
        <f>HYPERLINK("https://klasma.github.io/Logging_1784/tillsynsmail/A 54323-2021 tillsynsbegäran mail.docx", "A 54323-2021")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46299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46299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46299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46299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45178-2023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46299</v>
      </c>
      <c r="F46" t="inlineStr">
        <is>
          <t>VÄRMLANDS LÄN</t>
        </is>
      </c>
      <c r="G46" t="inlineStr">
        <is>
          <t>ARVIKA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Pärluggla
Spillkråka</t>
        </is>
      </c>
      <c r="W46">
        <f>HYPERLINK("https://klasma.github.io/Logging_1784/artfynd/A 45178-2023 artfynd.xlsx", "A 45178-2023")</f>
        <v/>
      </c>
      <c r="X46">
        <f>HYPERLINK("https://klasma.github.io/Logging_1784/kartor/A 45178-2023 karta.png", "A 45178-2023")</f>
        <v/>
      </c>
      <c r="Y46">
        <f>HYPERLINK("https://klasma.github.io/Logging_1784/kartor_geotiff/A 45178-2023 georefererad karta.tif", "A 45178-2023")</f>
        <v/>
      </c>
      <c r="AA46">
        <f>HYPERLINK("https://klasma.github.io/Logging_1784/klagomål/A 45178-2023 FSC-klagomål.docx", "A 45178-2023")</f>
        <v/>
      </c>
      <c r="AB46">
        <f>HYPERLINK("https://klasma.github.io/Logging_1784/klagomålsmail/A 45178-2023 FSC-klagomål mail.docx", "A 45178-2023")</f>
        <v/>
      </c>
      <c r="AC46">
        <f>HYPERLINK("https://klasma.github.io/Logging_1784/tillsyn/A 45178-2023 tillsynsbegäran.docx", "A 45178-2023")</f>
        <v/>
      </c>
      <c r="AD46">
        <f>HYPERLINK("https://klasma.github.io/Logging_1784/tillsynsmail/A 45178-2023 tillsynsbegäran mail.docx", "A 45178-2023")</f>
        <v/>
      </c>
      <c r="AE46">
        <f>HYPERLINK("https://klasma.github.io/Logging_1784/fåglar/A 45178-2023 prioriterade fågelarter.docx", "A 45178-2023")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46299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46299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46299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46299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46299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46299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46299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46299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46299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46299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46299</v>
      </c>
      <c r="F57" t="inlineStr">
        <is>
          <t>VÄRMLANDS LÄN</t>
        </is>
      </c>
      <c r="G57" t="inlineStr">
        <is>
          <t>ARVIKA</t>
        </is>
      </c>
      <c r="I57" t="n">
        <v>1.1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7</v>
      </c>
      <c r="U57" t="n">
        <v>6</v>
      </c>
      <c r="V57" s="2" t="inlineStr">
        <is>
          <t>Skogsklocka</t>
        </is>
      </c>
      <c r="W57">
        <f>HYPERLINK("https://klasma.github.io/Logging_1784/artfynd/A 22934-2023 artfynd.xlsx", "A 22934-2023")</f>
        <v/>
      </c>
      <c r="X57">
        <f>HYPERLINK("https://klasma.github.io/Logging_1784/kartor/A 22934-2023 karta.png", "A 22934-2023")</f>
        <v/>
      </c>
      <c r="Y57">
        <f>HYPERLINK("https://klasma.github.io/Logging_1784/kartor_geotiff/A 22934-2023 georefererad karta.tif", "A 22934-2023")</f>
        <v/>
      </c>
      <c r="AA57">
        <f>HYPERLINK("https://klasma.github.io/Logging_1784/klagomål/A 22934-2023 FSC-klagomål.docx", "A 22934-2023")</f>
        <v/>
      </c>
      <c r="AB57">
        <f>HYPERLINK("https://klasma.github.io/Logging_1784/klagomålsmail/A 22934-2023 FSC-klagomål mail.docx", "A 22934-2023")</f>
        <v/>
      </c>
      <c r="AC57">
        <f>HYPERLINK("https://klasma.github.io/Logging_1784/tillsyn/A 22934-2023 tillsynsbegäran.docx", "A 22934-2023")</f>
        <v/>
      </c>
      <c r="AD57">
        <f>HYPERLINK("https://klasma.github.io/Logging_1784/tillsynsmail/A 22934-2023 tillsynsbegäran mail.docx", "A 22934-2023")</f>
        <v/>
      </c>
    </row>
    <row r="58" ht="15" customHeight="1">
      <c r="A58" t="inlineStr">
        <is>
          <t>A 60844-2024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46299</v>
      </c>
      <c r="F58" t="inlineStr">
        <is>
          <t>VÄRMLANDS LÄN</t>
        </is>
      </c>
      <c r="G58" t="inlineStr">
        <is>
          <t>ARVIKA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HYPERLINK("https://klasma.github.io/Logging_1784/artfynd/A 60844-2024 artfynd.xlsx", "A 60844-2024")</f>
        <v/>
      </c>
      <c r="X58">
        <f>HYPERLINK("https://klasma.github.io/Logging_1784/kartor/A 60844-2024 karta.png", "A 60844-2024")</f>
        <v/>
      </c>
      <c r="Y58">
        <f>HYPERLINK("https://klasma.github.io/Logging_1784/kartor_geotiff/A 60844-2024 georefererad karta.tif", "A 60844-2024")</f>
        <v/>
      </c>
      <c r="AA58">
        <f>HYPERLINK("https://klasma.github.io/Logging_1784/klagomål/A 60844-2024 FSC-klagomål.docx", "A 60844-2024")</f>
        <v/>
      </c>
      <c r="AB58">
        <f>HYPERLINK("https://klasma.github.io/Logging_1784/klagomålsmail/A 60844-2024 FSC-klagomål mail.docx", "A 60844-2024")</f>
        <v/>
      </c>
      <c r="AC58">
        <f>HYPERLINK("https://klasma.github.io/Logging_1784/tillsyn/A 60844-2024 tillsynsbegäran.docx", "A 60844-2024")</f>
        <v/>
      </c>
      <c r="AD58">
        <f>HYPERLINK("https://klasma.github.io/Logging_1784/tillsynsmail/A 60844-2024 tillsynsbegäran mail.docx", "A 60844-2024")</f>
        <v/>
      </c>
      <c r="AE58">
        <f>HYPERLINK("https://klasma.github.io/Logging_1784/fåglar/A 60844-2024 prioriterade fågelarter.docx", "A 60844-2024")</f>
        <v/>
      </c>
    </row>
    <row r="59" ht="15" customHeight="1">
      <c r="A59" t="inlineStr">
        <is>
          <t>A 26079-2025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46299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 trolldruva</t>
        </is>
      </c>
      <c r="W59">
        <f>HYPERLINK("https://klasma.github.io/Logging_1784/artfynd/A 26079-2025 artfynd.xlsx", "A 26079-2025")</f>
        <v/>
      </c>
      <c r="X59">
        <f>HYPERLINK("https://klasma.github.io/Logging_1784/kartor/A 26079-2025 karta.png", "A 26079-2025")</f>
        <v/>
      </c>
      <c r="Y59">
        <f>HYPERLINK("https://klasma.github.io/Logging_1784/kartor_geotiff/A 26079-2025 georefererad karta.tif", "A 26079-2025")</f>
        <v/>
      </c>
      <c r="AA59">
        <f>HYPERLINK("https://klasma.github.io/Logging_1784/klagomål/A 26079-2025 FSC-klagomål.docx", "A 26079-2025")</f>
        <v/>
      </c>
      <c r="AB59">
        <f>HYPERLINK("https://klasma.github.io/Logging_1784/klagomålsmail/A 26079-2025 FSC-klagomål mail.docx", "A 26079-2025")</f>
        <v/>
      </c>
      <c r="AC59">
        <f>HYPERLINK("https://klasma.github.io/Logging_1784/tillsyn/A 26079-2025 tillsynsbegäran.docx", "A 26079-2025")</f>
        <v/>
      </c>
      <c r="AD59">
        <f>HYPERLINK("https://klasma.github.io/Logging_1784/tillsynsmail/A 26079-2025 tillsynsbegäran mail.docx", "A 26079-2025")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46299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46299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9761-2026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46072</v>
      </c>
      <c r="E62" s="1" t="n">
        <v>46299</v>
      </c>
      <c r="F62" t="inlineStr">
        <is>
          <t>VÄRMLANDS LÄN</t>
        </is>
      </c>
      <c r="G62" t="inlineStr">
        <is>
          <t>ARVIKA</t>
        </is>
      </c>
      <c r="I62" t="n">
        <v>7.4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HYPERLINK("https://klasma.github.io/Logging_1784/artfynd/A 9761-2026 artfynd.xlsx", "A 9761-2026")</f>
        <v/>
      </c>
      <c r="X62">
        <f>HYPERLINK("https://klasma.github.io/Logging_1784/kartor/A 9761-2026 karta.png", "A 9761-2026")</f>
        <v/>
      </c>
      <c r="Y62">
        <f>HYPERLINK("https://klasma.github.io/Logging_1784/kartor_geotiff/A 9761-2026 georefererad karta.tif", "A 9761-2026")</f>
        <v/>
      </c>
      <c r="AA62">
        <f>HYPERLINK("https://klasma.github.io/Logging_1784/klagomål/A 9761-2026 FSC-klagomål.docx", "A 9761-2026")</f>
        <v/>
      </c>
      <c r="AB62">
        <f>HYPERLINK("https://klasma.github.io/Logging_1784/klagomålsmail/A 9761-2026 FSC-klagomål mail.docx", "A 9761-2026")</f>
        <v/>
      </c>
      <c r="AC62">
        <f>HYPERLINK("https://klasma.github.io/Logging_1784/tillsyn/A 9761-2026 tillsynsbegäran.docx", "A 9761-2026")</f>
        <v/>
      </c>
      <c r="AD62">
        <f>HYPERLINK("https://klasma.github.io/Logging_1784/tillsynsmail/A 9761-2026 tillsynsbegäran mail.docx", "A 9761-2026")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46299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22519-2022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46299</v>
      </c>
      <c r="F64" t="inlineStr">
        <is>
          <t>VÄRMLANDS LÄN</t>
        </is>
      </c>
      <c r="G64" t="inlineStr">
        <is>
          <t>ARVIKA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22519-2022 artfynd.xlsx", "A 22519-2022")</f>
        <v/>
      </c>
      <c r="X64">
        <f>HYPERLINK("https://klasma.github.io/Logging_1784/kartor/A 22519-2022 karta.png", "A 22519-2022")</f>
        <v/>
      </c>
      <c r="Y64">
        <f>HYPERLINK("https://klasma.github.io/Logging_1784/kartor_geotiff/A 22519-2022 georefererad karta.tif", "A 22519-2022")</f>
        <v/>
      </c>
      <c r="AA64">
        <f>HYPERLINK("https://klasma.github.io/Logging_1784/klagomål/A 22519-2022 FSC-klagomål.docx", "A 22519-2022")</f>
        <v/>
      </c>
      <c r="AB64">
        <f>HYPERLINK("https://klasma.github.io/Logging_1784/klagomålsmail/A 22519-2022 FSC-klagomål mail.docx", "A 22519-2022")</f>
        <v/>
      </c>
      <c r="AC64">
        <f>HYPERLINK("https://klasma.github.io/Logging_1784/tillsyn/A 22519-2022 tillsynsbegäran.docx", "A 22519-2022")</f>
        <v/>
      </c>
      <c r="AD64">
        <f>HYPERLINK("https://klasma.github.io/Logging_1784/tillsynsmail/A 22519-2022 tillsynsbegäran mail.docx", "A 22519-2022")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46299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51537-2025 artfynd.xlsx", "A 51537-2025")</f>
        <v/>
      </c>
      <c r="X65">
        <f>HYPERLINK("https://klasma.github.io/Logging_1784/kartor/A 51537-2025 karta.png", "A 51537-2025")</f>
        <v/>
      </c>
      <c r="Y65">
        <f>HYPERLINK("https://klasma.github.io/Logging_1784/kartor_geotiff/A 51537-2025 georefererad karta.tif", "A 51537-2025")</f>
        <v/>
      </c>
      <c r="Z65">
        <f>HYPERLINK("https://klasma.github.io/Logging_1784/knärot/A 51537-2025 karta knärot.png", "A 51537-2025")</f>
        <v/>
      </c>
      <c r="AA65">
        <f>HYPERLINK("https://klasma.github.io/Logging_1784/klagomål/A 51537-2025 FSC-klagomål.docx", "A 51537-2025")</f>
        <v/>
      </c>
      <c r="AB65">
        <f>HYPERLINK("https://klasma.github.io/Logging_1784/klagomålsmail/A 51537-2025 FSC-klagomål mail.docx", "A 51537-2025")</f>
        <v/>
      </c>
      <c r="AC65">
        <f>HYPERLINK("https://klasma.github.io/Logging_1784/tillsyn/A 51537-2025 tillsynsbegäran.docx", "A 51537-2025")</f>
        <v/>
      </c>
      <c r="AD65">
        <f>HYPERLINK("https://klasma.github.io/Logging_1784/tillsynsmail/A 51537-2025 tillsynsbegäran mail.docx", "A 51537-2025")</f>
        <v/>
      </c>
    </row>
    <row r="66" ht="15" customHeight="1">
      <c r="A66" t="inlineStr">
        <is>
          <t>A 11416-2026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46083</v>
      </c>
      <c r="E66" s="1" t="n">
        <v>46299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11416-2026 artfynd.xlsx", "A 11416-2026")</f>
        <v/>
      </c>
      <c r="X66">
        <f>HYPERLINK("https://klasma.github.io/Logging_1784/kartor/A 11416-2026 karta.png", "A 11416-2026")</f>
        <v/>
      </c>
      <c r="Y66">
        <f>HYPERLINK("https://klasma.github.io/Logging_1784/kartor_geotiff/A 11416-2026 georefererad karta.tif", "A 11416-2026")</f>
        <v/>
      </c>
      <c r="Z66">
        <f>HYPERLINK("https://klasma.github.io/Logging_1784/knärot/A 11416-2026 karta knärot.png", "A 11416-2026")</f>
        <v/>
      </c>
      <c r="AA66">
        <f>HYPERLINK("https://klasma.github.io/Logging_1784/klagomål/A 11416-2026 FSC-klagomål.docx", "A 11416-2026")</f>
        <v/>
      </c>
      <c r="AB66">
        <f>HYPERLINK("https://klasma.github.io/Logging_1784/klagomålsmail/A 11416-2026 FSC-klagomål mail.docx", "A 11416-2026")</f>
        <v/>
      </c>
      <c r="AC66">
        <f>HYPERLINK("https://klasma.github.io/Logging_1784/tillsyn/A 11416-2026 tillsynsbegäran.docx", "A 11416-2026")</f>
        <v/>
      </c>
      <c r="AD66">
        <f>HYPERLINK("https://klasma.github.io/Logging_1784/tillsynsmail/A 11416-2026 tillsynsbegäran mail.docx", "A 11416-2026")</f>
        <v/>
      </c>
    </row>
    <row r="67" ht="15" customHeight="1">
      <c r="A67" t="inlineStr">
        <is>
          <t>A 42023-2023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45177</v>
      </c>
      <c r="E67" s="1" t="n">
        <v>46299</v>
      </c>
      <c r="F67" t="inlineStr">
        <is>
          <t>VÄRMLANDS LÄN</t>
        </is>
      </c>
      <c r="G67" t="inlineStr">
        <is>
          <t>ARVIKA</t>
        </is>
      </c>
      <c r="I67" t="n">
        <v>1.2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42023-2023 artfynd.xlsx", "A 42023-2023")</f>
        <v/>
      </c>
      <c r="X67">
        <f>HYPERLINK("https://klasma.github.io/Logging_1784/kartor/A 42023-2023 karta.png", "A 42023-2023")</f>
        <v/>
      </c>
      <c r="Y67">
        <f>HYPERLINK("https://klasma.github.io/Logging_1784/kartor_geotiff/A 42023-2023 georefererad karta.tif", "A 42023-2023")</f>
        <v/>
      </c>
      <c r="Z67">
        <f>HYPERLINK("https://klasma.github.io/Logging_1784/knärot/A 42023-2023 karta knärot.png", "A 42023-2023")</f>
        <v/>
      </c>
      <c r="AA67">
        <f>HYPERLINK("https://klasma.github.io/Logging_1784/klagomål/A 42023-2023 FSC-klagomål.docx", "A 42023-2023")</f>
        <v/>
      </c>
      <c r="AB67">
        <f>HYPERLINK("https://klasma.github.io/Logging_1784/klagomålsmail/A 42023-2023 FSC-klagomål mail.docx", "A 42023-2023")</f>
        <v/>
      </c>
      <c r="AC67">
        <f>HYPERLINK("https://klasma.github.io/Logging_1784/tillsyn/A 42023-2023 tillsynsbegäran.docx", "A 42023-2023")</f>
        <v/>
      </c>
      <c r="AD67">
        <f>HYPERLINK("https://klasma.github.io/Logging_1784/tillsynsmail/A 42023-2023 tillsynsbegäran mail.docx", "A 42023-2023")</f>
        <v/>
      </c>
    </row>
    <row r="68" ht="15" customHeight="1">
      <c r="A68" t="inlineStr">
        <is>
          <t>A 43388-2023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45183</v>
      </c>
      <c r="E68" s="1" t="n">
        <v>46299</v>
      </c>
      <c r="F68" t="inlineStr">
        <is>
          <t>VÄRMLANDS LÄN</t>
        </is>
      </c>
      <c r="G68" t="inlineStr">
        <is>
          <t>ARVIKA</t>
        </is>
      </c>
      <c r="I68" t="n">
        <v>0.7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43388-2023 artfynd.xlsx", "A 43388-2023")</f>
        <v/>
      </c>
      <c r="X68">
        <f>HYPERLINK("https://klasma.github.io/Logging_1784/kartor/A 43388-2023 karta.png", "A 43388-2023")</f>
        <v/>
      </c>
      <c r="Y68">
        <f>HYPERLINK("https://klasma.github.io/Logging_1784/kartor_geotiff/A 43388-2023 georefererad karta.tif", "A 43388-2023")</f>
        <v/>
      </c>
      <c r="Z68">
        <f>HYPERLINK("https://klasma.github.io/Logging_1784/knärot/A 43388-2023 karta knärot.png", "A 43388-2023")</f>
        <v/>
      </c>
      <c r="AA68">
        <f>HYPERLINK("https://klasma.github.io/Logging_1784/klagomål/A 43388-2023 FSC-klagomål.docx", "A 43388-2023")</f>
        <v/>
      </c>
      <c r="AB68">
        <f>HYPERLINK("https://klasma.github.io/Logging_1784/klagomålsmail/A 43388-2023 FSC-klagomål mail.docx", "A 43388-2023")</f>
        <v/>
      </c>
      <c r="AC68">
        <f>HYPERLINK("https://klasma.github.io/Logging_1784/tillsyn/A 43388-2023 tillsynsbegäran.docx", "A 43388-2023")</f>
        <v/>
      </c>
      <c r="AD68">
        <f>HYPERLINK("https://klasma.github.io/Logging_1784/tillsynsmail/A 43388-2023 tillsynsbegäran mail.docx", "A 43388-2023")</f>
        <v/>
      </c>
    </row>
    <row r="69" ht="15" customHeight="1">
      <c r="A69" t="inlineStr">
        <is>
          <t>A 52185-2024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46299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1</v>
      </c>
      <c r="V69" s="2" t="inlineStr">
        <is>
          <t>Lunglav</t>
        </is>
      </c>
      <c r="W69">
        <f>HYPERLINK("https://klasma.github.io/Logging_1784/artfynd/A 52185-2024 artfynd.xlsx", "A 52185-2024")</f>
        <v/>
      </c>
      <c r="X69">
        <f>HYPERLINK("https://klasma.github.io/Logging_1784/kartor/A 52185-2024 karta.png", "A 52185-2024")</f>
        <v/>
      </c>
      <c r="Y69">
        <f>HYPERLINK("https://klasma.github.io/Logging_1784/kartor_geotiff/A 52185-2024 georefererad karta.tif", "A 52185-2024")</f>
        <v/>
      </c>
      <c r="AA69">
        <f>HYPERLINK("https://klasma.github.io/Logging_1784/klagomål/A 52185-2024 FSC-klagomål.docx", "A 52185-2024")</f>
        <v/>
      </c>
      <c r="AB69">
        <f>HYPERLINK("https://klasma.github.io/Logging_1784/klagomålsmail/A 52185-2024 FSC-klagomål mail.docx", "A 52185-2024")</f>
        <v/>
      </c>
      <c r="AC69">
        <f>HYPERLINK("https://klasma.github.io/Logging_1784/tillsyn/A 52185-2024 tillsynsbegäran.docx", "A 52185-2024")</f>
        <v/>
      </c>
      <c r="AD69">
        <f>HYPERLINK("https://klasma.github.io/Logging_1784/tillsynsmail/A 52185-2024 tillsynsbegäran mail.docx", "A 52185-2024")</f>
        <v/>
      </c>
    </row>
    <row r="70" ht="15" customHeight="1">
      <c r="A70" t="inlineStr">
        <is>
          <t>A 17088-2026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46299</v>
      </c>
      <c r="F70" t="inlineStr">
        <is>
          <t>VÄRMLANDS LÄN</t>
        </is>
      </c>
      <c r="G70" t="inlineStr">
        <is>
          <t>ARVIKA</t>
        </is>
      </c>
      <c r="I70" t="n">
        <v>4.6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Dunmossa</t>
        </is>
      </c>
      <c r="W70">
        <f>HYPERLINK("https://klasma.github.io/Logging_1784/artfynd/A 17088-2026 artfynd.xlsx", "A 17088-2026")</f>
        <v/>
      </c>
      <c r="X70">
        <f>HYPERLINK("https://klasma.github.io/Logging_1784/kartor/A 17088-2026 karta.png", "A 17088-2026")</f>
        <v/>
      </c>
      <c r="Y70">
        <f>HYPERLINK("https://klasma.github.io/Logging_1784/kartor_geotiff/A 17088-2026 georefererad karta.tif", "A 17088-2026")</f>
        <v/>
      </c>
      <c r="AA70">
        <f>HYPERLINK("https://klasma.github.io/Logging_1784/klagomål/A 17088-2026 FSC-klagomål.docx", "A 17088-2026")</f>
        <v/>
      </c>
      <c r="AB70">
        <f>HYPERLINK("https://klasma.github.io/Logging_1784/klagomålsmail/A 17088-2026 FSC-klagomål mail.docx", "A 17088-2026")</f>
        <v/>
      </c>
      <c r="AC70">
        <f>HYPERLINK("https://klasma.github.io/Logging_1784/tillsyn/A 17088-2026 tillsynsbegäran.docx", "A 17088-2026")</f>
        <v/>
      </c>
      <c r="AD70">
        <f>HYPERLINK("https://klasma.github.io/Logging_1784/tillsynsmail/A 17088-2026 tillsynsbegäran mail.docx", "A 17088-2026")</f>
        <v/>
      </c>
    </row>
    <row r="71" ht="15" customHeight="1">
      <c r="A71" t="inlineStr">
        <is>
          <t>A 30071-2025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46299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5.7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HYPERLINK("https://klasma.github.io/Logging_1784/artfynd/A 30071-2025 artfynd.xlsx", "A 30071-2025")</f>
        <v/>
      </c>
      <c r="X71">
        <f>HYPERLINK("https://klasma.github.io/Logging_1784/kartor/A 30071-2025 karta.png", "A 30071-2025")</f>
        <v/>
      </c>
      <c r="Y71">
        <f>HYPERLINK("https://klasma.github.io/Logging_1784/kartor_geotiff/A 30071-2025 georefererad karta.tif", "A 30071-2025")</f>
        <v/>
      </c>
      <c r="AA71">
        <f>HYPERLINK("https://klasma.github.io/Logging_1784/klagomål/A 30071-2025 FSC-klagomål.docx", "A 30071-2025")</f>
        <v/>
      </c>
      <c r="AB71">
        <f>HYPERLINK("https://klasma.github.io/Logging_1784/klagomålsmail/A 30071-2025 FSC-klagomål mail.docx", "A 30071-2025")</f>
        <v/>
      </c>
      <c r="AC71">
        <f>HYPERLINK("https://klasma.github.io/Logging_1784/tillsyn/A 30071-2025 tillsynsbegäran.docx", "A 30071-2025")</f>
        <v/>
      </c>
      <c r="AD71">
        <f>HYPERLINK("https://klasma.github.io/Logging_1784/tillsynsmail/A 30071-2025 tillsynsbegäran mail.docx", "A 30071-2025")</f>
        <v/>
      </c>
    </row>
    <row r="72" ht="15" customHeight="1">
      <c r="A72" t="inlineStr">
        <is>
          <t>A 18062-2026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46299</v>
      </c>
      <c r="F72" t="inlineStr">
        <is>
          <t>VÄRMLANDS LÄN</t>
        </is>
      </c>
      <c r="G72" t="inlineStr">
        <is>
          <t>ARVIKA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HYPERLINK("https://klasma.github.io/Logging_1784/artfynd/A 18062-2026 artfynd.xlsx", "A 18062-2026")</f>
        <v/>
      </c>
      <c r="X72">
        <f>HYPERLINK("https://klasma.github.io/Logging_1784/kartor/A 18062-2026 karta.png", "A 18062-2026")</f>
        <v/>
      </c>
      <c r="Y72">
        <f>HYPERLINK("https://klasma.github.io/Logging_1784/kartor_geotiff/A 18062-2026 georefererad karta.tif", "A 18062-2026")</f>
        <v/>
      </c>
      <c r="AA72">
        <f>HYPERLINK("https://klasma.github.io/Logging_1784/klagomål/A 18062-2026 FSC-klagomål.docx", "A 18062-2026")</f>
        <v/>
      </c>
      <c r="AB72">
        <f>HYPERLINK("https://klasma.github.io/Logging_1784/klagomålsmail/A 18062-2026 FSC-klagomål mail.docx", "A 18062-2026")</f>
        <v/>
      </c>
      <c r="AC72">
        <f>HYPERLINK("https://klasma.github.io/Logging_1784/tillsyn/A 18062-2026 tillsynsbegäran.docx", "A 18062-2026")</f>
        <v/>
      </c>
      <c r="AD72">
        <f>HYPERLINK("https://klasma.github.io/Logging_1784/tillsynsmail/A 18062-2026 tillsynsbegäran mail.docx", "A 18062-2026")</f>
        <v/>
      </c>
      <c r="AE72">
        <f>HYPERLINK("https://klasma.github.io/Logging_1784/fåglar/A 18062-2026 prioriterade fågelarter.docx", "A 18062-2026")</f>
        <v/>
      </c>
    </row>
    <row r="73" ht="15" customHeight="1">
      <c r="A73" t="inlineStr">
        <is>
          <t>A 13475-2025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46299</v>
      </c>
      <c r="F73" t="inlineStr">
        <is>
          <t>VÄRMLANDS LÄN</t>
        </is>
      </c>
      <c r="G73" t="inlineStr">
        <is>
          <t>ARVIKA</t>
        </is>
      </c>
      <c r="I73" t="n">
        <v>2.1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3</v>
      </c>
      <c r="U73" t="n">
        <v>3</v>
      </c>
      <c r="V73" s="2" t="inlineStr">
        <is>
          <t>Skogsklocka</t>
        </is>
      </c>
      <c r="W73">
        <f>HYPERLINK("https://klasma.github.io/Logging_1784/artfynd/A 13475-2025 artfynd.xlsx", "A 13475-2025")</f>
        <v/>
      </c>
      <c r="X73">
        <f>HYPERLINK("https://klasma.github.io/Logging_1784/kartor/A 13475-2025 karta.png", "A 13475-2025")</f>
        <v/>
      </c>
      <c r="Y73">
        <f>HYPERLINK("https://klasma.github.io/Logging_1784/kartor_geotiff/A 13475-2025 georefererad karta.tif", "A 13475-2025")</f>
        <v/>
      </c>
      <c r="AA73">
        <f>HYPERLINK("https://klasma.github.io/Logging_1784/klagomål/A 13475-2025 FSC-klagomål.docx", "A 13475-2025")</f>
        <v/>
      </c>
      <c r="AB73">
        <f>HYPERLINK("https://klasma.github.io/Logging_1784/klagomålsmail/A 13475-2025 FSC-klagomål mail.docx", "A 13475-2025")</f>
        <v/>
      </c>
      <c r="AC73">
        <f>HYPERLINK("https://klasma.github.io/Logging_1784/tillsyn/A 13475-2025 tillsynsbegäran.docx", "A 13475-2025")</f>
        <v/>
      </c>
      <c r="AD73">
        <f>HYPERLINK("https://klasma.github.io/Logging_1784/tillsynsmail/A 13475-2025 tillsynsbegäran mail.docx", "A 13475-2025")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46299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29937-2025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46299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2.6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Duvhök</t>
        </is>
      </c>
      <c r="W75">
        <f>HYPERLINK("https://klasma.github.io/Logging_1784/artfynd/A 29937-2025 artfynd.xlsx", "A 29937-2025")</f>
        <v/>
      </c>
      <c r="X75">
        <f>HYPERLINK("https://klasma.github.io/Logging_1784/kartor/A 29937-2025 karta.png", "A 29937-2025")</f>
        <v/>
      </c>
      <c r="Y75">
        <f>HYPERLINK("https://klasma.github.io/Logging_1784/kartor_geotiff/A 29937-2025 georefererad karta.tif", "A 29937-2025")</f>
        <v/>
      </c>
      <c r="AA75">
        <f>HYPERLINK("https://klasma.github.io/Logging_1784/klagomål/A 29937-2025 FSC-klagomål.docx", "A 29937-2025")</f>
        <v/>
      </c>
      <c r="AB75">
        <f>HYPERLINK("https://klasma.github.io/Logging_1784/klagomålsmail/A 29937-2025 FSC-klagomål mail.docx", "A 29937-2025")</f>
        <v/>
      </c>
      <c r="AC75">
        <f>HYPERLINK("https://klasma.github.io/Logging_1784/tillsyn/A 29937-2025 tillsynsbegäran.docx", "A 29937-2025")</f>
        <v/>
      </c>
      <c r="AD75">
        <f>HYPERLINK("https://klasma.github.io/Logging_1784/tillsynsmail/A 29937-2025 tillsynsbegäran mail.docx", "A 29937-2025")</f>
        <v/>
      </c>
      <c r="AE75">
        <f>HYPERLINK("https://klasma.github.io/Logging_1784/fåglar/A 29937-2025 prioriterade fågelarter.docx", "A 29937-2025")</f>
        <v/>
      </c>
    </row>
    <row r="76" ht="15" customHeight="1">
      <c r="A76" t="inlineStr">
        <is>
          <t>A 30777-2025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46299</v>
      </c>
      <c r="F76" t="inlineStr">
        <is>
          <t>VÄRMLANDS LÄN</t>
        </is>
      </c>
      <c r="G76" t="inlineStr">
        <is>
          <t>ARVIKA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Sångsvan</t>
        </is>
      </c>
      <c r="W76">
        <f>HYPERLINK("https://klasma.github.io/Logging_1784/artfynd/A 30777-2025 artfynd.xlsx", "A 30777-2025")</f>
        <v/>
      </c>
      <c r="X76">
        <f>HYPERLINK("https://klasma.github.io/Logging_1784/kartor/A 30777-2025 karta.png", "A 30777-2025")</f>
        <v/>
      </c>
      <c r="Y76">
        <f>HYPERLINK("https://klasma.github.io/Logging_1784/kartor_geotiff/A 30777-2025 georefererad karta.tif", "A 30777-2025")</f>
        <v/>
      </c>
      <c r="AA76">
        <f>HYPERLINK("https://klasma.github.io/Logging_1784/klagomål/A 30777-2025 FSC-klagomål.docx", "A 30777-2025")</f>
        <v/>
      </c>
      <c r="AB76">
        <f>HYPERLINK("https://klasma.github.io/Logging_1784/klagomålsmail/A 30777-2025 FSC-klagomål mail.docx", "A 30777-2025")</f>
        <v/>
      </c>
      <c r="AC76">
        <f>HYPERLINK("https://klasma.github.io/Logging_1784/tillsyn/A 30777-2025 tillsynsbegäran.docx", "A 30777-2025")</f>
        <v/>
      </c>
      <c r="AD76">
        <f>HYPERLINK("https://klasma.github.io/Logging_1784/tillsynsmail/A 30777-2025 tillsynsbegäran mail.docx", "A 30777-2025")</f>
        <v/>
      </c>
      <c r="AE76">
        <f>HYPERLINK("https://klasma.github.io/Logging_1784/fåglar/A 30777-2025 prioriterade fågelarter.docx", "A 30777-2025")</f>
        <v/>
      </c>
    </row>
    <row r="77" ht="15" customHeight="1">
      <c r="A77" t="inlineStr">
        <is>
          <t>A 31588-2025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46299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HYPERLINK("https://klasma.github.io/Logging_1784/artfynd/A 31588-2025 artfynd.xlsx", "A 31588-2025")</f>
        <v/>
      </c>
      <c r="X77">
        <f>HYPERLINK("https://klasma.github.io/Logging_1784/kartor/A 31588-2025 karta.png", "A 31588-2025")</f>
        <v/>
      </c>
      <c r="Y77">
        <f>HYPERLINK("https://klasma.github.io/Logging_1784/kartor_geotiff/A 31588-2025 georefererad karta.tif", "A 31588-2025")</f>
        <v/>
      </c>
      <c r="AA77">
        <f>HYPERLINK("https://klasma.github.io/Logging_1784/klagomål/A 31588-2025 FSC-klagomål.docx", "A 31588-2025")</f>
        <v/>
      </c>
      <c r="AB77">
        <f>HYPERLINK("https://klasma.github.io/Logging_1784/klagomålsmail/A 31588-2025 FSC-klagomål mail.docx", "A 31588-2025")</f>
        <v/>
      </c>
      <c r="AC77">
        <f>HYPERLINK("https://klasma.github.io/Logging_1784/tillsyn/A 31588-2025 tillsynsbegäran.docx", "A 31588-2025")</f>
        <v/>
      </c>
      <c r="AD77">
        <f>HYPERLINK("https://klasma.github.io/Logging_1784/tillsynsmail/A 31588-2025 tillsynsbegäran mail.docx", "A 31588-2025")</f>
        <v/>
      </c>
    </row>
    <row r="78" ht="15" customHeight="1">
      <c r="A78" t="inlineStr">
        <is>
          <t>A 48010-2024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46299</v>
      </c>
      <c r="F78" t="inlineStr">
        <is>
          <t>VÄRMLANDS LÄN</t>
        </is>
      </c>
      <c r="G78" t="inlineStr">
        <is>
          <t>ARVIKA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48010-2024 artfynd.xlsx", "A 48010-2024")</f>
        <v/>
      </c>
      <c r="X78">
        <f>HYPERLINK("https://klasma.github.io/Logging_1784/kartor/A 48010-2024 karta.png", "A 48010-2024")</f>
        <v/>
      </c>
      <c r="Y78">
        <f>HYPERLINK("https://klasma.github.io/Logging_1784/kartor_geotiff/A 48010-2024 georefererad karta.tif", "A 48010-2024")</f>
        <v/>
      </c>
      <c r="Z78">
        <f>HYPERLINK("https://klasma.github.io/Logging_1784/knärot/A 48010-2024 karta knärot.png", "A 48010-2024")</f>
        <v/>
      </c>
      <c r="AA78">
        <f>HYPERLINK("https://klasma.github.io/Logging_1784/klagomål/A 48010-2024 FSC-klagomål.docx", "A 48010-2024")</f>
        <v/>
      </c>
      <c r="AB78">
        <f>HYPERLINK("https://klasma.github.io/Logging_1784/klagomålsmail/A 48010-2024 FSC-klagomål mail.docx", "A 48010-2024")</f>
        <v/>
      </c>
      <c r="AC78">
        <f>HYPERLINK("https://klasma.github.io/Logging_1784/tillsyn/A 48010-2024 tillsynsbegäran.docx", "A 48010-2024")</f>
        <v/>
      </c>
      <c r="AD78">
        <f>HYPERLINK("https://klasma.github.io/Logging_1784/tillsynsmail/A 48010-2024 tillsynsbegäran mail.docx", "A 48010-2024")</f>
        <v/>
      </c>
    </row>
    <row r="79" ht="15" customHeight="1">
      <c r="A79" t="inlineStr">
        <is>
          <t>A 49883-2024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46299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4.6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Mönjevaxing</t>
        </is>
      </c>
      <c r="W79">
        <f>HYPERLINK("https://klasma.github.io/Logging_1784/artfynd/A 49883-2024 artfynd.xlsx", "A 49883-2024")</f>
        <v/>
      </c>
      <c r="X79">
        <f>HYPERLINK("https://klasma.github.io/Logging_1784/kartor/A 49883-2024 karta.png", "A 49883-2024")</f>
        <v/>
      </c>
      <c r="Y79">
        <f>HYPERLINK("https://klasma.github.io/Logging_1784/kartor_geotiff/A 49883-2024 georefererad karta.tif", "A 49883-2024")</f>
        <v/>
      </c>
      <c r="AA79">
        <f>HYPERLINK("https://klasma.github.io/Logging_1784/klagomål/A 49883-2024 FSC-klagomål.docx", "A 49883-2024")</f>
        <v/>
      </c>
      <c r="AB79">
        <f>HYPERLINK("https://klasma.github.io/Logging_1784/klagomålsmail/A 49883-2024 FSC-klagomål mail.docx", "A 49883-2024")</f>
        <v/>
      </c>
      <c r="AC79">
        <f>HYPERLINK("https://klasma.github.io/Logging_1784/tillsyn/A 49883-2024 tillsynsbegäran.docx", "A 49883-2024")</f>
        <v/>
      </c>
      <c r="AD79">
        <f>HYPERLINK("https://klasma.github.io/Logging_1784/tillsynsmail/A 49883-2024 tillsynsbegäran mail.docx", "A 49883-2024")</f>
        <v/>
      </c>
    </row>
    <row r="80" ht="15" customHeight="1">
      <c r="A80" t="inlineStr">
        <is>
          <t>A 8525-2023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46299</v>
      </c>
      <c r="F80" t="inlineStr">
        <is>
          <t>VÄRMLANDS LÄN</t>
        </is>
      </c>
      <c r="G80" t="inlineStr">
        <is>
          <t>ARVIKA</t>
        </is>
      </c>
      <c r="I80" t="n">
        <v>2.2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8525-2023 artfynd.xlsx", "A 8525-2023")</f>
        <v/>
      </c>
      <c r="X80">
        <f>HYPERLINK("https://klasma.github.io/Logging_1784/kartor/A 8525-2023 karta.png", "A 8525-2023")</f>
        <v/>
      </c>
      <c r="Y80">
        <f>HYPERLINK("https://klasma.github.io/Logging_1784/kartor_geotiff/A 8525-2023 georefererad karta.tif", "A 8525-2023")</f>
        <v/>
      </c>
      <c r="Z80">
        <f>HYPERLINK("https://klasma.github.io/Logging_1784/knärot/A 8525-2023 karta knärot.png", "A 8525-2023")</f>
        <v/>
      </c>
      <c r="AA80">
        <f>HYPERLINK("https://klasma.github.io/Logging_1784/klagomål/A 8525-2023 FSC-klagomål.docx", "A 8525-2023")</f>
        <v/>
      </c>
      <c r="AB80">
        <f>HYPERLINK("https://klasma.github.io/Logging_1784/klagomålsmail/A 8525-2023 FSC-klagomål mail.docx", "A 8525-2023")</f>
        <v/>
      </c>
      <c r="AC80">
        <f>HYPERLINK("https://klasma.github.io/Logging_1784/tillsyn/A 8525-2023 tillsynsbegäran.docx", "A 8525-2023")</f>
        <v/>
      </c>
      <c r="AD80">
        <f>HYPERLINK("https://klasma.github.io/Logging_1784/tillsynsmail/A 8525-2023 tillsynsbegäran mail.docx", "A 8525-2023")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46299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46299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29600-2025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45825</v>
      </c>
      <c r="E83" s="1" t="n">
        <v>46299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HYPERLINK("https://klasma.github.io/Logging_1784/artfynd/A 29600-2025 artfynd.xlsx", "A 29600-2025")</f>
        <v/>
      </c>
      <c r="X83">
        <f>HYPERLINK("https://klasma.github.io/Logging_1784/kartor/A 29600-2025 karta.png", "A 29600-2025")</f>
        <v/>
      </c>
      <c r="Y83">
        <f>HYPERLINK("https://klasma.github.io/Logging_1784/kartor_geotiff/A 29600-2025 georefererad karta.tif", "A 29600-2025")</f>
        <v/>
      </c>
      <c r="AA83">
        <f>HYPERLINK("https://klasma.github.io/Logging_1784/klagomål/A 29600-2025 FSC-klagomål.docx", "A 29600-2025")</f>
        <v/>
      </c>
      <c r="AB83">
        <f>HYPERLINK("https://klasma.github.io/Logging_1784/klagomålsmail/A 29600-2025 FSC-klagomål mail.docx", "A 29600-2025")</f>
        <v/>
      </c>
      <c r="AC83">
        <f>HYPERLINK("https://klasma.github.io/Logging_1784/tillsyn/A 29600-2025 tillsynsbegäran.docx", "A 29600-2025")</f>
        <v/>
      </c>
      <c r="AD83">
        <f>HYPERLINK("https://klasma.github.io/Logging_1784/tillsynsmail/A 29600-2025 tillsynsbegäran mail.docx", "A 29600-2025")</f>
        <v/>
      </c>
    </row>
    <row r="84" ht="15" customHeight="1">
      <c r="A84" t="inlineStr">
        <is>
          <t>A 47699-2022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46299</v>
      </c>
      <c r="F84" t="inlineStr">
        <is>
          <t>VÄRMLANDS LÄN</t>
        </is>
      </c>
      <c r="G84" t="inlineStr">
        <is>
          <t>ARVIKA</t>
        </is>
      </c>
      <c r="I84" t="n">
        <v>20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HYPERLINK("https://klasma.github.io/Logging_1784/artfynd/A 47699-2022 artfynd.xlsx", "A 47699-2022")</f>
        <v/>
      </c>
      <c r="X84">
        <f>HYPERLINK("https://klasma.github.io/Logging_1784/kartor/A 47699-2022 karta.png", "A 47699-2022")</f>
        <v/>
      </c>
      <c r="Y84">
        <f>HYPERLINK("https://klasma.github.io/Logging_1784/kartor_geotiff/A 47699-2022 georefererad karta.tif", "A 47699-2022")</f>
        <v/>
      </c>
      <c r="AA84">
        <f>HYPERLINK("https://klasma.github.io/Logging_1784/klagomål/A 47699-2022 FSC-klagomål.docx", "A 47699-2022")</f>
        <v/>
      </c>
      <c r="AB84">
        <f>HYPERLINK("https://klasma.github.io/Logging_1784/klagomålsmail/A 47699-2022 FSC-klagomål mail.docx", "A 47699-2022")</f>
        <v/>
      </c>
      <c r="AC84">
        <f>HYPERLINK("https://klasma.github.io/Logging_1784/tillsyn/A 47699-2022 tillsynsbegäran.docx", "A 47699-2022")</f>
        <v/>
      </c>
      <c r="AD84">
        <f>HYPERLINK("https://klasma.github.io/Logging_1784/tillsynsmail/A 47699-2022 tillsynsbegäran mail.docx", "A 47699-2022")</f>
        <v/>
      </c>
    </row>
    <row r="85" ht="15" customHeight="1">
      <c r="A85" t="inlineStr">
        <is>
          <t>A 16391-2023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46299</v>
      </c>
      <c r="F85" t="inlineStr">
        <is>
          <t>VÄRMLANDS LÄN</t>
        </is>
      </c>
      <c r="G85" t="inlineStr">
        <is>
          <t>ARVIKA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Kulfibbla</t>
        </is>
      </c>
      <c r="W85">
        <f>HYPERLINK("https://klasma.github.io/Logging_1784/artfynd/A 16391-2023 artfynd.xlsx", "A 16391-2023")</f>
        <v/>
      </c>
      <c r="X85">
        <f>HYPERLINK("https://klasma.github.io/Logging_1784/kartor/A 16391-2023 karta.png", "A 16391-2023")</f>
        <v/>
      </c>
      <c r="Y85">
        <f>HYPERLINK("https://klasma.github.io/Logging_1784/kartor_geotiff/A 16391-2023 georefererad karta.tif", "A 16391-2023")</f>
        <v/>
      </c>
      <c r="AA85">
        <f>HYPERLINK("https://klasma.github.io/Logging_1784/klagomål/A 16391-2023 FSC-klagomål.docx", "A 16391-2023")</f>
        <v/>
      </c>
      <c r="AB85">
        <f>HYPERLINK("https://klasma.github.io/Logging_1784/klagomålsmail/A 16391-2023 FSC-klagomål mail.docx", "A 16391-2023")</f>
        <v/>
      </c>
      <c r="AC85">
        <f>HYPERLINK("https://klasma.github.io/Logging_1784/tillsyn/A 16391-2023 tillsynsbegäran.docx", "A 16391-2023")</f>
        <v/>
      </c>
      <c r="AD85">
        <f>HYPERLINK("https://klasma.github.io/Logging_1784/tillsynsmail/A 16391-2023 tillsynsbegäran mail.docx", "A 16391-2023")</f>
        <v/>
      </c>
    </row>
    <row r="86" ht="15" customHeight="1">
      <c r="A86" t="inlineStr">
        <is>
          <t>A 50789-2024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46299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50789-2024 artfynd.xlsx", "A 50789-2024")</f>
        <v/>
      </c>
      <c r="X86">
        <f>HYPERLINK("https://klasma.github.io/Logging_1784/kartor/A 50789-2024 karta.png", "A 50789-2024")</f>
        <v/>
      </c>
      <c r="Y86">
        <f>HYPERLINK("https://klasma.github.io/Logging_1784/kartor_geotiff/A 50789-2024 georefererad karta.tif", "A 50789-2024")</f>
        <v/>
      </c>
      <c r="AA86">
        <f>HYPERLINK("https://klasma.github.io/Logging_1784/klagomål/A 50789-2024 FSC-klagomål.docx", "A 50789-2024")</f>
        <v/>
      </c>
      <c r="AB86">
        <f>HYPERLINK("https://klasma.github.io/Logging_1784/klagomålsmail/A 50789-2024 FSC-klagomål mail.docx", "A 50789-2024")</f>
        <v/>
      </c>
      <c r="AC86">
        <f>HYPERLINK("https://klasma.github.io/Logging_1784/tillsyn/A 50789-2024 tillsynsbegäran.docx", "A 50789-2024")</f>
        <v/>
      </c>
      <c r="AD86">
        <f>HYPERLINK("https://klasma.github.io/Logging_1784/tillsynsmail/A 50789-2024 tillsynsbegäran mail.docx", "A 50789-2024")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46299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28610-2026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46197</v>
      </c>
      <c r="E88" s="1" t="n">
        <v>46299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HYPERLINK("https://klasma.github.io/Logging_1784/artfynd/A 28610-2026 artfynd.xlsx", "A 28610-2026")</f>
        <v/>
      </c>
      <c r="X88">
        <f>HYPERLINK("https://klasma.github.io/Logging_1784/kartor/A 28610-2026 karta.png", "A 28610-2026")</f>
        <v/>
      </c>
      <c r="Y88">
        <f>HYPERLINK("https://klasma.github.io/Logging_1784/kartor_geotiff/A 28610-2026 georefererad karta.tif", "A 28610-2026")</f>
        <v/>
      </c>
      <c r="AA88">
        <f>HYPERLINK("https://klasma.github.io/Logging_1784/klagomål/A 28610-2026 FSC-klagomål.docx", "A 28610-2026")</f>
        <v/>
      </c>
      <c r="AB88">
        <f>HYPERLINK("https://klasma.github.io/Logging_1784/klagomålsmail/A 28610-2026 FSC-klagomål mail.docx", "A 28610-2026")</f>
        <v/>
      </c>
      <c r="AC88">
        <f>HYPERLINK("https://klasma.github.io/Logging_1784/tillsyn/A 28610-2026 tillsynsbegäran.docx", "A 28610-2026")</f>
        <v/>
      </c>
      <c r="AD88">
        <f>HYPERLINK("https://klasma.github.io/Logging_1784/tillsynsmail/A 28610-2026 tillsynsbegäran mail.docx", "A 28610-2026")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46299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30296-2026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46299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Korallvaxing</t>
        </is>
      </c>
      <c r="W90">
        <f>HYPERLINK("https://klasma.github.io/Logging_1784/artfynd/A 30296-2026 artfynd.xlsx", "A 30296-2026")</f>
        <v/>
      </c>
      <c r="X90">
        <f>HYPERLINK("https://klasma.github.io/Logging_1784/kartor/A 30296-2026 karta.png", "A 30296-2026")</f>
        <v/>
      </c>
      <c r="Y90">
        <f>HYPERLINK("https://klasma.github.io/Logging_1784/kartor_geotiff/A 30296-2026 georefererad karta.tif", "A 30296-2026")</f>
        <v/>
      </c>
      <c r="AA90">
        <f>HYPERLINK("https://klasma.github.io/Logging_1784/klagomål/A 30296-2026 FSC-klagomål.docx", "A 30296-2026")</f>
        <v/>
      </c>
      <c r="AB90">
        <f>HYPERLINK("https://klasma.github.io/Logging_1784/klagomålsmail/A 30296-2026 FSC-klagomål mail.docx", "A 30296-2026")</f>
        <v/>
      </c>
      <c r="AC90">
        <f>HYPERLINK("https://klasma.github.io/Logging_1784/tillsyn/A 30296-2026 tillsynsbegäran.docx", "A 30296-2026")</f>
        <v/>
      </c>
      <c r="AD90">
        <f>HYPERLINK("https://klasma.github.io/Logging_1784/tillsynsmail/A 30296-2026 tillsynsbegäran mail.docx", "A 30296-2026")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46299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46299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17079-2022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44677</v>
      </c>
      <c r="E93" s="1" t="n">
        <v>46299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17079-2022 artfynd.xlsx", "A 17079-2022")</f>
        <v/>
      </c>
      <c r="X93">
        <f>HYPERLINK("https://klasma.github.io/Logging_1784/kartor/A 17079-2022 karta.png", "A 17079-2022")</f>
        <v/>
      </c>
      <c r="Y93">
        <f>HYPERLINK("https://klasma.github.io/Logging_1784/kartor_geotiff/A 17079-2022 georefererad karta.tif", "A 17079-2022")</f>
        <v/>
      </c>
      <c r="AA93">
        <f>HYPERLINK("https://klasma.github.io/Logging_1784/klagomål/A 17079-2022 FSC-klagomål.docx", "A 17079-2022")</f>
        <v/>
      </c>
      <c r="AB93">
        <f>HYPERLINK("https://klasma.github.io/Logging_1784/klagomålsmail/A 17079-2022 FSC-klagomål mail.docx", "A 17079-2022")</f>
        <v/>
      </c>
      <c r="AC93">
        <f>HYPERLINK("https://klasma.github.io/Logging_1784/tillsyn/A 17079-2022 tillsynsbegäran.docx", "A 17079-2022")</f>
        <v/>
      </c>
      <c r="AD93">
        <f>HYPERLINK("https://klasma.github.io/Logging_1784/tillsynsmail/A 17079-2022 tillsynsbegäran mail.docx", "A 17079-2022")</f>
        <v/>
      </c>
    </row>
    <row r="94" ht="15" customHeight="1">
      <c r="A94" t="inlineStr">
        <is>
          <t>A 48464-2023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45206</v>
      </c>
      <c r="E94" s="1" t="n">
        <v>46299</v>
      </c>
      <c r="F94" t="inlineStr">
        <is>
          <t>VÄRMLANDS LÄN</t>
        </is>
      </c>
      <c r="G94" t="inlineStr">
        <is>
          <t>ARVIKA</t>
        </is>
      </c>
      <c r="I94" t="n">
        <v>7.9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Knärot</t>
        </is>
      </c>
      <c r="W94">
        <f>HYPERLINK("https://klasma.github.io/Logging_1784/artfynd/A 48464-2023 artfynd.xlsx", "A 48464-2023")</f>
        <v/>
      </c>
      <c r="X94">
        <f>HYPERLINK("https://klasma.github.io/Logging_1784/kartor/A 48464-2023 karta.png", "A 48464-2023")</f>
        <v/>
      </c>
      <c r="Y94">
        <f>HYPERLINK("https://klasma.github.io/Logging_1784/kartor_geotiff/A 48464-2023 georefererad karta.tif", "A 48464-2023")</f>
        <v/>
      </c>
      <c r="Z94">
        <f>HYPERLINK("https://klasma.github.io/Logging_1784/knärot/A 48464-2023 karta knärot.png", "A 48464-2023")</f>
        <v/>
      </c>
      <c r="AA94">
        <f>HYPERLINK("https://klasma.github.io/Logging_1784/klagomål/A 48464-2023 FSC-klagomål.docx", "A 48464-2023")</f>
        <v/>
      </c>
      <c r="AB94">
        <f>HYPERLINK("https://klasma.github.io/Logging_1784/klagomålsmail/A 48464-2023 FSC-klagomål mail.docx", "A 48464-2023")</f>
        <v/>
      </c>
      <c r="AC94">
        <f>HYPERLINK("https://klasma.github.io/Logging_1784/tillsyn/A 48464-2023 tillsynsbegäran.docx", "A 48464-2023")</f>
        <v/>
      </c>
      <c r="AD94">
        <f>HYPERLINK("https://klasma.github.io/Logging_1784/tillsynsmail/A 48464-2023 tillsynsbegäran mail.docx", "A 48464-2023")</f>
        <v/>
      </c>
    </row>
    <row r="95" ht="15" customHeight="1">
      <c r="A95" t="inlineStr">
        <is>
          <t>A 8846-2022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46299</v>
      </c>
      <c r="F95" t="inlineStr">
        <is>
          <t>VÄRMLANDS LÄN</t>
        </is>
      </c>
      <c r="G95" t="inlineStr">
        <is>
          <t>ARVIKA</t>
        </is>
      </c>
      <c r="I95" t="n">
        <v>8.6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Tibast</t>
        </is>
      </c>
      <c r="W95">
        <f>HYPERLINK("https://klasma.github.io/Logging_1784/artfynd/A 8846-2022 artfynd.xlsx", "A 8846-2022")</f>
        <v/>
      </c>
      <c r="X95">
        <f>HYPERLINK("https://klasma.github.io/Logging_1784/kartor/A 8846-2022 karta.png", "A 8846-2022")</f>
        <v/>
      </c>
      <c r="Y95">
        <f>HYPERLINK("https://klasma.github.io/Logging_1784/kartor_geotiff/A 8846-2022 georefererad karta.tif", "A 8846-2022")</f>
        <v/>
      </c>
      <c r="AA95">
        <f>HYPERLINK("https://klasma.github.io/Logging_1784/klagomål/A 8846-2022 FSC-klagomål.docx", "A 8846-2022")</f>
        <v/>
      </c>
      <c r="AB95">
        <f>HYPERLINK("https://klasma.github.io/Logging_1784/klagomålsmail/A 8846-2022 FSC-klagomål mail.docx", "A 8846-2022")</f>
        <v/>
      </c>
      <c r="AC95">
        <f>HYPERLINK("https://klasma.github.io/Logging_1784/tillsyn/A 8846-2022 tillsynsbegäran.docx", "A 8846-2022")</f>
        <v/>
      </c>
      <c r="AD95">
        <f>HYPERLINK("https://klasma.github.io/Logging_1784/tillsynsmail/A 8846-2022 tillsynsbegäran mail.docx", "A 8846-2022")</f>
        <v/>
      </c>
    </row>
    <row r="96" ht="15" customHeight="1">
      <c r="A96" t="inlineStr">
        <is>
          <t>A 59105-2022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44904</v>
      </c>
      <c r="E96" s="1" t="n">
        <v>46299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Brun gräsfjäril</t>
        </is>
      </c>
      <c r="W96">
        <f>HYPERLINK("https://klasma.github.io/Logging_1784/artfynd/A 59105-2022 artfynd.xlsx", "A 59105-2022")</f>
        <v/>
      </c>
      <c r="X96">
        <f>HYPERLINK("https://klasma.github.io/Logging_1784/kartor/A 59105-2022 karta.png", "A 59105-2022")</f>
        <v/>
      </c>
      <c r="Y96">
        <f>HYPERLINK("https://klasma.github.io/Logging_1784/kartor_geotiff/A 59105-2022 georefererad karta.tif", "A 59105-2022")</f>
        <v/>
      </c>
      <c r="AA96">
        <f>HYPERLINK("https://klasma.github.io/Logging_1784/klagomål/A 59105-2022 FSC-klagomål.docx", "A 59105-2022")</f>
        <v/>
      </c>
      <c r="AB96">
        <f>HYPERLINK("https://klasma.github.io/Logging_1784/klagomålsmail/A 59105-2022 FSC-klagomål mail.docx", "A 59105-2022")</f>
        <v/>
      </c>
      <c r="AC96">
        <f>HYPERLINK("https://klasma.github.io/Logging_1784/tillsyn/A 59105-2022 tillsynsbegäran.docx", "A 59105-2022")</f>
        <v/>
      </c>
      <c r="AD96">
        <f>HYPERLINK("https://klasma.github.io/Logging_1784/tillsynsmail/A 59105-2022 tillsynsbegäran mail.docx", "A 59105-2022")</f>
        <v/>
      </c>
    </row>
    <row r="97" ht="15" customHeight="1">
      <c r="A97" t="inlineStr">
        <is>
          <t>A 39469-2026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46288</v>
      </c>
      <c r="E97" s="1" t="n">
        <v>46299</v>
      </c>
      <c r="F97" t="inlineStr">
        <is>
          <t>VÄRMLANDS LÄN</t>
        </is>
      </c>
      <c r="G97" t="inlineStr">
        <is>
          <t>ARVIKA</t>
        </is>
      </c>
      <c r="H97" t="inlineStr">
        <is>
          <t>Kyrkan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HYPERLINK("https://klasma.github.io/Logging_1784/artfynd/A 39469-2026 artfynd.xlsx", "A 39469-2026")</f>
        <v/>
      </c>
      <c r="X97">
        <f>HYPERLINK("https://klasma.github.io/Logging_1784/kartor/A 39469-2026 karta.png", "A 39469-2026")</f>
        <v/>
      </c>
      <c r="Y97">
        <f>HYPERLINK("https://klasma.github.io/Logging_1784/kartor_geotiff/A 39469-2026 georefererad karta.tif", "A 39469-2026")</f>
        <v/>
      </c>
      <c r="AA97">
        <f>HYPERLINK("https://klasma.github.io/Logging_1784/klagomål/A 39469-2026 FSC-klagomål.docx", "A 39469-2026")</f>
        <v/>
      </c>
      <c r="AB97">
        <f>HYPERLINK("https://klasma.github.io/Logging_1784/klagomålsmail/A 39469-2026 FSC-klagomål mail.docx", "A 39469-2026")</f>
        <v/>
      </c>
      <c r="AC97">
        <f>HYPERLINK("https://klasma.github.io/Logging_1784/tillsyn/A 39469-2026 tillsynsbegäran.docx", "A 39469-2026")</f>
        <v/>
      </c>
      <c r="AD97">
        <f>HYPERLINK("https://klasma.github.io/Logging_1784/tillsynsmail/A 39469-2026 tillsynsbegäran mail.docx", "A 39469-2026")</f>
        <v/>
      </c>
    </row>
    <row r="98" ht="15" customHeight="1">
      <c r="A98" t="inlineStr">
        <is>
          <t>A 33435-2026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46299</v>
      </c>
      <c r="F98" t="inlineStr">
        <is>
          <t>VÄRMLANDS LÄN</t>
        </is>
      </c>
      <c r="G98" t="inlineStr">
        <is>
          <t>ARVIKA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HYPERLINK("https://klasma.github.io/Logging_1784/artfynd/A 33435-2026 artfynd.xlsx", "A 33435-2026")</f>
        <v/>
      </c>
      <c r="X98">
        <f>HYPERLINK("https://klasma.github.io/Logging_1784/kartor/A 33435-2026 karta.png", "A 33435-2026")</f>
        <v/>
      </c>
      <c r="Y98">
        <f>HYPERLINK("https://klasma.github.io/Logging_1784/kartor_geotiff/A 33435-2026 georefererad karta.tif", "A 33435-2026")</f>
        <v/>
      </c>
      <c r="AA98">
        <f>HYPERLINK("https://klasma.github.io/Logging_1784/klagomål/A 33435-2026 FSC-klagomål.docx", "A 33435-2026")</f>
        <v/>
      </c>
      <c r="AB98">
        <f>HYPERLINK("https://klasma.github.io/Logging_1784/klagomålsmail/A 33435-2026 FSC-klagomål mail.docx", "A 33435-2026")</f>
        <v/>
      </c>
      <c r="AC98">
        <f>HYPERLINK("https://klasma.github.io/Logging_1784/tillsyn/A 33435-2026 tillsynsbegäran.docx", "A 33435-2026")</f>
        <v/>
      </c>
      <c r="AD98">
        <f>HYPERLINK("https://klasma.github.io/Logging_1784/tillsynsmail/A 33435-2026 tillsynsbegäran mail.docx", "A 33435-2026")</f>
        <v/>
      </c>
    </row>
    <row r="99" ht="15" customHeight="1">
      <c r="A99" t="inlineStr">
        <is>
          <t>A 39797-2026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46299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HYPERLINK("https://klasma.github.io/Logging_1784/artfynd/A 39797-2026 artfynd.xlsx", "A 39797-2026")</f>
        <v/>
      </c>
      <c r="X99">
        <f>HYPERLINK("https://klasma.github.io/Logging_1784/kartor/A 39797-2026 karta.png", "A 39797-2026")</f>
        <v/>
      </c>
      <c r="Y99">
        <f>HYPERLINK("https://klasma.github.io/Logging_1784/kartor_geotiff/A 39797-2026 georefererad karta.tif", "A 39797-2026")</f>
        <v/>
      </c>
      <c r="AA99">
        <f>HYPERLINK("https://klasma.github.io/Logging_1784/klagomål/A 39797-2026 FSC-klagomål.docx", "A 39797-2026")</f>
        <v/>
      </c>
      <c r="AB99">
        <f>HYPERLINK("https://klasma.github.io/Logging_1784/klagomålsmail/A 39797-2026 FSC-klagomål mail.docx", "A 39797-2026")</f>
        <v/>
      </c>
      <c r="AC99">
        <f>HYPERLINK("https://klasma.github.io/Logging_1784/tillsyn/A 39797-2026 tillsynsbegäran.docx", "A 39797-2026")</f>
        <v/>
      </c>
      <c r="AD99">
        <f>HYPERLINK("https://klasma.github.io/Logging_1784/tillsynsmail/A 39797-2026 tillsynsbegäran mail.docx", "A 39797-2026")</f>
        <v/>
      </c>
    </row>
    <row r="100" ht="15" customHeight="1">
      <c r="A100" t="inlineStr">
        <is>
          <t>A 36479-2024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46299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36479-2024 artfynd.xlsx", "A 36479-2024")</f>
        <v/>
      </c>
      <c r="X100">
        <f>HYPERLINK("https://klasma.github.io/Logging_1784/kartor/A 36479-2024 karta.png", "A 36479-2024")</f>
        <v/>
      </c>
      <c r="Y100">
        <f>HYPERLINK("https://klasma.github.io/Logging_1784/kartor_geotiff/A 36479-2024 georefererad karta.tif", "A 36479-2024")</f>
        <v/>
      </c>
      <c r="AA100">
        <f>HYPERLINK("https://klasma.github.io/Logging_1784/klagomål/A 36479-2024 FSC-klagomål.docx", "A 36479-2024")</f>
        <v/>
      </c>
      <c r="AB100">
        <f>HYPERLINK("https://klasma.github.io/Logging_1784/klagomålsmail/A 36479-2024 FSC-klagomål mail.docx", "A 36479-2024")</f>
        <v/>
      </c>
      <c r="AC100">
        <f>HYPERLINK("https://klasma.github.io/Logging_1784/tillsyn/A 36479-2024 tillsynsbegäran.docx", "A 36479-2024")</f>
        <v/>
      </c>
      <c r="AD100">
        <f>HYPERLINK("https://klasma.github.io/Logging_1784/tillsynsmail/A 36479-2024 tillsynsbegäran mail.docx", "A 36479-2024")</f>
        <v/>
      </c>
    </row>
    <row r="101" ht="15" customHeight="1">
      <c r="A101" t="inlineStr">
        <is>
          <t>A 40307-2026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46294</v>
      </c>
      <c r="E101" s="1" t="n">
        <v>46299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Dysterfibbla</t>
        </is>
      </c>
      <c r="W101">
        <f>HYPERLINK("https://klasma.github.io/Logging_1784/artfynd/A 40307-2026 artfynd.xlsx", "A 40307-2026")</f>
        <v/>
      </c>
      <c r="X101">
        <f>HYPERLINK("https://klasma.github.io/Logging_1784/kartor/A 40307-2026 karta.png", "A 40307-2026")</f>
        <v/>
      </c>
      <c r="Y101">
        <f>HYPERLINK("https://klasma.github.io/Logging_1784/kartor_geotiff/A 40307-2026 georefererad karta.tif", "A 40307-2026")</f>
        <v/>
      </c>
      <c r="AA101">
        <f>HYPERLINK("https://klasma.github.io/Logging_1784/klagomål/A 40307-2026 FSC-klagomål.docx", "A 40307-2026")</f>
        <v/>
      </c>
      <c r="AB101">
        <f>HYPERLINK("https://klasma.github.io/Logging_1784/klagomålsmail/A 40307-2026 FSC-klagomål mail.docx", "A 40307-2026")</f>
        <v/>
      </c>
      <c r="AC101">
        <f>HYPERLINK("https://klasma.github.io/Logging_1784/tillsyn/A 40307-2026 tillsynsbegäran.docx", "A 40307-2026")</f>
        <v/>
      </c>
      <c r="AD101">
        <f>HYPERLINK("https://klasma.github.io/Logging_1784/tillsynsmail/A 40307-2026 tillsynsbegäran mail.docx", "A 40307-2026")</f>
        <v/>
      </c>
    </row>
    <row r="102" ht="15" customHeight="1">
      <c r="A102" t="inlineStr">
        <is>
          <t>A 40325-2026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46299</v>
      </c>
      <c r="F102" t="inlineStr">
        <is>
          <t>VÄRMLANDS LÄN</t>
        </is>
      </c>
      <c r="G102" t="inlineStr">
        <is>
          <t>ARVIKA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40325-2026 artfynd.xlsx", "A 40325-2026")</f>
        <v/>
      </c>
      <c r="X102">
        <f>HYPERLINK("https://klasma.github.io/Logging_1784/kartor/A 40325-2026 karta.png", "A 40325-2026")</f>
        <v/>
      </c>
      <c r="Y102">
        <f>HYPERLINK("https://klasma.github.io/Logging_1784/kartor_geotiff/A 40325-2026 georefererad karta.tif", "A 40325-2026")</f>
        <v/>
      </c>
      <c r="Z102">
        <f>HYPERLINK("https://klasma.github.io/Logging_1784/knärot/A 40325-2026 karta knärot.png", "A 40325-2026")</f>
        <v/>
      </c>
      <c r="AA102">
        <f>HYPERLINK("https://klasma.github.io/Logging_1784/klagomål/A 40325-2026 FSC-klagomål.docx", "A 40325-2026")</f>
        <v/>
      </c>
      <c r="AB102">
        <f>HYPERLINK("https://klasma.github.io/Logging_1784/klagomålsmail/A 40325-2026 FSC-klagomål mail.docx", "A 40325-2026")</f>
        <v/>
      </c>
      <c r="AC102">
        <f>HYPERLINK("https://klasma.github.io/Logging_1784/tillsyn/A 40325-2026 tillsynsbegäran.docx", "A 40325-2026")</f>
        <v/>
      </c>
      <c r="AD102">
        <f>HYPERLINK("https://klasma.github.io/Logging_1784/tillsynsmail/A 40325-2026 tillsynsbegäran mail.docx", "A 40325-2026")</f>
        <v/>
      </c>
    </row>
    <row r="103" ht="15" customHeight="1">
      <c r="A103" t="inlineStr">
        <is>
          <t>A 38987-2022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46299</v>
      </c>
      <c r="F103" t="inlineStr">
        <is>
          <t>VÄRMLANDS LÄN</t>
        </is>
      </c>
      <c r="G103" t="inlineStr">
        <is>
          <t>ARVIKA</t>
        </is>
      </c>
      <c r="I103" t="n">
        <v>1.7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Guldlockmossa</t>
        </is>
      </c>
      <c r="W103">
        <f>HYPERLINK("https://klasma.github.io/Logging_1784/artfynd/A 38987-2022 artfynd.xlsx", "A 38987-2022")</f>
        <v/>
      </c>
      <c r="X103">
        <f>HYPERLINK("https://klasma.github.io/Logging_1784/kartor/A 38987-2022 karta.png", "A 38987-2022")</f>
        <v/>
      </c>
      <c r="Y103">
        <f>HYPERLINK("https://klasma.github.io/Logging_1784/kartor_geotiff/A 38987-2022 georefererad karta.tif", "A 38987-2022")</f>
        <v/>
      </c>
      <c r="AA103">
        <f>HYPERLINK("https://klasma.github.io/Logging_1784/klagomål/A 38987-2022 FSC-klagomål.docx", "A 38987-2022")</f>
        <v/>
      </c>
      <c r="AB103">
        <f>HYPERLINK("https://klasma.github.io/Logging_1784/klagomålsmail/A 38987-2022 FSC-klagomål mail.docx", "A 38987-2022")</f>
        <v/>
      </c>
      <c r="AC103">
        <f>HYPERLINK("https://klasma.github.io/Logging_1784/tillsyn/A 38987-2022 tillsynsbegäran.docx", "A 38987-2022")</f>
        <v/>
      </c>
      <c r="AD103">
        <f>HYPERLINK("https://klasma.github.io/Logging_1784/tillsynsmail/A 38987-2022 tillsynsbegäran mail.docx", "A 38987-2022")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46299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Mindre hackspett</t>
        </is>
      </c>
      <c r="W104">
        <f>HYPERLINK("https://klasma.github.io/Logging_1784/artfynd/A 35528-2023 artfynd.xlsx", "A 35528-2023")</f>
        <v/>
      </c>
      <c r="X104">
        <f>HYPERLINK("https://klasma.github.io/Logging_1784/kartor/A 35528-2023 karta.png", "A 35528-2023")</f>
        <v/>
      </c>
      <c r="Y104">
        <f>HYPERLINK("https://klasma.github.io/Logging_1784/kartor_geotiff/A 35528-2023 georefererad karta.tif", "A 35528-2023")</f>
        <v/>
      </c>
      <c r="AA104">
        <f>HYPERLINK("https://klasma.github.io/Logging_1784/klagomål/A 35528-2023 FSC-klagomål.docx", "A 35528-2023")</f>
        <v/>
      </c>
      <c r="AB104">
        <f>HYPERLINK("https://klasma.github.io/Logging_1784/klagomålsmail/A 35528-2023 FSC-klagomål mail.docx", "A 35528-2023")</f>
        <v/>
      </c>
      <c r="AC104">
        <f>HYPERLINK("https://klasma.github.io/Logging_1784/tillsyn/A 35528-2023 tillsynsbegäran.docx", "A 35528-2023")</f>
        <v/>
      </c>
      <c r="AD104">
        <f>HYPERLINK("https://klasma.github.io/Logging_1784/tillsynsmail/A 35528-2023 tillsynsbegäran mail.docx", "A 35528-2023")</f>
        <v/>
      </c>
      <c r="AE104">
        <f>HYPERLINK("https://klasma.github.io/Logging_1784/fåglar/A 35528-2023 prioriterade fågelarter.docx", "A 35528-2023")</f>
        <v/>
      </c>
    </row>
    <row r="105" ht="15" customHeight="1">
      <c r="A105" t="inlineStr">
        <is>
          <t>A 5965-2024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46299</v>
      </c>
      <c r="F105" t="inlineStr">
        <is>
          <t>VÄRMLANDS LÄN</t>
        </is>
      </c>
      <c r="G105" t="inlineStr">
        <is>
          <t>ARVIKA</t>
        </is>
      </c>
      <c r="I105" t="n">
        <v>4.2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t="n">
        <v>4</v>
      </c>
      <c r="V105" s="2" t="inlineStr">
        <is>
          <t>Revlummer</t>
        </is>
      </c>
      <c r="W105">
        <f>HYPERLINK("https://klasma.github.io/Logging_1784/artfynd/A 5965-2024 artfynd.xlsx", "A 5965-2024")</f>
        <v/>
      </c>
      <c r="X105">
        <f>HYPERLINK("https://klasma.github.io/Logging_1784/kartor/A 5965-2024 karta.png", "A 5965-2024")</f>
        <v/>
      </c>
      <c r="Y105">
        <f>HYPERLINK("https://klasma.github.io/Logging_1784/kartor_geotiff/A 5965-2024 georefererad karta.tif", "A 5965-2024")</f>
        <v/>
      </c>
      <c r="AA105">
        <f>HYPERLINK("https://klasma.github.io/Logging_1784/klagomål/A 5965-2024 FSC-klagomål.docx", "A 5965-2024")</f>
        <v/>
      </c>
      <c r="AB105">
        <f>HYPERLINK("https://klasma.github.io/Logging_1784/klagomålsmail/A 5965-2024 FSC-klagomål mail.docx", "A 5965-2024")</f>
        <v/>
      </c>
      <c r="AC105">
        <f>HYPERLINK("https://klasma.github.io/Logging_1784/tillsyn/A 5965-2024 tillsynsbegäran.docx", "A 5965-2024")</f>
        <v/>
      </c>
      <c r="AD105">
        <f>HYPERLINK("https://klasma.github.io/Logging_1784/tillsynsmail/A 5965-2024 tillsynsbegäran mail.docx", "A 5965-2024")</f>
        <v/>
      </c>
    </row>
    <row r="106" ht="15" customHeight="1">
      <c r="A106" t="inlineStr">
        <is>
          <t>A 37561-2024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46299</v>
      </c>
      <c r="F106" t="inlineStr">
        <is>
          <t>VÄRMLANDS LÄN</t>
        </is>
      </c>
      <c r="G106" t="inlineStr">
        <is>
          <t>ARVIKA</t>
        </is>
      </c>
      <c r="I106" t="n">
        <v>8.699999999999999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Sparvuggla</t>
        </is>
      </c>
      <c r="W106">
        <f>HYPERLINK("https://klasma.github.io/Logging_1784/artfynd/A 37561-2024 artfynd.xlsx", "A 37561-2024")</f>
        <v/>
      </c>
      <c r="X106">
        <f>HYPERLINK("https://klasma.github.io/Logging_1784/kartor/A 37561-2024 karta.png", "A 37561-2024")</f>
        <v/>
      </c>
      <c r="Y106">
        <f>HYPERLINK("https://klasma.github.io/Logging_1784/kartor_geotiff/A 37561-2024 georefererad karta.tif", "A 37561-2024")</f>
        <v/>
      </c>
      <c r="AA106">
        <f>HYPERLINK("https://klasma.github.io/Logging_1784/klagomål/A 37561-2024 FSC-klagomål.docx", "A 37561-2024")</f>
        <v/>
      </c>
      <c r="AB106">
        <f>HYPERLINK("https://klasma.github.io/Logging_1784/klagomålsmail/A 37561-2024 FSC-klagomål mail.docx", "A 37561-2024")</f>
        <v/>
      </c>
      <c r="AC106">
        <f>HYPERLINK("https://klasma.github.io/Logging_1784/tillsyn/A 37561-2024 tillsynsbegäran.docx", "A 37561-2024")</f>
        <v/>
      </c>
      <c r="AD106">
        <f>HYPERLINK("https://klasma.github.io/Logging_1784/tillsynsmail/A 37561-2024 tillsynsbegäran mail.docx", "A 37561-2024")</f>
        <v/>
      </c>
      <c r="AE106">
        <f>HYPERLINK("https://klasma.github.io/Logging_1784/fåglar/A 37561-2024 prioriterade fågelarter.docx", "A 37561-2024")</f>
        <v/>
      </c>
    </row>
    <row r="107" ht="15" customHeight="1">
      <c r="A107" t="inlineStr">
        <is>
          <t>A 19137-2022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44691</v>
      </c>
      <c r="E107" s="1" t="n">
        <v>46299</v>
      </c>
      <c r="F107" t="inlineStr">
        <is>
          <t>VÄRMLANDS LÄN</t>
        </is>
      </c>
      <c r="G107" t="inlineStr">
        <is>
          <t>ARVIKA</t>
        </is>
      </c>
      <c r="I107" t="n">
        <v>9.5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19137-2022 artfynd.xlsx", "A 19137-2022")</f>
        <v/>
      </c>
      <c r="X107">
        <f>HYPERLINK("https://klasma.github.io/Logging_1784/kartor/A 19137-2022 karta.png", "A 19137-2022")</f>
        <v/>
      </c>
      <c r="Y107">
        <f>HYPERLINK("https://klasma.github.io/Logging_1784/kartor_geotiff/A 19137-2022 georefererad karta.tif", "A 19137-2022")</f>
        <v/>
      </c>
      <c r="AA107">
        <f>HYPERLINK("https://klasma.github.io/Logging_1784/klagomål/A 19137-2022 FSC-klagomål.docx", "A 19137-2022")</f>
        <v/>
      </c>
      <c r="AB107">
        <f>HYPERLINK("https://klasma.github.io/Logging_1784/klagomålsmail/A 19137-2022 FSC-klagomål mail.docx", "A 19137-2022")</f>
        <v/>
      </c>
      <c r="AC107">
        <f>HYPERLINK("https://klasma.github.io/Logging_1784/tillsyn/A 19137-2022 tillsynsbegäran.docx", "A 19137-2022")</f>
        <v/>
      </c>
      <c r="AD107">
        <f>HYPERLINK("https://klasma.github.io/Logging_1784/tillsynsmail/A 19137-2022 tillsynsbegäran mail.docx", "A 19137-2022")</f>
        <v/>
      </c>
    </row>
    <row r="108" ht="15" customHeight="1">
      <c r="A108" t="inlineStr">
        <is>
          <t>A 59787-2023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46299</v>
      </c>
      <c r="F108" t="inlineStr">
        <is>
          <t>VÄRMLANDS LÄN</t>
        </is>
      </c>
      <c r="G108" t="inlineStr">
        <is>
          <t>ARVIKA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HYPERLINK("https://klasma.github.io/Logging_1784/artfynd/A 59787-2023 artfynd.xlsx", "A 59787-2023")</f>
        <v/>
      </c>
      <c r="X108">
        <f>HYPERLINK("https://klasma.github.io/Logging_1784/kartor/A 59787-2023 karta.png", "A 59787-2023")</f>
        <v/>
      </c>
      <c r="Y108">
        <f>HYPERLINK("https://klasma.github.io/Logging_1784/kartor_geotiff/A 59787-2023 georefererad karta.tif", "A 59787-2023")</f>
        <v/>
      </c>
      <c r="AA108">
        <f>HYPERLINK("https://klasma.github.io/Logging_1784/klagomål/A 59787-2023 FSC-klagomål.docx", "A 59787-2023")</f>
        <v/>
      </c>
      <c r="AB108">
        <f>HYPERLINK("https://klasma.github.io/Logging_1784/klagomålsmail/A 59787-2023 FSC-klagomål mail.docx", "A 59787-2023")</f>
        <v/>
      </c>
      <c r="AC108">
        <f>HYPERLINK("https://klasma.github.io/Logging_1784/tillsyn/A 59787-2023 tillsynsbegäran.docx", "A 59787-2023")</f>
        <v/>
      </c>
      <c r="AD108">
        <f>HYPERLINK("https://klasma.github.io/Logging_1784/tillsynsmail/A 59787-2023 tillsynsbegäran mail.docx", "A 59787-2023")</f>
        <v/>
      </c>
      <c r="AE108">
        <f>HYPERLINK("https://klasma.github.io/Logging_1784/fåglar/A 59787-2023 prioriterade fågelarter.docx", "A 59787-2023")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46299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46299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46299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46299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46299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46299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46299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46299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46299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46299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46299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46299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46299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46299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46299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46299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46299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46299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46299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46299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46299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46299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46299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46299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46299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46299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46299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46299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46299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46299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46299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46299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46299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46299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46299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46299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46299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46299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46299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46299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46299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46299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46299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46299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46299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46299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46299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46299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46299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46299</v>
      </c>
      <c r="F158" t="inlineStr">
        <is>
          <t>VÄRMLANDS LÄN</t>
        </is>
      </c>
      <c r="G158" t="inlineStr">
        <is>
          <t>ARVIKA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46299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46299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44669</v>
      </c>
      <c r="E161" s="1" t="n">
        <v>46299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46299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46299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46299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46299</v>
      </c>
      <c r="F165" t="inlineStr">
        <is>
          <t>VÄRMLANDS LÄN</t>
        </is>
      </c>
      <c r="G165" t="inlineStr">
        <is>
          <t>ARVIKA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46299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46299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46299</v>
      </c>
      <c r="F168" t="inlineStr">
        <is>
          <t>VÄRMLANDS LÄN</t>
        </is>
      </c>
      <c r="G168" t="inlineStr">
        <is>
          <t>ARVIKA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46299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46299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46299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46299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46299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46299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46299</v>
      </c>
      <c r="F175" t="inlineStr">
        <is>
          <t>VÄRMLANDS LÄN</t>
        </is>
      </c>
      <c r="G175" t="inlineStr">
        <is>
          <t>ARVIKA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46299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46299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46299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46299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46299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46299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46299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46299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46299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46299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46299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46299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46299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45419</v>
      </c>
      <c r="E189" s="1" t="n">
        <v>46299</v>
      </c>
      <c r="F189" t="inlineStr">
        <is>
          <t>VÄRMLANDS LÄN</t>
        </is>
      </c>
      <c r="G189" t="inlineStr">
        <is>
          <t>ARVIKA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46299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46299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46299</v>
      </c>
      <c r="F192" t="inlineStr">
        <is>
          <t>VÄRMLANDS LÄN</t>
        </is>
      </c>
      <c r="G192" t="inlineStr">
        <is>
          <t>ARVIKA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53892-2022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44880</v>
      </c>
      <c r="E193" s="1" t="n">
        <v>46299</v>
      </c>
      <c r="F193" t="inlineStr">
        <is>
          <t>VÄRMLANDS LÄN</t>
        </is>
      </c>
      <c r="G193" t="inlineStr">
        <is>
          <t>ARVIKA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44572</v>
      </c>
      <c r="E194" s="1" t="n">
        <v>46299</v>
      </c>
      <c r="F194" t="inlineStr">
        <is>
          <t>VÄRMLANDS LÄN</t>
        </is>
      </c>
      <c r="G194" t="inlineStr">
        <is>
          <t>ARVIKA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45131</v>
      </c>
      <c r="E195" s="1" t="n">
        <v>46299</v>
      </c>
      <c r="F195" t="inlineStr">
        <is>
          <t>VÄRMLANDS LÄN</t>
        </is>
      </c>
      <c r="G195" t="inlineStr">
        <is>
          <t>ARVIKA</t>
        </is>
      </c>
      <c r="H195" t="inlineStr">
        <is>
          <t>Övriga Aktiebolag</t>
        </is>
      </c>
      <c r="I195" t="n">
        <v>22.7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46299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46299</v>
      </c>
      <c r="F197" t="inlineStr">
        <is>
          <t>VÄRMLANDS LÄN</t>
        </is>
      </c>
      <c r="G197" t="inlineStr">
        <is>
          <t>ARVIKA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46299</v>
      </c>
      <c r="F198" t="inlineStr">
        <is>
          <t>VÄRMLANDS LÄN</t>
        </is>
      </c>
      <c r="G198" t="inlineStr">
        <is>
          <t>ARVIKA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46299</v>
      </c>
      <c r="F199" t="inlineStr">
        <is>
          <t>VÄRMLANDS LÄN</t>
        </is>
      </c>
      <c r="G199" t="inlineStr">
        <is>
          <t>ARVIKA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59886-2021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44493</v>
      </c>
      <c r="E200" s="1" t="n">
        <v>46299</v>
      </c>
      <c r="F200" t="inlineStr">
        <is>
          <t>VÄRMLANDS LÄN</t>
        </is>
      </c>
      <c r="G200" t="inlineStr">
        <is>
          <t>ARVIKA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46299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46299</v>
      </c>
      <c r="F202" t="inlineStr">
        <is>
          <t>VÄRMLANDS LÄN</t>
        </is>
      </c>
      <c r="G202" t="inlineStr">
        <is>
          <t>ARVIKA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46299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44964</v>
      </c>
      <c r="E204" s="1" t="n">
        <v>46299</v>
      </c>
      <c r="F204" t="inlineStr">
        <is>
          <t>VÄRMLANDS LÄN</t>
        </is>
      </c>
      <c r="G204" t="inlineStr">
        <is>
          <t>ARVIKA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46299</v>
      </c>
      <c r="F205" t="inlineStr">
        <is>
          <t>VÄRMLANDS LÄN</t>
        </is>
      </c>
      <c r="G205" t="inlineStr">
        <is>
          <t>ARVIKA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46299</v>
      </c>
      <c r="F206" t="inlineStr">
        <is>
          <t>VÄRMLANDS LÄN</t>
        </is>
      </c>
      <c r="G206" t="inlineStr">
        <is>
          <t>ARVIKA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46299</v>
      </c>
      <c r="F207" t="inlineStr">
        <is>
          <t>VÄRMLANDS LÄN</t>
        </is>
      </c>
      <c r="G207" t="inlineStr">
        <is>
          <t>ARVIKA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46299</v>
      </c>
      <c r="F208" t="inlineStr">
        <is>
          <t>VÄRMLANDS LÄN</t>
        </is>
      </c>
      <c r="G208" t="inlineStr">
        <is>
          <t>ARVIKA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46299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46299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44941</v>
      </c>
      <c r="E211" s="1" t="n">
        <v>46299</v>
      </c>
      <c r="F211" t="inlineStr">
        <is>
          <t>VÄRMLANDS LÄN</t>
        </is>
      </c>
      <c r="G211" t="inlineStr">
        <is>
          <t>ARVIKA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46299</v>
      </c>
      <c r="F212" t="inlineStr">
        <is>
          <t>VÄRMLANDS LÄN</t>
        </is>
      </c>
      <c r="G212" t="inlineStr">
        <is>
          <t>ARVIKA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46299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46299</v>
      </c>
      <c r="F214" t="inlineStr">
        <is>
          <t>VÄRMLANDS LÄN</t>
        </is>
      </c>
      <c r="G214" t="inlineStr">
        <is>
          <t>ARVIKA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46299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46299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46299</v>
      </c>
      <c r="F217" t="inlineStr">
        <is>
          <t>VÄRMLANDS LÄN</t>
        </is>
      </c>
      <c r="G217" t="inlineStr">
        <is>
          <t>ARVIKA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46299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46299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46299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45265</v>
      </c>
      <c r="E221" s="1" t="n">
        <v>46299</v>
      </c>
      <c r="F221" t="inlineStr">
        <is>
          <t>VÄRMLANDS LÄN</t>
        </is>
      </c>
      <c r="G221" t="inlineStr">
        <is>
          <t>ARVIKA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46299</v>
      </c>
      <c r="F222" t="inlineStr">
        <is>
          <t>VÄRMLANDS LÄN</t>
        </is>
      </c>
      <c r="G222" t="inlineStr">
        <is>
          <t>ARVIKA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69340-2021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46299</v>
      </c>
      <c r="F223" t="inlineStr">
        <is>
          <t>VÄRMLANDS LÄN</t>
        </is>
      </c>
      <c r="G223" t="inlineStr">
        <is>
          <t>ARVIKA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44978</v>
      </c>
      <c r="E224" s="1" t="n">
        <v>46299</v>
      </c>
      <c r="F224" t="inlineStr">
        <is>
          <t>VÄRMLANDS LÄN</t>
        </is>
      </c>
      <c r="G224" t="inlineStr">
        <is>
          <t>ARVIKA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46299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46299</v>
      </c>
      <c r="F226" t="inlineStr">
        <is>
          <t>VÄRMLANDS LÄN</t>
        </is>
      </c>
      <c r="G226" t="inlineStr">
        <is>
          <t>ARVIKA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12689-2024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46299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46299</v>
      </c>
      <c r="F228" t="inlineStr">
        <is>
          <t>VÄRMLANDS LÄN</t>
        </is>
      </c>
      <c r="G228" t="inlineStr">
        <is>
          <t>ARVIKA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46299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46299</v>
      </c>
      <c r="F230" t="inlineStr">
        <is>
          <t>VÄRMLANDS LÄN</t>
        </is>
      </c>
      <c r="G230" t="inlineStr">
        <is>
          <t>ARVIKA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  <c r="Z230">
        <f>HYPERLINK("https://klasma.github.io/Logging_1784/knärot/A 6241-2025 karta knärot.png", "A 6241-2025")</f>
        <v/>
      </c>
      <c r="AA230">
        <f>HYPERLINK("https://klasma.github.io/Logging_1784/klagomål/A 6241-2025 FSC-klagomål.docx", "A 6241-2025")</f>
        <v/>
      </c>
      <c r="AB230">
        <f>HYPERLINK("https://klasma.github.io/Logging_1784/klagomålsmail/A 6241-2025 FSC-klagomål mail.docx", "A 6241-2025")</f>
        <v/>
      </c>
      <c r="AC230">
        <f>HYPERLINK("https://klasma.github.io/Logging_1784/tillsyn/A 6241-2025 tillsynsbegäran.docx", "A 6241-2025")</f>
        <v/>
      </c>
      <c r="AD230">
        <f>HYPERLINK("https://klasma.github.io/Logging_1784/tillsynsmail/A 6241-2025 tillsynsbegäran mail.docx", "A 6241-2025")</f>
        <v/>
      </c>
    </row>
    <row r="231" ht="15" customHeight="1">
      <c r="A231" t="inlineStr">
        <is>
          <t>A 22589-2025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45789</v>
      </c>
      <c r="E231" s="1" t="n">
        <v>46299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45198</v>
      </c>
      <c r="E232" s="1" t="n">
        <v>46299</v>
      </c>
      <c r="F232" t="inlineStr">
        <is>
          <t>VÄRMLANDS LÄN</t>
        </is>
      </c>
      <c r="G232" t="inlineStr">
        <is>
          <t>ARVIKA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27170-2024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45471</v>
      </c>
      <c r="E233" s="1" t="n">
        <v>46299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46299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46299</v>
      </c>
      <c r="F235" t="inlineStr">
        <is>
          <t>VÄRMLANDS LÄN</t>
        </is>
      </c>
      <c r="G235" t="inlineStr">
        <is>
          <t>ARVIKA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46299</v>
      </c>
      <c r="F236" t="inlineStr">
        <is>
          <t>VÄRMLANDS LÄN</t>
        </is>
      </c>
      <c r="G236" t="inlineStr">
        <is>
          <t>ARVIKA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45000</v>
      </c>
      <c r="E237" s="1" t="n">
        <v>46299</v>
      </c>
      <c r="F237" t="inlineStr">
        <is>
          <t>VÄRMLANDS LÄN</t>
        </is>
      </c>
      <c r="G237" t="inlineStr">
        <is>
          <t>ARVIKA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45439</v>
      </c>
      <c r="E238" s="1" t="n">
        <v>46299</v>
      </c>
      <c r="F238" t="inlineStr">
        <is>
          <t>VÄRMLANDS LÄN</t>
        </is>
      </c>
      <c r="G238" t="inlineStr">
        <is>
          <t>ARVIKA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46299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45869</v>
      </c>
      <c r="E240" s="1" t="n">
        <v>46299</v>
      </c>
      <c r="F240" t="inlineStr">
        <is>
          <t>VÄRMLANDS LÄN</t>
        </is>
      </c>
      <c r="G240" t="inlineStr">
        <is>
          <t>ARVIKA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46299</v>
      </c>
      <c r="F241" t="inlineStr">
        <is>
          <t>VÄRMLANDS LÄN</t>
        </is>
      </c>
      <c r="G241" t="inlineStr">
        <is>
          <t>ARVIKA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46299</v>
      </c>
      <c r="F242" t="inlineStr">
        <is>
          <t>VÄRMLANDS LÄN</t>
        </is>
      </c>
      <c r="G242" t="inlineStr">
        <is>
          <t>ARVIKA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46299</v>
      </c>
      <c r="F243" t="inlineStr">
        <is>
          <t>VÄRMLANDS LÄN</t>
        </is>
      </c>
      <c r="G243" t="inlineStr">
        <is>
          <t>ARVIKA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46299</v>
      </c>
      <c r="F244" t="inlineStr">
        <is>
          <t>VÄRMLANDS LÄN</t>
        </is>
      </c>
      <c r="G244" t="inlineStr">
        <is>
          <t>ARVIKA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46299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46299</v>
      </c>
      <c r="F246" t="inlineStr">
        <is>
          <t>VÄRMLANDS LÄN</t>
        </is>
      </c>
      <c r="G246" t="inlineStr">
        <is>
          <t>ARVIKA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46299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46299</v>
      </c>
      <c r="F248" t="inlineStr">
        <is>
          <t>VÄRMLANDS LÄN</t>
        </is>
      </c>
      <c r="G248" t="inlineStr">
        <is>
          <t>ARVIKA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46299</v>
      </c>
      <c r="F249" t="inlineStr">
        <is>
          <t>VÄRMLANDS LÄN</t>
        </is>
      </c>
      <c r="G249" t="inlineStr">
        <is>
          <t>ARVIKA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46299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46299</v>
      </c>
      <c r="F251" t="inlineStr">
        <is>
          <t>VÄRMLANDS LÄN</t>
        </is>
      </c>
      <c r="G251" t="inlineStr">
        <is>
          <t>ARVIKA</t>
        </is>
      </c>
      <c r="I251" t="n">
        <v>8.800000000000001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46299</v>
      </c>
      <c r="F252" t="inlineStr">
        <is>
          <t>VÄRMLANDS LÄN</t>
        </is>
      </c>
      <c r="G252" t="inlineStr">
        <is>
          <t>ARVIKA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46299</v>
      </c>
      <c r="F253" t="inlineStr">
        <is>
          <t>VÄRMLANDS LÄN</t>
        </is>
      </c>
      <c r="G253" t="inlineStr">
        <is>
          <t>ARVIKA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46299</v>
      </c>
      <c r="F254" t="inlineStr">
        <is>
          <t>VÄRMLANDS LÄN</t>
        </is>
      </c>
      <c r="G254" t="inlineStr">
        <is>
          <t>ARVIKA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63124-2025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46299</v>
      </c>
      <c r="F255" t="inlineStr">
        <is>
          <t>VÄRMLANDS LÄN</t>
        </is>
      </c>
      <c r="G255" t="inlineStr">
        <is>
          <t>ARVIKA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45794</v>
      </c>
      <c r="E256" s="1" t="n">
        <v>46299</v>
      </c>
      <c r="F256" t="inlineStr">
        <is>
          <t>VÄRMLANDS LÄN</t>
        </is>
      </c>
      <c r="G256" t="inlineStr">
        <is>
          <t>ARVIKA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46299</v>
      </c>
      <c r="F257" t="inlineStr">
        <is>
          <t>VÄRMLANDS LÄN</t>
        </is>
      </c>
      <c r="G257" t="inlineStr">
        <is>
          <t>ARVIKA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46299</v>
      </c>
      <c r="F258" t="inlineStr">
        <is>
          <t>VÄRMLANDS LÄN</t>
        </is>
      </c>
      <c r="G258" t="inlineStr">
        <is>
          <t>ARVIKA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46299</v>
      </c>
      <c r="F259" t="inlineStr">
        <is>
          <t>VÄRMLANDS LÄN</t>
        </is>
      </c>
      <c r="G259" t="inlineStr">
        <is>
          <t>ARVIKA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45483</v>
      </c>
      <c r="E260" s="1" t="n">
        <v>46299</v>
      </c>
      <c r="F260" t="inlineStr">
        <is>
          <t>VÄRMLANDS LÄN</t>
        </is>
      </c>
      <c r="G260" t="inlineStr">
        <is>
          <t>ARVIKA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46299</v>
      </c>
      <c r="F261" t="inlineStr">
        <is>
          <t>VÄRMLANDS LÄN</t>
        </is>
      </c>
      <c r="G261" t="inlineStr">
        <is>
          <t>ARVIKA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46299</v>
      </c>
      <c r="F262" t="inlineStr">
        <is>
          <t>VÄRMLANDS LÄN</t>
        </is>
      </c>
      <c r="G262" t="inlineStr">
        <is>
          <t>ARVIKA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45405</v>
      </c>
      <c r="E263" s="1" t="n">
        <v>46299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46299</v>
      </c>
      <c r="F264" t="inlineStr">
        <is>
          <t>VÄRMLANDS LÄN</t>
        </is>
      </c>
      <c r="G264" t="inlineStr">
        <is>
          <t>ARVIKA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45692</v>
      </c>
      <c r="E265" s="1" t="n">
        <v>46299</v>
      </c>
      <c r="F265" t="inlineStr">
        <is>
          <t>VÄRMLANDS LÄN</t>
        </is>
      </c>
      <c r="G265" t="inlineStr">
        <is>
          <t>ARVIKA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46299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46299</v>
      </c>
      <c r="F267" t="inlineStr">
        <is>
          <t>VÄRMLANDS LÄN</t>
        </is>
      </c>
      <c r="G267" t="inlineStr">
        <is>
          <t>ARVIKA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46299</v>
      </c>
      <c r="F268" t="inlineStr">
        <is>
          <t>VÄRMLANDS LÄN</t>
        </is>
      </c>
      <c r="G268" t="inlineStr">
        <is>
          <t>ARVIKA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46299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18.1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46299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46299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46299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46299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45890</v>
      </c>
      <c r="E274" s="1" t="n">
        <v>46299</v>
      </c>
      <c r="F274" t="inlineStr">
        <is>
          <t>VÄRMLANDS LÄN</t>
        </is>
      </c>
      <c r="G274" t="inlineStr">
        <is>
          <t>ARVIKA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46299</v>
      </c>
      <c r="F275" t="inlineStr">
        <is>
          <t>VÄRMLANDS LÄN</t>
        </is>
      </c>
      <c r="G275" t="inlineStr">
        <is>
          <t>ARVIKA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46299</v>
      </c>
      <c r="F276" t="inlineStr">
        <is>
          <t>VÄRMLANDS LÄN</t>
        </is>
      </c>
      <c r="G276" t="inlineStr">
        <is>
          <t>ARVIKA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46299</v>
      </c>
      <c r="F277" t="inlineStr">
        <is>
          <t>VÄRMLANDS LÄN</t>
        </is>
      </c>
      <c r="G277" t="inlineStr">
        <is>
          <t>ARVIKA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62603-2022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46299</v>
      </c>
      <c r="F278" t="inlineStr">
        <is>
          <t>VÄRMLANDS LÄN</t>
        </is>
      </c>
      <c r="G278" t="inlineStr">
        <is>
          <t>ARVIKA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46299</v>
      </c>
      <c r="F279" t="inlineStr">
        <is>
          <t>VÄRMLANDS LÄN</t>
        </is>
      </c>
      <c r="G279" t="inlineStr">
        <is>
          <t>ARVIKA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46299</v>
      </c>
      <c r="F280" t="inlineStr">
        <is>
          <t>VÄRMLANDS LÄN</t>
        </is>
      </c>
      <c r="G280" t="inlineStr">
        <is>
          <t>ARVIKA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46299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46299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46299</v>
      </c>
      <c r="F283" t="inlineStr">
        <is>
          <t>VÄRMLANDS LÄN</t>
        </is>
      </c>
      <c r="G283" t="inlineStr">
        <is>
          <t>ARVIKA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46299</v>
      </c>
      <c r="F284" t="inlineStr">
        <is>
          <t>VÄRMLANDS LÄN</t>
        </is>
      </c>
      <c r="G284" t="inlineStr">
        <is>
          <t>ARVIKA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58143-2022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46299</v>
      </c>
      <c r="F285" t="inlineStr">
        <is>
          <t>VÄRMLANDS LÄN</t>
        </is>
      </c>
      <c r="G285" t="inlineStr">
        <is>
          <t>ARVIKA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45663</v>
      </c>
      <c r="E286" s="1" t="n">
        <v>46299</v>
      </c>
      <c r="F286" t="inlineStr">
        <is>
          <t>VÄRMLANDS LÄN</t>
        </is>
      </c>
      <c r="G286" t="inlineStr">
        <is>
          <t>ARVIKA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46299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45536</v>
      </c>
      <c r="E288" s="1" t="n">
        <v>46299</v>
      </c>
      <c r="F288" t="inlineStr">
        <is>
          <t>VÄRMLANDS LÄN</t>
        </is>
      </c>
      <c r="G288" t="inlineStr">
        <is>
          <t>ARVIKA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46299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46299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46299</v>
      </c>
      <c r="F291" t="inlineStr">
        <is>
          <t>VÄRMLANDS LÄN</t>
        </is>
      </c>
      <c r="G291" t="inlineStr">
        <is>
          <t>ARVIKA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17704-2023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45035</v>
      </c>
      <c r="E292" s="1" t="n">
        <v>46299</v>
      </c>
      <c r="F292" t="inlineStr">
        <is>
          <t>VÄRMLANDS LÄN</t>
        </is>
      </c>
      <c r="G292" t="inlineStr">
        <is>
          <t>ARVIKA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46299</v>
      </c>
      <c r="F293" t="inlineStr">
        <is>
          <t>VÄRMLANDS LÄN</t>
        </is>
      </c>
      <c r="G293" t="inlineStr">
        <is>
          <t>ARVIKA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46299</v>
      </c>
      <c r="F294" t="inlineStr">
        <is>
          <t>VÄRMLANDS LÄN</t>
        </is>
      </c>
      <c r="G294" t="inlineStr">
        <is>
          <t>ARVIKA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46299</v>
      </c>
      <c r="F295" t="inlineStr">
        <is>
          <t>VÄRMLANDS LÄN</t>
        </is>
      </c>
      <c r="G295" t="inlineStr">
        <is>
          <t>ARVIKA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46299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35806-2025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45861</v>
      </c>
      <c r="E297" s="1" t="n">
        <v>46299</v>
      </c>
      <c r="F297" t="inlineStr">
        <is>
          <t>VÄRMLANDS LÄN</t>
        </is>
      </c>
      <c r="G297" t="inlineStr">
        <is>
          <t>ARVIKA</t>
        </is>
      </c>
      <c r="H297" t="inlineStr">
        <is>
          <t>Övriga Aktiebolag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45072</v>
      </c>
      <c r="E298" s="1" t="n">
        <v>46299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46299</v>
      </c>
      <c r="F299" t="inlineStr">
        <is>
          <t>VÄRMLANDS LÄN</t>
        </is>
      </c>
      <c r="G299" t="inlineStr">
        <is>
          <t>ARVIKA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46299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18349-2024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45422</v>
      </c>
      <c r="E301" s="1" t="n">
        <v>46299</v>
      </c>
      <c r="F301" t="inlineStr">
        <is>
          <t>VÄRMLANDS LÄN</t>
        </is>
      </c>
      <c r="G301" t="inlineStr">
        <is>
          <t>ARVIKA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45216</v>
      </c>
      <c r="E302" s="1" t="n">
        <v>46299</v>
      </c>
      <c r="F302" t="inlineStr">
        <is>
          <t>VÄRMLANDS LÄN</t>
        </is>
      </c>
      <c r="G302" t="inlineStr">
        <is>
          <t>ARVIKA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45216</v>
      </c>
      <c r="E303" s="1" t="n">
        <v>46299</v>
      </c>
      <c r="F303" t="inlineStr">
        <is>
          <t>VÄRMLANDS LÄN</t>
        </is>
      </c>
      <c r="G303" t="inlineStr">
        <is>
          <t>ARVIKA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46299</v>
      </c>
      <c r="F304" t="inlineStr">
        <is>
          <t>VÄRMLANDS LÄN</t>
        </is>
      </c>
      <c r="G304" t="inlineStr">
        <is>
          <t>ARVIKA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46299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46299</v>
      </c>
      <c r="F306" t="inlineStr">
        <is>
          <t>VÄRMLANDS LÄN</t>
        </is>
      </c>
      <c r="G306" t="inlineStr">
        <is>
          <t>ARVIKA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65950-2021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44517</v>
      </c>
      <c r="E307" s="1" t="n">
        <v>46299</v>
      </c>
      <c r="F307" t="inlineStr">
        <is>
          <t>VÄRMLANDS LÄN</t>
        </is>
      </c>
      <c r="G307" t="inlineStr">
        <is>
          <t>ARVIKA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45116</v>
      </c>
      <c r="E308" s="1" t="n">
        <v>46299</v>
      </c>
      <c r="F308" t="inlineStr">
        <is>
          <t>VÄRMLANDS LÄN</t>
        </is>
      </c>
      <c r="G308" t="inlineStr">
        <is>
          <t>ARVIKA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45555</v>
      </c>
      <c r="E309" s="1" t="n">
        <v>46299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46299</v>
      </c>
      <c r="F310" t="inlineStr">
        <is>
          <t>VÄRMLANDS LÄN</t>
        </is>
      </c>
      <c r="G310" t="inlineStr">
        <is>
          <t>ARVIKA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771-2026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46027</v>
      </c>
      <c r="E311" s="1" t="n">
        <v>46299</v>
      </c>
      <c r="F311" t="inlineStr">
        <is>
          <t>VÄRMLANDS LÄN</t>
        </is>
      </c>
      <c r="G311" t="inlineStr">
        <is>
          <t>ARVIKA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46299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46299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46299</v>
      </c>
      <c r="F314" t="inlineStr">
        <is>
          <t>VÄRMLANDS LÄN</t>
        </is>
      </c>
      <c r="G314" t="inlineStr">
        <is>
          <t>ARVIKA</t>
        </is>
      </c>
      <c r="I314" t="n">
        <v>14.4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46299</v>
      </c>
      <c r="F315" t="inlineStr">
        <is>
          <t>VÄRMLANDS LÄN</t>
        </is>
      </c>
      <c r="G315" t="inlineStr">
        <is>
          <t>ARVIKA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46299</v>
      </c>
      <c r="F316" t="inlineStr">
        <is>
          <t>VÄRMLANDS LÄN</t>
        </is>
      </c>
      <c r="G316" t="inlineStr">
        <is>
          <t>ARVIKA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46299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46299</v>
      </c>
      <c r="F318" t="inlineStr">
        <is>
          <t>VÄRMLANDS LÄN</t>
        </is>
      </c>
      <c r="G318" t="inlineStr">
        <is>
          <t>ARVIKA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46299</v>
      </c>
      <c r="F319" t="inlineStr">
        <is>
          <t>VÄRMLANDS LÄN</t>
        </is>
      </c>
      <c r="G319" t="inlineStr">
        <is>
          <t>ARVIKA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46299</v>
      </c>
      <c r="F320" t="inlineStr">
        <is>
          <t>VÄRMLANDS LÄN</t>
        </is>
      </c>
      <c r="G320" t="inlineStr">
        <is>
          <t>ARVIKA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45586</v>
      </c>
      <c r="E321" s="1" t="n">
        <v>46299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44833</v>
      </c>
      <c r="E322" s="1" t="n">
        <v>46299</v>
      </c>
      <c r="F322" t="inlineStr">
        <is>
          <t>VÄRMLANDS LÄN</t>
        </is>
      </c>
      <c r="G322" t="inlineStr">
        <is>
          <t>ARVIKA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46299</v>
      </c>
      <c r="F323" t="inlineStr">
        <is>
          <t>VÄRMLANDS LÄN</t>
        </is>
      </c>
      <c r="G323" t="inlineStr">
        <is>
          <t>ARVIKA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46299</v>
      </c>
      <c r="F324" t="inlineStr">
        <is>
          <t>VÄRMLANDS LÄN</t>
        </is>
      </c>
      <c r="G324" t="inlineStr">
        <is>
          <t>ARVIKA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46299</v>
      </c>
      <c r="F325" t="inlineStr">
        <is>
          <t>VÄRMLANDS LÄN</t>
        </is>
      </c>
      <c r="G325" t="inlineStr">
        <is>
          <t>ARVIKA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58538-2023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46299</v>
      </c>
      <c r="F326" t="inlineStr">
        <is>
          <t>VÄRMLANDS LÄN</t>
        </is>
      </c>
      <c r="G326" t="inlineStr">
        <is>
          <t>ARVIKA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45453</v>
      </c>
      <c r="E327" s="1" t="n">
        <v>46299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45674</v>
      </c>
      <c r="E328" s="1" t="n">
        <v>46299</v>
      </c>
      <c r="F328" t="inlineStr">
        <is>
          <t>VÄRMLANDS LÄN</t>
        </is>
      </c>
      <c r="G328" t="inlineStr">
        <is>
          <t>ARVIKA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46299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46299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46299</v>
      </c>
      <c r="F331" t="inlineStr">
        <is>
          <t>VÄRMLANDS LÄN</t>
        </is>
      </c>
      <c r="G331" t="inlineStr">
        <is>
          <t>ARVIKA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46299</v>
      </c>
      <c r="F332" t="inlineStr">
        <is>
          <t>VÄRMLANDS LÄN</t>
        </is>
      </c>
      <c r="G332" t="inlineStr">
        <is>
          <t>ARVIKA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46299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46299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46299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55730-2024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45622</v>
      </c>
      <c r="E336" s="1" t="n">
        <v>46299</v>
      </c>
      <c r="F336" t="inlineStr">
        <is>
          <t>VÄRMLANDS LÄN</t>
        </is>
      </c>
      <c r="G336" t="inlineStr">
        <is>
          <t>ARVIKA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45377</v>
      </c>
      <c r="E337" s="1" t="n">
        <v>46299</v>
      </c>
      <c r="F337" t="inlineStr">
        <is>
          <t>VÄRMLANDS LÄN</t>
        </is>
      </c>
      <c r="G337" t="inlineStr">
        <is>
          <t>ARVIKA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46299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45520-2023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45194</v>
      </c>
      <c r="E339" s="1" t="n">
        <v>46299</v>
      </c>
      <c r="F339" t="inlineStr">
        <is>
          <t>VÄRMLANDS LÄN</t>
        </is>
      </c>
      <c r="G339" t="inlineStr">
        <is>
          <t>ARVIKA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39980-2022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44820</v>
      </c>
      <c r="E340" s="1" t="n">
        <v>46299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46299</v>
      </c>
      <c r="F341" t="inlineStr">
        <is>
          <t>VÄRMLANDS LÄN</t>
        </is>
      </c>
      <c r="G341" t="inlineStr">
        <is>
          <t>ARVIKA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46299</v>
      </c>
      <c r="F342" t="inlineStr">
        <is>
          <t>VÄRMLANDS LÄN</t>
        </is>
      </c>
      <c r="G342" t="inlineStr">
        <is>
          <t>ARVIKA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46299</v>
      </c>
      <c r="F343" t="inlineStr">
        <is>
          <t>VÄRMLANDS LÄN</t>
        </is>
      </c>
      <c r="G343" t="inlineStr">
        <is>
          <t>ARVIKA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46299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46299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46299</v>
      </c>
      <c r="F346" t="inlineStr">
        <is>
          <t>VÄRMLANDS LÄN</t>
        </is>
      </c>
      <c r="G346" t="inlineStr">
        <is>
          <t>ARVIKA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44704</v>
      </c>
      <c r="E347" s="1" t="n">
        <v>46299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46299</v>
      </c>
      <c r="F348" t="inlineStr">
        <is>
          <t>VÄRMLANDS LÄN</t>
        </is>
      </c>
      <c r="G348" t="inlineStr">
        <is>
          <t>ARVIKA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46299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45506</v>
      </c>
      <c r="E350" s="1" t="n">
        <v>46299</v>
      </c>
      <c r="F350" t="inlineStr">
        <is>
          <t>VÄRMLANDS LÄN</t>
        </is>
      </c>
      <c r="G350" t="inlineStr">
        <is>
          <t>ARVIKA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46299</v>
      </c>
      <c r="F351" t="inlineStr">
        <is>
          <t>VÄRMLANDS LÄN</t>
        </is>
      </c>
      <c r="G351" t="inlineStr">
        <is>
          <t>ARVIKA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46299</v>
      </c>
      <c r="F352" t="inlineStr">
        <is>
          <t>VÄRMLANDS LÄN</t>
        </is>
      </c>
      <c r="G352" t="inlineStr">
        <is>
          <t>ARVIKA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46299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46299</v>
      </c>
      <c r="F354" t="inlineStr">
        <is>
          <t>VÄRMLANDS LÄN</t>
        </is>
      </c>
      <c r="G354" t="inlineStr">
        <is>
          <t>ARVIKA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46299</v>
      </c>
      <c r="F355" t="inlineStr">
        <is>
          <t>VÄRMLANDS LÄN</t>
        </is>
      </c>
      <c r="G355" t="inlineStr">
        <is>
          <t>ARVIKA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47538-2024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45587</v>
      </c>
      <c r="E356" s="1" t="n">
        <v>46299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46299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46299</v>
      </c>
      <c r="F358" t="inlineStr">
        <is>
          <t>VÄRMLANDS LÄN</t>
        </is>
      </c>
      <c r="G358" t="inlineStr">
        <is>
          <t>ARVIKA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46299</v>
      </c>
      <c r="F359" t="inlineStr">
        <is>
          <t>VÄRMLANDS LÄN</t>
        </is>
      </c>
      <c r="G359" t="inlineStr">
        <is>
          <t>ARVIKA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45935</v>
      </c>
      <c r="E360" s="1" t="n">
        <v>46299</v>
      </c>
      <c r="F360" t="inlineStr">
        <is>
          <t>VÄRMLANDS LÄN</t>
        </is>
      </c>
      <c r="G360" t="inlineStr">
        <is>
          <t>ARVIKA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24986-2024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45461</v>
      </c>
      <c r="E361" s="1" t="n">
        <v>46299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46299</v>
      </c>
      <c r="F362" t="inlineStr">
        <is>
          <t>VÄRMLANDS LÄN</t>
        </is>
      </c>
      <c r="G362" t="inlineStr">
        <is>
          <t>ARVIKA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45921</v>
      </c>
      <c r="E363" s="1" t="n">
        <v>46299</v>
      </c>
      <c r="F363" t="inlineStr">
        <is>
          <t>VÄRMLANDS LÄN</t>
        </is>
      </c>
      <c r="G363" t="inlineStr">
        <is>
          <t>ARVIKA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46299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45244</v>
      </c>
      <c r="E365" s="1" t="n">
        <v>46299</v>
      </c>
      <c r="F365" t="inlineStr">
        <is>
          <t>VÄRMLANDS LÄN</t>
        </is>
      </c>
      <c r="G365" t="inlineStr">
        <is>
          <t>ARVIKA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46299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46299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46299</v>
      </c>
      <c r="F368" t="inlineStr">
        <is>
          <t>VÄRMLANDS LÄN</t>
        </is>
      </c>
      <c r="G368" t="inlineStr">
        <is>
          <t>ARVIKA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46299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62609-2022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46299</v>
      </c>
      <c r="F370" t="inlineStr">
        <is>
          <t>VÄRMLANDS LÄN</t>
        </is>
      </c>
      <c r="G370" t="inlineStr">
        <is>
          <t>ARVIKA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44917</v>
      </c>
      <c r="E371" s="1" t="n">
        <v>46299</v>
      </c>
      <c r="F371" t="inlineStr">
        <is>
          <t>VÄRMLANDS LÄN</t>
        </is>
      </c>
      <c r="G371" t="inlineStr">
        <is>
          <t>ARVIKA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45544</v>
      </c>
      <c r="E372" s="1" t="n">
        <v>46299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46299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46299</v>
      </c>
      <c r="F374" t="inlineStr">
        <is>
          <t>VÄRMLANDS LÄN</t>
        </is>
      </c>
      <c r="G374" t="inlineStr">
        <is>
          <t>ARVIKA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46299</v>
      </c>
      <c r="F375" t="inlineStr">
        <is>
          <t>VÄRMLANDS LÄN</t>
        </is>
      </c>
      <c r="G375" t="inlineStr">
        <is>
          <t>ARVIKA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46299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45532</v>
      </c>
      <c r="E377" s="1" t="n">
        <v>46299</v>
      </c>
      <c r="F377" t="inlineStr">
        <is>
          <t>VÄRMLANDS LÄN</t>
        </is>
      </c>
      <c r="G377" t="inlineStr">
        <is>
          <t>ARVIKA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46299</v>
      </c>
      <c r="F378" t="inlineStr">
        <is>
          <t>VÄRMLANDS LÄN</t>
        </is>
      </c>
      <c r="G378" t="inlineStr">
        <is>
          <t>ARVIKA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46057</v>
      </c>
      <c r="E379" s="1" t="n">
        <v>46299</v>
      </c>
      <c r="F379" t="inlineStr">
        <is>
          <t>VÄRMLANDS LÄN</t>
        </is>
      </c>
      <c r="G379" t="inlineStr">
        <is>
          <t>ARVIKA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46299</v>
      </c>
      <c r="F380" t="inlineStr">
        <is>
          <t>VÄRMLANDS LÄN</t>
        </is>
      </c>
      <c r="G380" t="inlineStr">
        <is>
          <t>ARVIKA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45146</v>
      </c>
      <c r="E381" s="1" t="n">
        <v>46299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46889-2025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46299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46299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46299</v>
      </c>
      <c r="F384" t="inlineStr">
        <is>
          <t>VÄRMLANDS LÄN</t>
        </is>
      </c>
      <c r="G384" t="inlineStr">
        <is>
          <t>ARVIKA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46299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46299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46299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46299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45460</v>
      </c>
      <c r="E389" s="1" t="n">
        <v>46299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46299</v>
      </c>
      <c r="F390" t="inlineStr">
        <is>
          <t>VÄRMLANDS LÄN</t>
        </is>
      </c>
      <c r="G390" t="inlineStr">
        <is>
          <t>ARVIKA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46299</v>
      </c>
      <c r="F391" t="inlineStr">
        <is>
          <t>VÄRMLANDS LÄN</t>
        </is>
      </c>
      <c r="G391" t="inlineStr">
        <is>
          <t>ARVIKA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46299</v>
      </c>
      <c r="F392" t="inlineStr">
        <is>
          <t>VÄRMLANDS LÄN</t>
        </is>
      </c>
      <c r="G392" t="inlineStr">
        <is>
          <t>ARVIKA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46299</v>
      </c>
      <c r="F393" t="inlineStr">
        <is>
          <t>VÄRMLANDS LÄN</t>
        </is>
      </c>
      <c r="G393" t="inlineStr">
        <is>
          <t>ARVIKA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46299</v>
      </c>
      <c r="F394" t="inlineStr">
        <is>
          <t>VÄRMLANDS LÄN</t>
        </is>
      </c>
      <c r="G394" t="inlineStr">
        <is>
          <t>ARVIKA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46299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8512-2023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44977</v>
      </c>
      <c r="E396" s="1" t="n">
        <v>46299</v>
      </c>
      <c r="F396" t="inlineStr">
        <is>
          <t>VÄRMLANDS LÄN</t>
        </is>
      </c>
      <c r="G396" t="inlineStr">
        <is>
          <t>ARVIKA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46299</v>
      </c>
      <c r="F397" t="inlineStr">
        <is>
          <t>VÄRMLANDS LÄN</t>
        </is>
      </c>
      <c r="G397" t="inlineStr">
        <is>
          <t>ARVIKA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55515-2021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44475</v>
      </c>
      <c r="E398" s="1" t="n">
        <v>46299</v>
      </c>
      <c r="F398" t="inlineStr">
        <is>
          <t>VÄRMLANDS LÄN</t>
        </is>
      </c>
      <c r="G398" t="inlineStr">
        <is>
          <t>ARVIKA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46299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46299</v>
      </c>
      <c r="F400" t="inlineStr">
        <is>
          <t>VÄRMLANDS LÄN</t>
        </is>
      </c>
      <c r="G400" t="inlineStr">
        <is>
          <t>ARVIKA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46299</v>
      </c>
      <c r="F401" t="inlineStr">
        <is>
          <t>VÄRMLANDS LÄN</t>
        </is>
      </c>
      <c r="G401" t="inlineStr">
        <is>
          <t>ARVIKA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46299</v>
      </c>
      <c r="F402" t="inlineStr">
        <is>
          <t>VÄRMLANDS LÄN</t>
        </is>
      </c>
      <c r="G402" t="inlineStr">
        <is>
          <t>ARVIKA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44988</v>
      </c>
      <c r="E403" s="1" t="n">
        <v>46299</v>
      </c>
      <c r="F403" t="inlineStr">
        <is>
          <t>VÄRMLANDS LÄN</t>
        </is>
      </c>
      <c r="G403" t="inlineStr">
        <is>
          <t>ARVIKA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41580-2022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44827</v>
      </c>
      <c r="E404" s="1" t="n">
        <v>46299</v>
      </c>
      <c r="F404" t="inlineStr">
        <is>
          <t>VÄRMLANDS LÄN</t>
        </is>
      </c>
      <c r="G404" t="inlineStr">
        <is>
          <t>ARVIKA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45932</v>
      </c>
      <c r="E405" s="1" t="n">
        <v>46299</v>
      </c>
      <c r="F405" t="inlineStr">
        <is>
          <t>VÄRMLANDS LÄN</t>
        </is>
      </c>
      <c r="G405" t="inlineStr">
        <is>
          <t>ARVIKA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46299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46299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46299</v>
      </c>
      <c r="F408" t="inlineStr">
        <is>
          <t>VÄRMLANDS LÄN</t>
        </is>
      </c>
      <c r="G408" t="inlineStr">
        <is>
          <t>ARVIKA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46299</v>
      </c>
      <c r="F409" t="inlineStr">
        <is>
          <t>VÄRMLANDS LÄN</t>
        </is>
      </c>
      <c r="G409" t="inlineStr">
        <is>
          <t>ARVIKA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46299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46299</v>
      </c>
      <c r="F411" t="inlineStr">
        <is>
          <t>VÄRMLANDS LÄN</t>
        </is>
      </c>
      <c r="G411" t="inlineStr">
        <is>
          <t>ARVIKA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45711</v>
      </c>
      <c r="E412" s="1" t="n">
        <v>46299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46299</v>
      </c>
      <c r="F413" t="inlineStr">
        <is>
          <t>VÄRMLANDS LÄN</t>
        </is>
      </c>
      <c r="G413" t="inlineStr">
        <is>
          <t>ARVIKA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46299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45673</v>
      </c>
      <c r="E415" s="1" t="n">
        <v>46299</v>
      </c>
      <c r="F415" t="inlineStr">
        <is>
          <t>VÄRMLANDS LÄN</t>
        </is>
      </c>
      <c r="G415" t="inlineStr">
        <is>
          <t>ARVIKA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46299</v>
      </c>
      <c r="F416" t="inlineStr">
        <is>
          <t>VÄRMLANDS LÄN</t>
        </is>
      </c>
      <c r="G416" t="inlineStr">
        <is>
          <t>ARVIKA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44754</v>
      </c>
      <c r="E417" s="1" t="n">
        <v>46299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45141</v>
      </c>
      <c r="E418" s="1" t="n">
        <v>46299</v>
      </c>
      <c r="F418" t="inlineStr">
        <is>
          <t>VÄRMLANDS LÄN</t>
        </is>
      </c>
      <c r="G418" t="inlineStr">
        <is>
          <t>ARVIKA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15720-2022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44663</v>
      </c>
      <c r="E419" s="1" t="n">
        <v>46299</v>
      </c>
      <c r="F419" t="inlineStr">
        <is>
          <t>VÄRMLANDS LÄN</t>
        </is>
      </c>
      <c r="G419" t="inlineStr">
        <is>
          <t>ARVIKA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37139-2022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46299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45695</v>
      </c>
      <c r="E421" s="1" t="n">
        <v>46299</v>
      </c>
      <c r="F421" t="inlineStr">
        <is>
          <t>VÄRMLANDS LÄN</t>
        </is>
      </c>
      <c r="G421" t="inlineStr">
        <is>
          <t>ARVIKA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46299</v>
      </c>
      <c r="F422" t="inlineStr">
        <is>
          <t>VÄRMLANDS LÄN</t>
        </is>
      </c>
      <c r="G422" t="inlineStr">
        <is>
          <t>ARVIKA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46299</v>
      </c>
      <c r="F423" t="inlineStr">
        <is>
          <t>VÄRMLANDS LÄN</t>
        </is>
      </c>
      <c r="G423" t="inlineStr">
        <is>
          <t>ARVIKA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46299</v>
      </c>
      <c r="F424" t="inlineStr">
        <is>
          <t>VÄRMLANDS LÄN</t>
        </is>
      </c>
      <c r="G424" t="inlineStr">
        <is>
          <t>ARVIKA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46299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46299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46299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46299</v>
      </c>
      <c r="F428" t="inlineStr">
        <is>
          <t>VÄRMLANDS LÄN</t>
        </is>
      </c>
      <c r="G428" t="inlineStr">
        <is>
          <t>ARVIKA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46299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46299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45397</v>
      </c>
      <c r="E431" s="1" t="n">
        <v>46299</v>
      </c>
      <c r="F431" t="inlineStr">
        <is>
          <t>VÄRMLANDS LÄN</t>
        </is>
      </c>
      <c r="G431" t="inlineStr">
        <is>
          <t>ARVIKA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46299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45944</v>
      </c>
      <c r="E433" s="1" t="n">
        <v>46299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46299</v>
      </c>
      <c r="F434" t="inlineStr">
        <is>
          <t>VÄRMLANDS LÄN</t>
        </is>
      </c>
      <c r="G434" t="inlineStr">
        <is>
          <t>ARVIKA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46299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46299</v>
      </c>
      <c r="F436" t="inlineStr">
        <is>
          <t>VÄRMLANDS LÄN</t>
        </is>
      </c>
      <c r="G436" t="inlineStr">
        <is>
          <t>ARVIKA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50451-2025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45945</v>
      </c>
      <c r="E437" s="1" t="n">
        <v>46299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62600-2022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46299</v>
      </c>
      <c r="F438" t="inlineStr">
        <is>
          <t>VÄRMLANDS LÄN</t>
        </is>
      </c>
      <c r="G438" t="inlineStr">
        <is>
          <t>ARVIKA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45027</v>
      </c>
      <c r="E439" s="1" t="n">
        <v>46299</v>
      </c>
      <c r="F439" t="inlineStr">
        <is>
          <t>VÄRMLANDS LÄN</t>
        </is>
      </c>
      <c r="G439" t="inlineStr">
        <is>
          <t>ARVIKA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46299</v>
      </c>
      <c r="F440" t="inlineStr">
        <is>
          <t>VÄRMLANDS LÄN</t>
        </is>
      </c>
      <c r="G440" t="inlineStr">
        <is>
          <t>ARVIKA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47376-2023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46299</v>
      </c>
      <c r="F441" t="inlineStr">
        <is>
          <t>VÄRMLANDS LÄN</t>
        </is>
      </c>
      <c r="G441" t="inlineStr">
        <is>
          <t>ARVIKA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10603-2026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46077</v>
      </c>
      <c r="E442" s="1" t="n">
        <v>46299</v>
      </c>
      <c r="F442" t="inlineStr">
        <is>
          <t>VÄRMLANDS LÄN</t>
        </is>
      </c>
      <c r="G442" t="inlineStr">
        <is>
          <t>ARVIKA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46299</v>
      </c>
      <c r="F443" t="inlineStr">
        <is>
          <t>VÄRMLANDS LÄN</t>
        </is>
      </c>
      <c r="G443" t="inlineStr">
        <is>
          <t>ARVIKA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50969-2025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45947</v>
      </c>
      <c r="E444" s="1" t="n">
        <v>46299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46299</v>
      </c>
      <c r="F445" t="inlineStr">
        <is>
          <t>VÄRMLANDS LÄN</t>
        </is>
      </c>
      <c r="G445" t="inlineStr">
        <is>
          <t>ARVIKA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46299</v>
      </c>
      <c r="F446" t="inlineStr">
        <is>
          <t>VÄRMLANDS LÄN</t>
        </is>
      </c>
      <c r="G446" t="inlineStr">
        <is>
          <t>ARVIKA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45950</v>
      </c>
      <c r="E447" s="1" t="n">
        <v>46299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44642</v>
      </c>
      <c r="E448" s="1" t="n">
        <v>46299</v>
      </c>
      <c r="F448" t="inlineStr">
        <is>
          <t>VÄRMLANDS LÄN</t>
        </is>
      </c>
      <c r="G448" t="inlineStr">
        <is>
          <t>ARVIKA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45950</v>
      </c>
      <c r="E449" s="1" t="n">
        <v>46299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45371</v>
      </c>
      <c r="E450" s="1" t="n">
        <v>46299</v>
      </c>
      <c r="F450" t="inlineStr">
        <is>
          <t>VÄRMLANDS LÄN</t>
        </is>
      </c>
      <c r="G450" t="inlineStr">
        <is>
          <t>ARVIKA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45686</v>
      </c>
      <c r="E451" s="1" t="n">
        <v>46299</v>
      </c>
      <c r="F451" t="inlineStr">
        <is>
          <t>VÄRMLANDS LÄN</t>
        </is>
      </c>
      <c r="G451" t="inlineStr">
        <is>
          <t>ARVIKA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45951</v>
      </c>
      <c r="E452" s="1" t="n">
        <v>46299</v>
      </c>
      <c r="F452" t="inlineStr">
        <is>
          <t>VÄRMLANDS LÄN</t>
        </is>
      </c>
      <c r="G452" t="inlineStr">
        <is>
          <t>ARVIKA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46299</v>
      </c>
      <c r="F453" t="inlineStr">
        <is>
          <t>VÄRMLANDS LÄN</t>
        </is>
      </c>
      <c r="G453" t="inlineStr">
        <is>
          <t>ARVIKA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45757</v>
      </c>
      <c r="E454" s="1" t="n">
        <v>46299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46299</v>
      </c>
      <c r="F455" t="inlineStr">
        <is>
          <t>VÄRMLANDS LÄN</t>
        </is>
      </c>
      <c r="G455" t="inlineStr">
        <is>
          <t>ARVIKA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45747</v>
      </c>
      <c r="E456" s="1" t="n">
        <v>46299</v>
      </c>
      <c r="F456" t="inlineStr">
        <is>
          <t>VÄRMLANDS LÄN</t>
        </is>
      </c>
      <c r="G456" t="inlineStr">
        <is>
          <t>ARVIKA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48510-2023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45207</v>
      </c>
      <c r="E457" s="1" t="n">
        <v>46299</v>
      </c>
      <c r="F457" t="inlineStr">
        <is>
          <t>VÄRMLANDS LÄN</t>
        </is>
      </c>
      <c r="G457" t="inlineStr">
        <is>
          <t>ARVIKA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46299</v>
      </c>
      <c r="F458" t="inlineStr">
        <is>
          <t>VÄRMLANDS LÄN</t>
        </is>
      </c>
      <c r="G458" t="inlineStr">
        <is>
          <t>ARVIKA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46299</v>
      </c>
      <c r="F459" t="inlineStr">
        <is>
          <t>VÄRMLANDS LÄN</t>
        </is>
      </c>
      <c r="G459" t="inlineStr">
        <is>
          <t>ARVIKA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45952</v>
      </c>
      <c r="E460" s="1" t="n">
        <v>46299</v>
      </c>
      <c r="F460" t="inlineStr">
        <is>
          <t>VÄRMLANDS LÄN</t>
        </is>
      </c>
      <c r="G460" t="inlineStr">
        <is>
          <t>ARVIKA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46083</v>
      </c>
      <c r="E461" s="1" t="n">
        <v>46299</v>
      </c>
      <c r="F461" t="inlineStr">
        <is>
          <t>VÄRMLANDS LÄN</t>
        </is>
      </c>
      <c r="G461" t="inlineStr">
        <is>
          <t>ARVIKA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44931</v>
      </c>
      <c r="E462" s="1" t="n">
        <v>46299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46299</v>
      </c>
      <c r="F463" t="inlineStr">
        <is>
          <t>VÄRMLANDS LÄN</t>
        </is>
      </c>
      <c r="G463" t="inlineStr">
        <is>
          <t>ARVIKA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45744</v>
      </c>
      <c r="E464" s="1" t="n">
        <v>46299</v>
      </c>
      <c r="F464" t="inlineStr">
        <is>
          <t>VÄRMLANDS LÄN</t>
        </is>
      </c>
      <c r="G464" t="inlineStr">
        <is>
          <t>ARVIKA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46299</v>
      </c>
      <c r="F465" t="inlineStr">
        <is>
          <t>VÄRMLANDS LÄN</t>
        </is>
      </c>
      <c r="G465" t="inlineStr">
        <is>
          <t>ARVIKA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46299</v>
      </c>
      <c r="F466" t="inlineStr">
        <is>
          <t>VÄRMLANDS LÄN</t>
        </is>
      </c>
      <c r="G466" t="inlineStr">
        <is>
          <t>ARVIKA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46299</v>
      </c>
      <c r="F467" t="inlineStr">
        <is>
          <t>VÄRMLANDS LÄN</t>
        </is>
      </c>
      <c r="G467" t="inlineStr">
        <is>
          <t>ARVIKA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46299</v>
      </c>
      <c r="F468" t="inlineStr">
        <is>
          <t>VÄRMLANDS LÄN</t>
        </is>
      </c>
      <c r="G468" t="inlineStr">
        <is>
          <t>ARVIKA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46299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22951-2022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44715</v>
      </c>
      <c r="E470" s="1" t="n">
        <v>46299</v>
      </c>
      <c r="F470" t="inlineStr">
        <is>
          <t>VÄRMLANDS LÄN</t>
        </is>
      </c>
      <c r="G470" t="inlineStr">
        <is>
          <t>ARVIKA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45957</v>
      </c>
      <c r="E471" s="1" t="n">
        <v>46299</v>
      </c>
      <c r="F471" t="inlineStr">
        <is>
          <t>VÄRMLANDS LÄN</t>
        </is>
      </c>
      <c r="G471" t="inlineStr">
        <is>
          <t>ARVIKA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45957</v>
      </c>
      <c r="E472" s="1" t="n">
        <v>46299</v>
      </c>
      <c r="F472" t="inlineStr">
        <is>
          <t>VÄRMLANDS LÄN</t>
        </is>
      </c>
      <c r="G472" t="inlineStr">
        <is>
          <t>ARVIKA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46299</v>
      </c>
      <c r="F473" t="inlineStr">
        <is>
          <t>VÄRMLANDS LÄN</t>
        </is>
      </c>
      <c r="G473" t="inlineStr">
        <is>
          <t>ARVIKA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45497</v>
      </c>
      <c r="E474" s="1" t="n">
        <v>46299</v>
      </c>
      <c r="F474" t="inlineStr">
        <is>
          <t>VÄRMLANDS LÄN</t>
        </is>
      </c>
      <c r="G474" t="inlineStr">
        <is>
          <t>ARVIKA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45812</v>
      </c>
      <c r="E475" s="1" t="n">
        <v>46299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45813</v>
      </c>
      <c r="E476" s="1" t="n">
        <v>46299</v>
      </c>
      <c r="F476" t="inlineStr">
        <is>
          <t>VÄRMLANDS LÄN</t>
        </is>
      </c>
      <c r="G476" t="inlineStr">
        <is>
          <t>ARVIKA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52505-2025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45954</v>
      </c>
      <c r="E477" s="1" t="n">
        <v>46299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45708</v>
      </c>
      <c r="E478" s="1" t="n">
        <v>46299</v>
      </c>
      <c r="F478" t="inlineStr">
        <is>
          <t>VÄRMLANDS LÄN</t>
        </is>
      </c>
      <c r="G478" t="inlineStr">
        <is>
          <t>ARVIKA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65284-2021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44515</v>
      </c>
      <c r="E479" s="1" t="n">
        <v>46299</v>
      </c>
      <c r="F479" t="inlineStr">
        <is>
          <t>VÄRMLANDS LÄN</t>
        </is>
      </c>
      <c r="G479" t="inlineStr">
        <is>
          <t>ARVIKA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46299</v>
      </c>
      <c r="F480" t="inlineStr">
        <is>
          <t>VÄRMLANDS LÄN</t>
        </is>
      </c>
      <c r="G480" t="inlineStr">
        <is>
          <t>ARVIKA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53430-2025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45959</v>
      </c>
      <c r="E481" s="1" t="n">
        <v>46299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46299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46299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46299</v>
      </c>
      <c r="F484" t="inlineStr">
        <is>
          <t>VÄRMLANDS LÄN</t>
        </is>
      </c>
      <c r="G484" t="inlineStr">
        <is>
          <t>ARVIKA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45709</v>
      </c>
      <c r="E485" s="1" t="n">
        <v>46299</v>
      </c>
      <c r="F485" t="inlineStr">
        <is>
          <t>VÄRMLANDS LÄN</t>
        </is>
      </c>
      <c r="G485" t="inlineStr">
        <is>
          <t>ARVIKA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46299</v>
      </c>
      <c r="F486" t="inlineStr">
        <is>
          <t>VÄRMLANDS LÄN</t>
        </is>
      </c>
      <c r="G486" t="inlineStr">
        <is>
          <t>ARVIKA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46299</v>
      </c>
      <c r="F487" t="inlineStr">
        <is>
          <t>VÄRMLANDS LÄN</t>
        </is>
      </c>
      <c r="G487" t="inlineStr">
        <is>
          <t>ARVIKA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45960</v>
      </c>
      <c r="E488" s="1" t="n">
        <v>46299</v>
      </c>
      <c r="F488" t="inlineStr">
        <is>
          <t>VÄRMLANDS LÄN</t>
        </is>
      </c>
      <c r="G488" t="inlineStr">
        <is>
          <t>ARVIKA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46299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46299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46299</v>
      </c>
      <c r="F491" t="inlineStr">
        <is>
          <t>VÄRMLANDS LÄN</t>
        </is>
      </c>
      <c r="G491" t="inlineStr">
        <is>
          <t>ARVIKA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54028-2025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45962</v>
      </c>
      <c r="E492" s="1" t="n">
        <v>46299</v>
      </c>
      <c r="F492" t="inlineStr">
        <is>
          <t>VÄRMLANDS LÄN</t>
        </is>
      </c>
      <c r="G492" t="inlineStr">
        <is>
          <t>ARVIKA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46299</v>
      </c>
      <c r="F493" t="inlineStr">
        <is>
          <t>VÄRMLANDS LÄN</t>
        </is>
      </c>
      <c r="G493" t="inlineStr">
        <is>
          <t>ARVIKA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46299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45776</v>
      </c>
      <c r="E495" s="1" t="n">
        <v>46299</v>
      </c>
      <c r="F495" t="inlineStr">
        <is>
          <t>VÄRMLANDS LÄN</t>
        </is>
      </c>
      <c r="G495" t="inlineStr">
        <is>
          <t>ARVIKA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46299</v>
      </c>
      <c r="F496" t="inlineStr">
        <is>
          <t>VÄRMLANDS LÄN</t>
        </is>
      </c>
      <c r="G496" t="inlineStr">
        <is>
          <t>ARVIKA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45962</v>
      </c>
      <c r="E497" s="1" t="n">
        <v>46299</v>
      </c>
      <c r="F497" t="inlineStr">
        <is>
          <t>VÄRMLANDS LÄN</t>
        </is>
      </c>
      <c r="G497" t="inlineStr">
        <is>
          <t>ARVIKA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36717-2023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45153</v>
      </c>
      <c r="E498" s="1" t="n">
        <v>46299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37668-2024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46299</v>
      </c>
      <c r="F499" t="inlineStr">
        <is>
          <t>VÄRMLANDS LÄN</t>
        </is>
      </c>
      <c r="G499" t="inlineStr">
        <is>
          <t>ARVIKA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45230</v>
      </c>
      <c r="E500" s="1" t="n">
        <v>46299</v>
      </c>
      <c r="F500" t="inlineStr">
        <is>
          <t>VÄRMLANDS LÄN</t>
        </is>
      </c>
      <c r="G500" t="inlineStr">
        <is>
          <t>ARVIKA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46299</v>
      </c>
      <c r="F501" t="inlineStr">
        <is>
          <t>VÄRMLANDS LÄN</t>
        </is>
      </c>
      <c r="G501" t="inlineStr">
        <is>
          <t>ARVIKA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33598-2024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45520</v>
      </c>
      <c r="E502" s="1" t="n">
        <v>46299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46299</v>
      </c>
      <c r="F503" t="inlineStr">
        <is>
          <t>VÄRMLANDS LÄN</t>
        </is>
      </c>
      <c r="G503" t="inlineStr">
        <is>
          <t>ARVIKA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45966</v>
      </c>
      <c r="E504" s="1" t="n">
        <v>46299</v>
      </c>
      <c r="F504" t="inlineStr">
        <is>
          <t>VÄRMLANDS LÄN</t>
        </is>
      </c>
      <c r="G504" t="inlineStr">
        <is>
          <t>ARVIKA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54675-2025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46299</v>
      </c>
      <c r="F505" t="inlineStr">
        <is>
          <t>VÄRMLANDS LÄN</t>
        </is>
      </c>
      <c r="G505" t="inlineStr">
        <is>
          <t>ARVIKA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46299</v>
      </c>
      <c r="F506" t="inlineStr">
        <is>
          <t>VÄRMLANDS LÄN</t>
        </is>
      </c>
      <c r="G506" t="inlineStr">
        <is>
          <t>ARVIKA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44918</v>
      </c>
      <c r="E507" s="1" t="n">
        <v>46299</v>
      </c>
      <c r="F507" t="inlineStr">
        <is>
          <t>VÄRMLANDS LÄN</t>
        </is>
      </c>
      <c r="G507" t="inlineStr">
        <is>
          <t>ARVIKA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45180</v>
      </c>
      <c r="E508" s="1" t="n">
        <v>46299</v>
      </c>
      <c r="F508" t="inlineStr">
        <is>
          <t>VÄRMLANDS LÄN</t>
        </is>
      </c>
      <c r="G508" t="inlineStr">
        <is>
          <t>ARVIKA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45295</v>
      </c>
      <c r="E509" s="1" t="n">
        <v>46299</v>
      </c>
      <c r="F509" t="inlineStr">
        <is>
          <t>VÄRMLANDS LÄN</t>
        </is>
      </c>
      <c r="G509" t="inlineStr">
        <is>
          <t>ARVIKA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46299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45086</v>
      </c>
      <c r="E511" s="1" t="n">
        <v>46299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45510</v>
      </c>
      <c r="E512" s="1" t="n">
        <v>46299</v>
      </c>
      <c r="F512" t="inlineStr">
        <is>
          <t>VÄRMLANDS LÄN</t>
        </is>
      </c>
      <c r="G512" t="inlineStr">
        <is>
          <t>ARVIKA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45124</v>
      </c>
      <c r="E513" s="1" t="n">
        <v>46299</v>
      </c>
      <c r="F513" t="inlineStr">
        <is>
          <t>VÄRMLANDS LÄN</t>
        </is>
      </c>
      <c r="G513" t="inlineStr">
        <is>
          <t>ARVIKA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46299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46299</v>
      </c>
      <c r="F515" t="inlineStr">
        <is>
          <t>VÄRMLANDS LÄN</t>
        </is>
      </c>
      <c r="G515" t="inlineStr">
        <is>
          <t>ARVIKA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45813</v>
      </c>
      <c r="E516" s="1" t="n">
        <v>46299</v>
      </c>
      <c r="F516" t="inlineStr">
        <is>
          <t>VÄRMLANDS LÄN</t>
        </is>
      </c>
      <c r="G516" t="inlineStr">
        <is>
          <t>ARVIKA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45083</v>
      </c>
      <c r="E517" s="1" t="n">
        <v>46299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46299</v>
      </c>
      <c r="F518" t="inlineStr">
        <is>
          <t>VÄRMLANDS LÄN</t>
        </is>
      </c>
      <c r="G518" t="inlineStr">
        <is>
          <t>ARVIKA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45961</v>
      </c>
      <c r="E519" s="1" t="n">
        <v>46299</v>
      </c>
      <c r="F519" t="inlineStr">
        <is>
          <t>VÄRMLANDS LÄN</t>
        </is>
      </c>
      <c r="G519" t="inlineStr">
        <is>
          <t>ARVIKA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28574-2025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45819</v>
      </c>
      <c r="E520" s="1" t="n">
        <v>46299</v>
      </c>
      <c r="F520" t="inlineStr">
        <is>
          <t>VÄRMLANDS LÄN</t>
        </is>
      </c>
      <c r="G520" t="inlineStr">
        <is>
          <t>ARVIKA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45033</v>
      </c>
      <c r="E521" s="1" t="n">
        <v>46299</v>
      </c>
      <c r="F521" t="inlineStr">
        <is>
          <t>VÄRMLANDS LÄN</t>
        </is>
      </c>
      <c r="G521" t="inlineStr">
        <is>
          <t>ARVIKA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46299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46299</v>
      </c>
      <c r="F523" t="inlineStr">
        <is>
          <t>VÄRMLANDS LÄN</t>
        </is>
      </c>
      <c r="G523" t="inlineStr">
        <is>
          <t>ARVIKA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46299</v>
      </c>
      <c r="F524" t="inlineStr">
        <is>
          <t>VÄRMLANDS LÄN</t>
        </is>
      </c>
      <c r="G524" t="inlineStr">
        <is>
          <t>ARVIKA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45978</v>
      </c>
      <c r="E525" s="1" t="n">
        <v>46299</v>
      </c>
      <c r="F525" t="inlineStr">
        <is>
          <t>VÄRMLANDS LÄN</t>
        </is>
      </c>
      <c r="G525" t="inlineStr">
        <is>
          <t>ARVIKA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16674-2023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46299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46299</v>
      </c>
      <c r="F527" t="inlineStr">
        <is>
          <t>VÄRMLANDS LÄN</t>
        </is>
      </c>
      <c r="G527" t="inlineStr">
        <is>
          <t>ARVIKA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58408-2022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44901</v>
      </c>
      <c r="E528" s="1" t="n">
        <v>46299</v>
      </c>
      <c r="F528" t="inlineStr">
        <is>
          <t>VÄRMLANDS LÄN</t>
        </is>
      </c>
      <c r="G528" t="inlineStr">
        <is>
          <t>ARVIKA</t>
        </is>
      </c>
      <c r="I528" t="n">
        <v>16.4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46299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50857-2023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45218</v>
      </c>
      <c r="E530" s="1" t="n">
        <v>46299</v>
      </c>
      <c r="F530" t="inlineStr">
        <is>
          <t>VÄRMLANDS LÄN</t>
        </is>
      </c>
      <c r="G530" t="inlineStr">
        <is>
          <t>ARVIKA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46299</v>
      </c>
      <c r="F531" t="inlineStr">
        <is>
          <t>VÄRMLANDS LÄN</t>
        </is>
      </c>
      <c r="G531" t="inlineStr">
        <is>
          <t>ARVIKA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45980</v>
      </c>
      <c r="E532" s="1" t="n">
        <v>46299</v>
      </c>
      <c r="F532" t="inlineStr">
        <is>
          <t>VÄRMLANDS LÄN</t>
        </is>
      </c>
      <c r="G532" t="inlineStr">
        <is>
          <t>ARVIKA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45012</v>
      </c>
      <c r="E533" s="1" t="n">
        <v>46299</v>
      </c>
      <c r="F533" t="inlineStr">
        <is>
          <t>VÄRMLANDS LÄN</t>
        </is>
      </c>
      <c r="G533" t="inlineStr">
        <is>
          <t>ARVIKA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53184-2024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46299</v>
      </c>
      <c r="F534" t="inlineStr">
        <is>
          <t>VÄRMLANDS LÄN</t>
        </is>
      </c>
      <c r="G534" t="inlineStr">
        <is>
          <t>ARVIKA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57918-2025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46299</v>
      </c>
      <c r="F535" t="inlineStr">
        <is>
          <t>VÄRMLANDS LÄN</t>
        </is>
      </c>
      <c r="G535" t="inlineStr">
        <is>
          <t>ARVIKA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46299</v>
      </c>
      <c r="F536" t="inlineStr">
        <is>
          <t>VÄRMLANDS LÄN</t>
        </is>
      </c>
      <c r="G536" t="inlineStr">
        <is>
          <t>ARVIKA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45982</v>
      </c>
      <c r="E537" s="1" t="n">
        <v>46299</v>
      </c>
      <c r="F537" t="inlineStr">
        <is>
          <t>VÄRMLANDS LÄN</t>
        </is>
      </c>
      <c r="G537" t="inlineStr">
        <is>
          <t>ARVIKA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46299</v>
      </c>
      <c r="F538" t="inlineStr">
        <is>
          <t>VÄRMLANDS LÄN</t>
        </is>
      </c>
      <c r="G538" t="inlineStr">
        <is>
          <t>ARVIKA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45751</v>
      </c>
      <c r="E539" s="1" t="n">
        <v>46299</v>
      </c>
      <c r="F539" t="inlineStr">
        <is>
          <t>VÄRMLANDS LÄN</t>
        </is>
      </c>
      <c r="G539" t="inlineStr">
        <is>
          <t>ARVIKA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58039-2025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45982</v>
      </c>
      <c r="E540" s="1" t="n">
        <v>46299</v>
      </c>
      <c r="F540" t="inlineStr">
        <is>
          <t>VÄRMLANDS LÄN</t>
        </is>
      </c>
      <c r="G540" t="inlineStr">
        <is>
          <t>ARVIKA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45982</v>
      </c>
      <c r="E541" s="1" t="n">
        <v>46299</v>
      </c>
      <c r="F541" t="inlineStr">
        <is>
          <t>VÄRMLANDS LÄN</t>
        </is>
      </c>
      <c r="G541" t="inlineStr">
        <is>
          <t>ARVIKA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46299</v>
      </c>
      <c r="F542" t="inlineStr">
        <is>
          <t>VÄRMLANDS LÄN</t>
        </is>
      </c>
      <c r="G542" t="inlineStr">
        <is>
          <t>ARVIKA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29137-2025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45821</v>
      </c>
      <c r="E543" s="1" t="n">
        <v>46299</v>
      </c>
      <c r="F543" t="inlineStr">
        <is>
          <t>VÄRMLANDS LÄN</t>
        </is>
      </c>
      <c r="G543" t="inlineStr">
        <is>
          <t>ARVIKA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22162-2025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45785</v>
      </c>
      <c r="E544" s="1" t="n">
        <v>46299</v>
      </c>
      <c r="F544" t="inlineStr">
        <is>
          <t>VÄRMLANDS LÄN</t>
        </is>
      </c>
      <c r="G544" t="inlineStr">
        <is>
          <t>ARVIKA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45068</v>
      </c>
      <c r="E545" s="1" t="n">
        <v>46299</v>
      </c>
      <c r="F545" t="inlineStr">
        <is>
          <t>VÄRMLANDS LÄN</t>
        </is>
      </c>
      <c r="G545" t="inlineStr">
        <is>
          <t>ARVIKA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46299</v>
      </c>
      <c r="F546" t="inlineStr">
        <is>
          <t>VÄRMLANDS LÄN</t>
        </is>
      </c>
      <c r="G546" t="inlineStr">
        <is>
          <t>ARVIKA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46114</v>
      </c>
      <c r="E547" s="1" t="n">
        <v>46299</v>
      </c>
      <c r="F547" t="inlineStr">
        <is>
          <t>VÄRMLANDS LÄN</t>
        </is>
      </c>
      <c r="G547" t="inlineStr">
        <is>
          <t>ARVIKA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45825</v>
      </c>
      <c r="E548" s="1" t="n">
        <v>46299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46299</v>
      </c>
      <c r="F549" t="inlineStr">
        <is>
          <t>VÄRMLANDS LÄN</t>
        </is>
      </c>
      <c r="G549" t="inlineStr">
        <is>
          <t>ARVIKA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59195-2025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46299</v>
      </c>
      <c r="F550" t="inlineStr">
        <is>
          <t>VÄRMLANDS LÄN</t>
        </is>
      </c>
      <c r="G550" t="inlineStr">
        <is>
          <t>ARVIKA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45366</v>
      </c>
      <c r="E551" s="1" t="n">
        <v>46299</v>
      </c>
      <c r="F551" t="inlineStr">
        <is>
          <t>VÄRMLANDS LÄN</t>
        </is>
      </c>
      <c r="G551" t="inlineStr">
        <is>
          <t>ARVIKA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46299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45202</v>
      </c>
      <c r="E553" s="1" t="n">
        <v>46299</v>
      </c>
      <c r="F553" t="inlineStr">
        <is>
          <t>VÄRMLANDS LÄN</t>
        </is>
      </c>
      <c r="G553" t="inlineStr">
        <is>
          <t>ARVIKA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46299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46299</v>
      </c>
      <c r="F555" t="inlineStr">
        <is>
          <t>VÄRMLANDS LÄN</t>
        </is>
      </c>
      <c r="G555" t="inlineStr">
        <is>
          <t>ARVIKA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46299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46299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60046-2025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45992</v>
      </c>
      <c r="E558" s="1" t="n">
        <v>46299</v>
      </c>
      <c r="F558" t="inlineStr">
        <is>
          <t>VÄRMLANDS LÄN</t>
        </is>
      </c>
      <c r="G558" t="inlineStr">
        <is>
          <t>ARVIKA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59943-2025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45993</v>
      </c>
      <c r="E559" s="1" t="n">
        <v>46299</v>
      </c>
      <c r="F559" t="inlineStr">
        <is>
          <t>VÄRMLANDS LÄN</t>
        </is>
      </c>
      <c r="G559" t="inlineStr">
        <is>
          <t>ARVIKA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29610-2025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45825</v>
      </c>
      <c r="E560" s="1" t="n">
        <v>46299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46299</v>
      </c>
      <c r="F561" t="inlineStr">
        <is>
          <t>VÄRMLANDS LÄN</t>
        </is>
      </c>
      <c r="G561" t="inlineStr">
        <is>
          <t>ARVIKA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46121</v>
      </c>
      <c r="E562" s="1" t="n">
        <v>46299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46121</v>
      </c>
      <c r="E563" s="1" t="n">
        <v>46299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58220-2023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45245</v>
      </c>
      <c r="E564" s="1" t="n">
        <v>46299</v>
      </c>
      <c r="F564" t="inlineStr">
        <is>
          <t>VÄRMLANDS LÄN</t>
        </is>
      </c>
      <c r="G564" t="inlineStr">
        <is>
          <t>ARVIKA</t>
        </is>
      </c>
      <c r="H564" t="inlineStr">
        <is>
          <t>Övriga Aktiebolag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7980-2025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45707</v>
      </c>
      <c r="E565" s="1" t="n">
        <v>46299</v>
      </c>
      <c r="F565" t="inlineStr">
        <is>
          <t>VÄRMLANDS LÄN</t>
        </is>
      </c>
      <c r="G565" t="inlineStr">
        <is>
          <t>ARVIKA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46123</v>
      </c>
      <c r="E566" s="1" t="n">
        <v>46299</v>
      </c>
      <c r="F566" t="inlineStr">
        <is>
          <t>VÄRMLANDS LÄN</t>
        </is>
      </c>
      <c r="G566" t="inlineStr">
        <is>
          <t>ARVIKA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46125</v>
      </c>
      <c r="E567" s="1" t="n">
        <v>46299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18368-2026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46126</v>
      </c>
      <c r="E568" s="1" t="n">
        <v>46299</v>
      </c>
      <c r="F568" t="inlineStr">
        <is>
          <t>VÄRMLANDS LÄN</t>
        </is>
      </c>
      <c r="G568" t="inlineStr">
        <is>
          <t>ARVIKA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46299</v>
      </c>
      <c r="F569" t="inlineStr">
        <is>
          <t>VÄRMLANDS LÄN</t>
        </is>
      </c>
      <c r="G569" t="inlineStr">
        <is>
          <t>ARVIKA</t>
        </is>
      </c>
      <c r="H569" t="inlineStr">
        <is>
          <t>Kyrkan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46125</v>
      </c>
      <c r="E570" s="1" t="n">
        <v>46299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50764-2022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44867</v>
      </c>
      <c r="E571" s="1" t="n">
        <v>46299</v>
      </c>
      <c r="F571" t="inlineStr">
        <is>
          <t>VÄRMLANDS LÄN</t>
        </is>
      </c>
      <c r="G571" t="inlineStr">
        <is>
          <t>ARVIKA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44741</v>
      </c>
      <c r="E572" s="1" t="n">
        <v>46299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60627-2025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45996</v>
      </c>
      <c r="E573" s="1" t="n">
        <v>46299</v>
      </c>
      <c r="F573" t="inlineStr">
        <is>
          <t>VÄRMLANDS LÄN</t>
        </is>
      </c>
      <c r="G573" t="inlineStr">
        <is>
          <t>ARVIKA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46299</v>
      </c>
      <c r="F574" t="inlineStr">
        <is>
          <t>VÄRMLANDS LÄN</t>
        </is>
      </c>
      <c r="G574" t="inlineStr">
        <is>
          <t>ARVIKA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46299</v>
      </c>
      <c r="F575" t="inlineStr">
        <is>
          <t>VÄRMLANDS LÄN</t>
        </is>
      </c>
      <c r="G575" t="inlineStr">
        <is>
          <t>ARVIKA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46129</v>
      </c>
      <c r="E576" s="1" t="n">
        <v>46299</v>
      </c>
      <c r="F576" t="inlineStr">
        <is>
          <t>VÄRMLANDS LÄN</t>
        </is>
      </c>
      <c r="G576" t="inlineStr">
        <is>
          <t>ARVIKA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19720-2023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46299</v>
      </c>
      <c r="F577" t="inlineStr">
        <is>
          <t>VÄRMLANDS LÄN</t>
        </is>
      </c>
      <c r="G577" t="inlineStr">
        <is>
          <t>ARVIKA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61246-2025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46299</v>
      </c>
      <c r="F578" t="inlineStr">
        <is>
          <t>VÄRMLANDS LÄN</t>
        </is>
      </c>
      <c r="G578" t="inlineStr">
        <is>
          <t>ARVIKA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46127</v>
      </c>
      <c r="E579" s="1" t="n">
        <v>46299</v>
      </c>
      <c r="F579" t="inlineStr">
        <is>
          <t>VÄRMLANDS LÄN</t>
        </is>
      </c>
      <c r="G579" t="inlineStr">
        <is>
          <t>ARVIKA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19205-2026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46132</v>
      </c>
      <c r="E580" s="1" t="n">
        <v>46299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39835-2022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44819</v>
      </c>
      <c r="E581" s="1" t="n">
        <v>46299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45007</v>
      </c>
      <c r="E582" s="1" t="n">
        <v>46299</v>
      </c>
      <c r="F582" t="inlineStr">
        <is>
          <t>VÄRMLANDS LÄN</t>
        </is>
      </c>
      <c r="G582" t="inlineStr">
        <is>
          <t>ARVIKA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46299</v>
      </c>
      <c r="F583" t="inlineStr">
        <is>
          <t>VÄRMLANDS LÄN</t>
        </is>
      </c>
      <c r="G583" t="inlineStr">
        <is>
          <t>ARVIKA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46299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46299</v>
      </c>
      <c r="F585" t="inlineStr">
        <is>
          <t>VÄRMLANDS LÄN</t>
        </is>
      </c>
      <c r="G585" t="inlineStr">
        <is>
          <t>ARVIKA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46299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46299</v>
      </c>
      <c r="F587" t="inlineStr">
        <is>
          <t>VÄRMLANDS LÄN</t>
        </is>
      </c>
      <c r="G587" t="inlineStr">
        <is>
          <t>ARVIKA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46299</v>
      </c>
      <c r="F588" t="inlineStr">
        <is>
          <t>VÄRMLANDS LÄN</t>
        </is>
      </c>
      <c r="G588" t="inlineStr">
        <is>
          <t>ARVIKA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46299</v>
      </c>
      <c r="F589" t="inlineStr">
        <is>
          <t>VÄRMLANDS LÄN</t>
        </is>
      </c>
      <c r="G589" t="inlineStr">
        <is>
          <t>ARVIKA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46299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46299</v>
      </c>
      <c r="F591" t="inlineStr">
        <is>
          <t>VÄRMLANDS LÄN</t>
        </is>
      </c>
      <c r="G591" t="inlineStr">
        <is>
          <t>ARVIKA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46299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46299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46135</v>
      </c>
      <c r="E594" s="1" t="n">
        <v>46299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46299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46299</v>
      </c>
      <c r="F596" t="inlineStr">
        <is>
          <t>VÄRMLANDS LÄN</t>
        </is>
      </c>
      <c r="G596" t="inlineStr">
        <is>
          <t>ARVIKA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46299</v>
      </c>
      <c r="F597" t="inlineStr">
        <is>
          <t>VÄRMLANDS LÄN</t>
        </is>
      </c>
      <c r="G597" t="inlineStr">
        <is>
          <t>ARVIKA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46299</v>
      </c>
      <c r="F598" t="inlineStr">
        <is>
          <t>VÄRMLANDS LÄN</t>
        </is>
      </c>
      <c r="G598" t="inlineStr">
        <is>
          <t>ARVIKA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45835</v>
      </c>
      <c r="E599" s="1" t="n">
        <v>46299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46299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31689-2025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45834</v>
      </c>
      <c r="E601" s="1" t="n">
        <v>46299</v>
      </c>
      <c r="F601" t="inlineStr">
        <is>
          <t>VÄRMLANDS LÄN</t>
        </is>
      </c>
      <c r="G601" t="inlineStr">
        <is>
          <t>ARVIKA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46299</v>
      </c>
      <c r="F602" t="inlineStr">
        <is>
          <t>VÄRMLANDS LÄN</t>
        </is>
      </c>
      <c r="G602" t="inlineStr">
        <is>
          <t>ARVIKA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45483</v>
      </c>
      <c r="E603" s="1" t="n">
        <v>46299</v>
      </c>
      <c r="F603" t="inlineStr">
        <is>
          <t>VÄRMLANDS LÄN</t>
        </is>
      </c>
      <c r="G603" t="inlineStr">
        <is>
          <t>ARVIKA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46299</v>
      </c>
      <c r="F604" t="inlineStr">
        <is>
          <t>VÄRMLANDS LÄN</t>
        </is>
      </c>
      <c r="G604" t="inlineStr">
        <is>
          <t>ARVIKA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46299</v>
      </c>
      <c r="F605" t="inlineStr">
        <is>
          <t>VÄRMLANDS LÄN</t>
        </is>
      </c>
      <c r="G605" t="inlineStr">
        <is>
          <t>ARVIKA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46299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45838</v>
      </c>
      <c r="E607" s="1" t="n">
        <v>46299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46299</v>
      </c>
      <c r="F608" t="inlineStr">
        <is>
          <t>VÄRMLANDS LÄN</t>
        </is>
      </c>
      <c r="G608" t="inlineStr">
        <is>
          <t>ARVIKA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45232</v>
      </c>
      <c r="E609" s="1" t="n">
        <v>46299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32453-2025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46299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46299</v>
      </c>
      <c r="F611" t="inlineStr">
        <is>
          <t>VÄRMLANDS LÄN</t>
        </is>
      </c>
      <c r="G611" t="inlineStr">
        <is>
          <t>ARVIKA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47540-2024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45587</v>
      </c>
      <c r="E612" s="1" t="n">
        <v>46299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45677</v>
      </c>
      <c r="E613" s="1" t="n">
        <v>46299</v>
      </c>
      <c r="F613" t="inlineStr">
        <is>
          <t>VÄRMLANDS LÄN</t>
        </is>
      </c>
      <c r="G613" t="inlineStr">
        <is>
          <t>ARVIKA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48650-2025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45936</v>
      </c>
      <c r="E614" s="1" t="n">
        <v>46299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45485</v>
      </c>
      <c r="E615" s="1" t="n">
        <v>46299</v>
      </c>
      <c r="F615" t="inlineStr">
        <is>
          <t>VÄRMLANDS LÄN</t>
        </is>
      </c>
      <c r="G615" t="inlineStr">
        <is>
          <t>ARVIKA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38666-2024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45547</v>
      </c>
      <c r="E616" s="1" t="n">
        <v>46299</v>
      </c>
      <c r="F616" t="inlineStr">
        <is>
          <t>VÄRMLANDS LÄN</t>
        </is>
      </c>
      <c r="G616" t="inlineStr">
        <is>
          <t>ARVIKA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9857-2022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44620</v>
      </c>
      <c r="E617" s="1" t="n">
        <v>46299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45672</v>
      </c>
      <c r="E618" s="1" t="n">
        <v>46299</v>
      </c>
      <c r="F618" t="inlineStr">
        <is>
          <t>VÄRMLANDS LÄN</t>
        </is>
      </c>
      <c r="G618" t="inlineStr">
        <is>
          <t>ARVIKA</t>
        </is>
      </c>
      <c r="I618" t="n">
        <v>16.2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45411</v>
      </c>
      <c r="E619" s="1" t="n">
        <v>46299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33575-2025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45841</v>
      </c>
      <c r="E620" s="1" t="n">
        <v>46299</v>
      </c>
      <c r="F620" t="inlineStr">
        <is>
          <t>VÄRMLANDS LÄN</t>
        </is>
      </c>
      <c r="G620" t="inlineStr">
        <is>
          <t>ARVIKA</t>
        </is>
      </c>
      <c r="I620" t="n">
        <v>14.3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46299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46299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62169-2024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46299</v>
      </c>
      <c r="F623" t="inlineStr">
        <is>
          <t>VÄRMLANDS LÄN</t>
        </is>
      </c>
      <c r="G623" t="inlineStr">
        <is>
          <t>ARVIKA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44270-2022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44839</v>
      </c>
      <c r="E624" s="1" t="n">
        <v>46299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45841</v>
      </c>
      <c r="E625" s="1" t="n">
        <v>46299</v>
      </c>
      <c r="F625" t="inlineStr">
        <is>
          <t>VÄRMLANDS LÄN</t>
        </is>
      </c>
      <c r="G625" t="inlineStr">
        <is>
          <t>ARVIKA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45790</v>
      </c>
      <c r="E626" s="1" t="n">
        <v>46299</v>
      </c>
      <c r="F626" t="inlineStr">
        <is>
          <t>VÄRMLANDS LÄN</t>
        </is>
      </c>
      <c r="G626" t="inlineStr">
        <is>
          <t>ARVIKA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45995</v>
      </c>
      <c r="E627" s="1" t="n">
        <v>46299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19932-2024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45433</v>
      </c>
      <c r="E628" s="1" t="n">
        <v>46299</v>
      </c>
      <c r="F628" t="inlineStr">
        <is>
          <t>VÄRMLANDS LÄN</t>
        </is>
      </c>
      <c r="G628" t="inlineStr">
        <is>
          <t>ARVIKA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45842</v>
      </c>
      <c r="E629" s="1" t="n">
        <v>46299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46299</v>
      </c>
      <c r="F630" t="inlineStr">
        <is>
          <t>VÄRMLANDS LÄN</t>
        </is>
      </c>
      <c r="G630" t="inlineStr">
        <is>
          <t>ARVIKA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8061-2025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45707</v>
      </c>
      <c r="E631" s="1" t="n">
        <v>46299</v>
      </c>
      <c r="F631" t="inlineStr">
        <is>
          <t>VÄRMLANDS LÄN</t>
        </is>
      </c>
      <c r="G631" t="inlineStr">
        <is>
          <t>ARVIKA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53188-2025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45958</v>
      </c>
      <c r="E632" s="1" t="n">
        <v>46299</v>
      </c>
      <c r="F632" t="inlineStr">
        <is>
          <t>VÄRMLANDS LÄN</t>
        </is>
      </c>
      <c r="G632" t="inlineStr">
        <is>
          <t>ARVIKA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46299</v>
      </c>
      <c r="F633" t="inlineStr">
        <is>
          <t>VÄRMLANDS LÄN</t>
        </is>
      </c>
      <c r="G633" t="inlineStr">
        <is>
          <t>ARVIKA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53301-2025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45959</v>
      </c>
      <c r="E634" s="1" t="n">
        <v>46299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23061-2022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44718</v>
      </c>
      <c r="E635" s="1" t="n">
        <v>46299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34316-2025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45846</v>
      </c>
      <c r="E636" s="1" t="n">
        <v>46299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14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45680</v>
      </c>
      <c r="E637" s="1" t="n">
        <v>46299</v>
      </c>
      <c r="F637" t="inlineStr">
        <is>
          <t>VÄRMLANDS LÄN</t>
        </is>
      </c>
      <c r="G637" t="inlineStr">
        <is>
          <t>ARVIKA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46299</v>
      </c>
      <c r="F638" t="inlineStr">
        <is>
          <t>VÄRMLANDS LÄN</t>
        </is>
      </c>
      <c r="G638" t="inlineStr">
        <is>
          <t>ARVIKA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22041-2025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45785</v>
      </c>
      <c r="E639" s="1" t="n">
        <v>46299</v>
      </c>
      <c r="F639" t="inlineStr">
        <is>
          <t>VÄRMLANDS LÄN</t>
        </is>
      </c>
      <c r="G639" t="inlineStr">
        <is>
          <t>ARVIKA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45713</v>
      </c>
      <c r="E640" s="1" t="n">
        <v>46299</v>
      </c>
      <c r="F640" t="inlineStr">
        <is>
          <t>VÄRMLANDS LÄN</t>
        </is>
      </c>
      <c r="G640" t="inlineStr">
        <is>
          <t>ARVIKA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54041-2025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45963</v>
      </c>
      <c r="E641" s="1" t="n">
        <v>46299</v>
      </c>
      <c r="F641" t="inlineStr">
        <is>
          <t>VÄRMLANDS LÄN</t>
        </is>
      </c>
      <c r="G641" t="inlineStr">
        <is>
          <t>ARVIKA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34369-2025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45846</v>
      </c>
      <c r="E642" s="1" t="n">
        <v>46299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34285-2025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45846</v>
      </c>
      <c r="E643" s="1" t="n">
        <v>46299</v>
      </c>
      <c r="F643" t="inlineStr">
        <is>
          <t>VÄRMLANDS LÄN</t>
        </is>
      </c>
      <c r="G643" t="inlineStr">
        <is>
          <t>ARVIKA</t>
        </is>
      </c>
      <c r="H643" t="inlineStr">
        <is>
          <t>Bergvik skog väst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45762</v>
      </c>
      <c r="E644" s="1" t="n">
        <v>46299</v>
      </c>
      <c r="F644" t="inlineStr">
        <is>
          <t>VÄRMLANDS LÄN</t>
        </is>
      </c>
      <c r="G644" t="inlineStr">
        <is>
          <t>ARVIKA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45846</v>
      </c>
      <c r="E645" s="1" t="n">
        <v>46299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45692</v>
      </c>
      <c r="E646" s="1" t="n">
        <v>46299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22714-2025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45788</v>
      </c>
      <c r="E647" s="1" t="n">
        <v>46299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31083-2023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45113</v>
      </c>
      <c r="E648" s="1" t="n">
        <v>46299</v>
      </c>
      <c r="F648" t="inlineStr">
        <is>
          <t>VÄRMLANDS LÄN</t>
        </is>
      </c>
      <c r="G648" t="inlineStr">
        <is>
          <t>ARVIKA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61865-2024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45651</v>
      </c>
      <c r="E649" s="1" t="n">
        <v>46299</v>
      </c>
      <c r="F649" t="inlineStr">
        <is>
          <t>VÄRMLANDS LÄN</t>
        </is>
      </c>
      <c r="G649" t="inlineStr">
        <is>
          <t>ARVIKA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43935-2024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45572</v>
      </c>
      <c r="E650" s="1" t="n">
        <v>46299</v>
      </c>
      <c r="F650" t="inlineStr">
        <is>
          <t>VÄRMLANDS LÄN</t>
        </is>
      </c>
      <c r="G650" t="inlineStr">
        <is>
          <t>ARVIKA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46299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29615-2025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46299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61866-2024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45651</v>
      </c>
      <c r="E653" s="1" t="n">
        <v>46299</v>
      </c>
      <c r="F653" t="inlineStr">
        <is>
          <t>VÄRMLANDS LÄN</t>
        </is>
      </c>
      <c r="G653" t="inlineStr">
        <is>
          <t>ARVIKA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46299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44978</v>
      </c>
      <c r="E655" s="1" t="n">
        <v>46299</v>
      </c>
      <c r="F655" t="inlineStr">
        <is>
          <t>VÄRMLANDS LÄN</t>
        </is>
      </c>
      <c r="G655" t="inlineStr">
        <is>
          <t>ARVIKA</t>
        </is>
      </c>
      <c r="H655" t="inlineStr">
        <is>
          <t>Kyrkan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46299</v>
      </c>
      <c r="F656" t="inlineStr">
        <is>
          <t>VÄRMLANDS LÄN</t>
        </is>
      </c>
      <c r="G656" t="inlineStr">
        <is>
          <t>ARVIKA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47812-2025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45932</v>
      </c>
      <c r="E657" s="1" t="n">
        <v>46299</v>
      </c>
      <c r="F657" t="inlineStr">
        <is>
          <t>VÄRMLANDS LÄN</t>
        </is>
      </c>
      <c r="G657" t="inlineStr">
        <is>
          <t>ARVIKA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39073-2022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44817</v>
      </c>
      <c r="E658" s="1" t="n">
        <v>46299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45855</v>
      </c>
      <c r="E659" s="1" t="n">
        <v>46299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45854</v>
      </c>
      <c r="E660" s="1" t="n">
        <v>46299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66226-2021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44518</v>
      </c>
      <c r="E661" s="1" t="n">
        <v>46299</v>
      </c>
      <c r="F661" t="inlineStr">
        <is>
          <t>VÄRMLANDS LÄN</t>
        </is>
      </c>
      <c r="G661" t="inlineStr">
        <is>
          <t>ARVIKA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45206</v>
      </c>
      <c r="E662" s="1" t="n">
        <v>46299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41203-2024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46299</v>
      </c>
      <c r="F663" t="inlineStr">
        <is>
          <t>VÄRMLANDS LÄN</t>
        </is>
      </c>
      <c r="G663" t="inlineStr">
        <is>
          <t>ARVIKA</t>
        </is>
      </c>
      <c r="H663" t="inlineStr">
        <is>
          <t>Kommuner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9285-2023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46299</v>
      </c>
      <c r="F664" t="inlineStr">
        <is>
          <t>VÄRMLANDS LÄN</t>
        </is>
      </c>
      <c r="G664" t="inlineStr">
        <is>
          <t>ARVIKA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46299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45785</v>
      </c>
      <c r="E666" s="1" t="n">
        <v>46299</v>
      </c>
      <c r="F666" t="inlineStr">
        <is>
          <t>VÄRMLANDS LÄN</t>
        </is>
      </c>
      <c r="G666" t="inlineStr">
        <is>
          <t>ARVIKA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27160-2025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46299</v>
      </c>
      <c r="F667" t="inlineStr">
        <is>
          <t>VÄRMLANDS LÄN</t>
        </is>
      </c>
      <c r="G667" t="inlineStr">
        <is>
          <t>ARVIKA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4195-2024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46299</v>
      </c>
      <c r="F668" t="inlineStr">
        <is>
          <t>VÄRMLANDS LÄN</t>
        </is>
      </c>
      <c r="G668" t="inlineStr">
        <is>
          <t>ARVIKA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9916-2023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44985</v>
      </c>
      <c r="E669" s="1" t="n">
        <v>46299</v>
      </c>
      <c r="F669" t="inlineStr">
        <is>
          <t>VÄRMLANDS LÄN</t>
        </is>
      </c>
      <c r="G669" t="inlineStr">
        <is>
          <t>ARVIKA</t>
        </is>
      </c>
      <c r="I669" t="n">
        <v>10.8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32009-2022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44778</v>
      </c>
      <c r="E670" s="1" t="n">
        <v>46299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45538</v>
      </c>
      <c r="E671" s="1" t="n">
        <v>46299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46299</v>
      </c>
      <c r="F672" t="inlineStr">
        <is>
          <t>VÄRMLANDS LÄN</t>
        </is>
      </c>
      <c r="G672" t="inlineStr">
        <is>
          <t>ARVIKA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45300</v>
      </c>
      <c r="E673" s="1" t="n">
        <v>46299</v>
      </c>
      <c r="F673" t="inlineStr">
        <is>
          <t>VÄRMLANDS LÄN</t>
        </is>
      </c>
      <c r="G673" t="inlineStr">
        <is>
          <t>ARVIKA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45817</v>
      </c>
      <c r="E674" s="1" t="n">
        <v>46299</v>
      </c>
      <c r="F674" t="inlineStr">
        <is>
          <t>VÄRMLANDS LÄN</t>
        </is>
      </c>
      <c r="G674" t="inlineStr">
        <is>
          <t>ARVIKA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14829-2022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44656</v>
      </c>
      <c r="E675" s="1" t="n">
        <v>46299</v>
      </c>
      <c r="F675" t="inlineStr">
        <is>
          <t>VÄRMLANDS LÄN</t>
        </is>
      </c>
      <c r="G675" t="inlineStr">
        <is>
          <t>ARVIKA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27708-2025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46299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45711</v>
      </c>
      <c r="E677" s="1" t="n">
        <v>46299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29156-2025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45821</v>
      </c>
      <c r="E678" s="1" t="n">
        <v>46299</v>
      </c>
      <c r="F678" t="inlineStr">
        <is>
          <t>VÄRMLANDS LÄN</t>
        </is>
      </c>
      <c r="G678" t="inlineStr">
        <is>
          <t>ARVIKA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61908-2022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44917</v>
      </c>
      <c r="E679" s="1" t="n">
        <v>46299</v>
      </c>
      <c r="F679" t="inlineStr">
        <is>
          <t>VÄRMLANDS LÄN</t>
        </is>
      </c>
      <c r="G679" t="inlineStr">
        <is>
          <t>ARVIKA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62485-2022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44924</v>
      </c>
      <c r="E680" s="1" t="n">
        <v>46299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46299</v>
      </c>
      <c r="F681" t="inlineStr">
        <is>
          <t>VÄRMLANDS LÄN</t>
        </is>
      </c>
      <c r="G681" t="inlineStr">
        <is>
          <t>ARVIKA</t>
        </is>
      </c>
      <c r="I681" t="n">
        <v>38.7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46299</v>
      </c>
      <c r="F682" t="inlineStr">
        <is>
          <t>VÄRMLANDS LÄN</t>
        </is>
      </c>
      <c r="G682" t="inlineStr">
        <is>
          <t>ARVIKA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33641-2024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46299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45703</v>
      </c>
      <c r="E684" s="1" t="n">
        <v>46299</v>
      </c>
      <c r="F684" t="inlineStr">
        <is>
          <t>VÄRMLANDS LÄN</t>
        </is>
      </c>
      <c r="G684" t="inlineStr">
        <is>
          <t>ARVIKA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35250-2025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45853</v>
      </c>
      <c r="E685" s="1" t="n">
        <v>46299</v>
      </c>
      <c r="F685" t="inlineStr">
        <is>
          <t>VÄRMLANDS LÄN</t>
        </is>
      </c>
      <c r="G685" t="inlineStr">
        <is>
          <t>ARVIKA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11969-2025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45728</v>
      </c>
      <c r="E686" s="1" t="n">
        <v>46299</v>
      </c>
      <c r="F686" t="inlineStr">
        <is>
          <t>VÄRMLANDS LÄN</t>
        </is>
      </c>
      <c r="G686" t="inlineStr">
        <is>
          <t>ARVIKA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45856</v>
      </c>
      <c r="E687" s="1" t="n">
        <v>46299</v>
      </c>
      <c r="F687" t="inlineStr">
        <is>
          <t>VÄRMLANDS LÄN</t>
        </is>
      </c>
      <c r="G687" t="inlineStr">
        <is>
          <t>ARVIKA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46299</v>
      </c>
      <c r="F688" t="inlineStr">
        <is>
          <t>VÄRMLANDS LÄN</t>
        </is>
      </c>
      <c r="G688" t="inlineStr">
        <is>
          <t>ARVIKA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51075-2025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45946</v>
      </c>
      <c r="E689" s="1" t="n">
        <v>46299</v>
      </c>
      <c r="F689" t="inlineStr">
        <is>
          <t>VÄRMLANDS LÄN</t>
        </is>
      </c>
      <c r="G689" t="inlineStr">
        <is>
          <t>ARVIKA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44005-2023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46299</v>
      </c>
      <c r="F690" t="inlineStr">
        <is>
          <t>VÄRMLANDS LÄN</t>
        </is>
      </c>
      <c r="G690" t="inlineStr">
        <is>
          <t>ARVIKA</t>
        </is>
      </c>
      <c r="I690" t="n">
        <v>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46299</v>
      </c>
      <c r="F691" t="inlineStr">
        <is>
          <t>VÄRMLANDS LÄN</t>
        </is>
      </c>
      <c r="G691" t="inlineStr">
        <is>
          <t>ARVIKA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14478-2025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45741</v>
      </c>
      <c r="E692" s="1" t="n">
        <v>46299</v>
      </c>
      <c r="F692" t="inlineStr">
        <is>
          <t>VÄRMLANDS LÄN</t>
        </is>
      </c>
      <c r="G692" t="inlineStr">
        <is>
          <t>ARVIKA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44979</v>
      </c>
      <c r="E693" s="1" t="n">
        <v>46299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46299</v>
      </c>
      <c r="F694" t="inlineStr">
        <is>
          <t>VÄRMLANDS LÄN</t>
        </is>
      </c>
      <c r="G694" t="inlineStr">
        <is>
          <t>ARVIKA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46299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41713-2025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45902</v>
      </c>
      <c r="E696" s="1" t="n">
        <v>46299</v>
      </c>
      <c r="F696" t="inlineStr">
        <is>
          <t>VÄRMLANDS LÄN</t>
        </is>
      </c>
      <c r="G696" t="inlineStr">
        <is>
          <t>ARVIKA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46299</v>
      </c>
      <c r="F697" t="inlineStr">
        <is>
          <t>VÄRMLANDS LÄN</t>
        </is>
      </c>
      <c r="G697" t="inlineStr">
        <is>
          <t>ARVIKA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46299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45786</v>
      </c>
      <c r="E699" s="1" t="n">
        <v>46299</v>
      </c>
      <c r="F699" t="inlineStr">
        <is>
          <t>VÄRMLANDS LÄN</t>
        </is>
      </c>
      <c r="G699" t="inlineStr">
        <is>
          <t>ARVIKA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26321-2023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45091</v>
      </c>
      <c r="E700" s="1" t="n">
        <v>46299</v>
      </c>
      <c r="F700" t="inlineStr">
        <is>
          <t>VÄRMLANDS LÄN</t>
        </is>
      </c>
      <c r="G700" t="inlineStr">
        <is>
          <t>ARVIKA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26324-2023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45091</v>
      </c>
      <c r="E701" s="1" t="n">
        <v>46299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45659</v>
      </c>
      <c r="E702" s="1" t="n">
        <v>46299</v>
      </c>
      <c r="F702" t="inlineStr">
        <is>
          <t>VÄRMLANDS LÄN</t>
        </is>
      </c>
      <c r="G702" t="inlineStr">
        <is>
          <t>ARVIKA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25954-2023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45090</v>
      </c>
      <c r="E703" s="1" t="n">
        <v>46299</v>
      </c>
      <c r="F703" t="inlineStr">
        <is>
          <t>VÄRMLANDS LÄN</t>
        </is>
      </c>
      <c r="G703" t="inlineStr">
        <is>
          <t>ARVIKA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45861</v>
      </c>
      <c r="E704" s="1" t="n">
        <v>46299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7.5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45121</v>
      </c>
      <c r="E705" s="1" t="n">
        <v>46299</v>
      </c>
      <c r="F705" t="inlineStr">
        <is>
          <t>VÄRMLANDS LÄN</t>
        </is>
      </c>
      <c r="G705" t="inlineStr">
        <is>
          <t>ARVIKA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45884</v>
      </c>
      <c r="E706" s="1" t="n">
        <v>46299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19928-2024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45433</v>
      </c>
      <c r="E707" s="1" t="n">
        <v>46299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19930-2024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45433</v>
      </c>
      <c r="E708" s="1" t="n">
        <v>46299</v>
      </c>
      <c r="F708" t="inlineStr">
        <is>
          <t>VÄRMLANDS LÄN</t>
        </is>
      </c>
      <c r="G708" t="inlineStr">
        <is>
          <t>ARVIKA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74330-2021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44559</v>
      </c>
      <c r="E709" s="1" t="n">
        <v>46299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45874</v>
      </c>
      <c r="E710" s="1" t="n">
        <v>46299</v>
      </c>
      <c r="F710" t="inlineStr">
        <is>
          <t>VÄRMLANDS LÄN</t>
        </is>
      </c>
      <c r="G710" t="inlineStr">
        <is>
          <t>ARVIKA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41712-2025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45902</v>
      </c>
      <c r="E711" s="1" t="n">
        <v>46299</v>
      </c>
      <c r="F711" t="inlineStr">
        <is>
          <t>VÄRMLANDS LÄN</t>
        </is>
      </c>
      <c r="G711" t="inlineStr">
        <is>
          <t>ARVIKA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45786</v>
      </c>
      <c r="E712" s="1" t="n">
        <v>46299</v>
      </c>
      <c r="F712" t="inlineStr">
        <is>
          <t>VÄRMLANDS LÄN</t>
        </is>
      </c>
      <c r="G712" t="inlineStr">
        <is>
          <t>ARVIKA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60998-2024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45645</v>
      </c>
      <c r="E713" s="1" t="n">
        <v>46299</v>
      </c>
      <c r="F713" t="inlineStr">
        <is>
          <t>VÄRMLANDS LÄN</t>
        </is>
      </c>
      <c r="G713" t="inlineStr">
        <is>
          <t>ARVIKA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59172-2025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45988</v>
      </c>
      <c r="E714" s="1" t="n">
        <v>46299</v>
      </c>
      <c r="F714" t="inlineStr">
        <is>
          <t>VÄRMLANDS LÄN</t>
        </is>
      </c>
      <c r="G714" t="inlineStr">
        <is>
          <t>ARVIKA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60059-2022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44909</v>
      </c>
      <c r="E715" s="1" t="n">
        <v>46299</v>
      </c>
      <c r="F715" t="inlineStr">
        <is>
          <t>VÄRMLANDS LÄN</t>
        </is>
      </c>
      <c r="G715" t="inlineStr">
        <is>
          <t>ARVIKA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59100-2024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45637</v>
      </c>
      <c r="E716" s="1" t="n">
        <v>46299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7198-2024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45344</v>
      </c>
      <c r="E717" s="1" t="n">
        <v>46299</v>
      </c>
      <c r="F717" t="inlineStr">
        <is>
          <t>VÄRMLANDS LÄN</t>
        </is>
      </c>
      <c r="G717" t="inlineStr">
        <is>
          <t>ARVIKA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5072-2025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45691</v>
      </c>
      <c r="E718" s="1" t="n">
        <v>46299</v>
      </c>
      <c r="F718" t="inlineStr">
        <is>
          <t>VÄRMLANDS LÄN</t>
        </is>
      </c>
      <c r="G718" t="inlineStr">
        <is>
          <t>ARVIKA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36042-2025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45866</v>
      </c>
      <c r="E719" s="1" t="n">
        <v>46299</v>
      </c>
      <c r="F719" t="inlineStr">
        <is>
          <t>VÄRMLANDS LÄN</t>
        </is>
      </c>
      <c r="G719" t="inlineStr">
        <is>
          <t>ARVIKA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26090-2022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44734</v>
      </c>
      <c r="E720" s="1" t="n">
        <v>46299</v>
      </c>
      <c r="F720" t="inlineStr">
        <is>
          <t>VÄRMLANDS LÄN</t>
        </is>
      </c>
      <c r="G720" t="inlineStr">
        <is>
          <t>ARVIKA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14780-2024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45397</v>
      </c>
      <c r="E721" s="1" t="n">
        <v>46299</v>
      </c>
      <c r="F721" t="inlineStr">
        <is>
          <t>VÄRMLANDS LÄN</t>
        </is>
      </c>
      <c r="G721" t="inlineStr">
        <is>
          <t>ARVIKA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46299</v>
      </c>
      <c r="F722" t="inlineStr">
        <is>
          <t>VÄRMLANDS LÄN</t>
        </is>
      </c>
      <c r="G722" t="inlineStr">
        <is>
          <t>ARVIKA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45513</v>
      </c>
      <c r="E723" s="1" t="n">
        <v>46299</v>
      </c>
      <c r="F723" t="inlineStr">
        <is>
          <t>VÄRMLANDS LÄN</t>
        </is>
      </c>
      <c r="G723" t="inlineStr">
        <is>
          <t>ARVIKA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4997-2025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45691</v>
      </c>
      <c r="E724" s="1" t="n">
        <v>46299</v>
      </c>
      <c r="F724" t="inlineStr">
        <is>
          <t>VÄRMLANDS LÄN</t>
        </is>
      </c>
      <c r="G724" t="inlineStr">
        <is>
          <t>ARVIKA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17142-2025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45755</v>
      </c>
      <c r="E725" s="1" t="n">
        <v>46299</v>
      </c>
      <c r="F725" t="inlineStr">
        <is>
          <t>VÄRMLANDS LÄN</t>
        </is>
      </c>
      <c r="G725" t="inlineStr">
        <is>
          <t>ARVIKA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54652-2024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45618</v>
      </c>
      <c r="E726" s="1" t="n">
        <v>46299</v>
      </c>
      <c r="F726" t="inlineStr">
        <is>
          <t>VÄRMLANDS LÄN</t>
        </is>
      </c>
      <c r="G726" t="inlineStr">
        <is>
          <t>ARVIKA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20716-2026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46299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20725-2026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46141</v>
      </c>
      <c r="E728" s="1" t="n">
        <v>46299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41127-2024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45559</v>
      </c>
      <c r="E729" s="1" t="n">
        <v>46299</v>
      </c>
      <c r="F729" t="inlineStr">
        <is>
          <t>VÄRMLANDS LÄN</t>
        </is>
      </c>
      <c r="G729" t="inlineStr">
        <is>
          <t>ARVIKA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45660</v>
      </c>
      <c r="E730" s="1" t="n">
        <v>46299</v>
      </c>
      <c r="F730" t="inlineStr">
        <is>
          <t>VÄRMLANDS LÄN</t>
        </is>
      </c>
      <c r="G730" t="inlineStr">
        <is>
          <t>ARVIKA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36466-2025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45869</v>
      </c>
      <c r="E731" s="1" t="n">
        <v>46299</v>
      </c>
      <c r="F731" t="inlineStr">
        <is>
          <t>VÄRMLANDS LÄN</t>
        </is>
      </c>
      <c r="G731" t="inlineStr">
        <is>
          <t>ARVIKA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40033-2023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45168</v>
      </c>
      <c r="E732" s="1" t="n">
        <v>46299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27712-2025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45813</v>
      </c>
      <c r="E733" s="1" t="n">
        <v>46299</v>
      </c>
      <c r="F733" t="inlineStr">
        <is>
          <t>VÄRMLANDS LÄN</t>
        </is>
      </c>
      <c r="G733" t="inlineStr">
        <is>
          <t>ARVIKA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46299</v>
      </c>
      <c r="F734" t="inlineStr">
        <is>
          <t>VÄRMLANDS LÄN</t>
        </is>
      </c>
      <c r="G734" t="inlineStr">
        <is>
          <t>ARVIKA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36431-2025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45869</v>
      </c>
      <c r="E735" s="1" t="n">
        <v>46299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46299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11696-2026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46299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9574-2024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45360</v>
      </c>
      <c r="E738" s="1" t="n">
        <v>46299</v>
      </c>
      <c r="F738" t="inlineStr">
        <is>
          <t>VÄRMLANDS LÄN</t>
        </is>
      </c>
      <c r="G738" t="inlineStr">
        <is>
          <t>ARVIKA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45296</v>
      </c>
      <c r="E739" s="1" t="n">
        <v>46299</v>
      </c>
      <c r="F739" t="inlineStr">
        <is>
          <t>VÄRMLANDS LÄN</t>
        </is>
      </c>
      <c r="G739" t="inlineStr">
        <is>
          <t>ARVIKA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45971-2024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45580</v>
      </c>
      <c r="E740" s="1" t="n">
        <v>46299</v>
      </c>
      <c r="F740" t="inlineStr">
        <is>
          <t>VÄRMLANDS LÄN</t>
        </is>
      </c>
      <c r="G740" t="inlineStr">
        <is>
          <t>ARVIKA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45124</v>
      </c>
      <c r="E741" s="1" t="n">
        <v>46299</v>
      </c>
      <c r="F741" t="inlineStr">
        <is>
          <t>VÄRMLANDS LÄN</t>
        </is>
      </c>
      <c r="G741" t="inlineStr">
        <is>
          <t>ARVIKA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29494-2024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45484</v>
      </c>
      <c r="E742" s="1" t="n">
        <v>46299</v>
      </c>
      <c r="F742" t="inlineStr">
        <is>
          <t>VÄRMLANDS LÄN</t>
        </is>
      </c>
      <c r="G742" t="inlineStr">
        <is>
          <t>ARVIKA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44900</v>
      </c>
      <c r="E743" s="1" t="n">
        <v>46299</v>
      </c>
      <c r="F743" t="inlineStr">
        <is>
          <t>VÄRMLANDS LÄN</t>
        </is>
      </c>
      <c r="G743" t="inlineStr">
        <is>
          <t>ARVIKA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54158-2024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45616</v>
      </c>
      <c r="E744" s="1" t="n">
        <v>46299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7.4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33885-2024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45523</v>
      </c>
      <c r="E745" s="1" t="n">
        <v>46299</v>
      </c>
      <c r="F745" t="inlineStr">
        <is>
          <t>VÄRMLANDS LÄN</t>
        </is>
      </c>
      <c r="G745" t="inlineStr">
        <is>
          <t>ARVIKA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45180</v>
      </c>
      <c r="E746" s="1" t="n">
        <v>46299</v>
      </c>
      <c r="F746" t="inlineStr">
        <is>
          <t>VÄRMLANDS LÄN</t>
        </is>
      </c>
      <c r="G746" t="inlineStr">
        <is>
          <t>ARVIKA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27153-2024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45471</v>
      </c>
      <c r="E747" s="1" t="n">
        <v>46299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58399-2022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44901</v>
      </c>
      <c r="E748" s="1" t="n">
        <v>46299</v>
      </c>
      <c r="F748" t="inlineStr">
        <is>
          <t>VÄRMLANDS LÄN</t>
        </is>
      </c>
      <c r="G748" t="inlineStr">
        <is>
          <t>ARVIKA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18082-2024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45420</v>
      </c>
      <c r="E749" s="1" t="n">
        <v>46299</v>
      </c>
      <c r="F749" t="inlineStr">
        <is>
          <t>VÄRMLANDS LÄN</t>
        </is>
      </c>
      <c r="G749" t="inlineStr">
        <is>
          <t>ARVIKA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14551-2023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45013</v>
      </c>
      <c r="E750" s="1" t="n">
        <v>46299</v>
      </c>
      <c r="F750" t="inlineStr">
        <is>
          <t>VÄRMLANDS LÄN</t>
        </is>
      </c>
      <c r="G750" t="inlineStr">
        <is>
          <t>ARVIKA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8789-2023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44978</v>
      </c>
      <c r="E751" s="1" t="n">
        <v>46299</v>
      </c>
      <c r="F751" t="inlineStr">
        <is>
          <t>VÄRMLANDS LÄN</t>
        </is>
      </c>
      <c r="G751" t="inlineStr">
        <is>
          <t>ARVIKA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45329</v>
      </c>
      <c r="E752" s="1" t="n">
        <v>46299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46299</v>
      </c>
      <c r="F753" t="inlineStr">
        <is>
          <t>VÄRMLANDS LÄN</t>
        </is>
      </c>
      <c r="G753" t="inlineStr">
        <is>
          <t>ARVIKA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21719-2026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46299</v>
      </c>
      <c r="F754" t="inlineStr">
        <is>
          <t>VÄRMLANDS LÄN</t>
        </is>
      </c>
      <c r="G754" t="inlineStr">
        <is>
          <t>ARVIKA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45706</v>
      </c>
      <c r="E755" s="1" t="n">
        <v>46299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9.199999999999999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51729-2024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45607</v>
      </c>
      <c r="E756" s="1" t="n">
        <v>46299</v>
      </c>
      <c r="F756" t="inlineStr">
        <is>
          <t>VÄRMLANDS LÄN</t>
        </is>
      </c>
      <c r="G756" t="inlineStr">
        <is>
          <t>ARVIKA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48451-2024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45590</v>
      </c>
      <c r="E757" s="1" t="n">
        <v>46299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7792-2025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46299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54929-2025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45967</v>
      </c>
      <c r="E759" s="1" t="n">
        <v>46299</v>
      </c>
      <c r="F759" t="inlineStr">
        <is>
          <t>VÄRMLANDS LÄN</t>
        </is>
      </c>
      <c r="G759" t="inlineStr">
        <is>
          <t>ARVIKA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51658-2023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45222</v>
      </c>
      <c r="E760" s="1" t="n">
        <v>46299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29578-2022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44754</v>
      </c>
      <c r="E761" s="1" t="n">
        <v>46299</v>
      </c>
      <c r="F761" t="inlineStr">
        <is>
          <t>VÄRMLANDS LÄN</t>
        </is>
      </c>
      <c r="G761" t="inlineStr">
        <is>
          <t>ARVIKA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15917-2023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46299</v>
      </c>
      <c r="F762" t="inlineStr">
        <is>
          <t>VÄRMLANDS LÄN</t>
        </is>
      </c>
      <c r="G762" t="inlineStr">
        <is>
          <t>ARVIKA</t>
        </is>
      </c>
      <c r="I762" t="n">
        <v>18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37029-2025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45874</v>
      </c>
      <c r="E763" s="1" t="n">
        <v>46299</v>
      </c>
      <c r="F763" t="inlineStr">
        <is>
          <t>VÄRMLANDS LÄN</t>
        </is>
      </c>
      <c r="G763" t="inlineStr">
        <is>
          <t>ARVIKA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37030-2025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45874</v>
      </c>
      <c r="E764" s="1" t="n">
        <v>46299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37031-2025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46299</v>
      </c>
      <c r="F765" t="inlineStr">
        <is>
          <t>VÄRMLANDS LÄN</t>
        </is>
      </c>
      <c r="G765" t="inlineStr">
        <is>
          <t>ARVIKA</t>
        </is>
      </c>
      <c r="I765" t="n">
        <v>12.4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17387-2024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45414</v>
      </c>
      <c r="E766" s="1" t="n">
        <v>46299</v>
      </c>
      <c r="F766" t="inlineStr">
        <is>
          <t>VÄRMLANDS LÄN</t>
        </is>
      </c>
      <c r="G766" t="inlineStr">
        <is>
          <t>ARVIKA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10475-2025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45720</v>
      </c>
      <c r="E767" s="1" t="n">
        <v>46299</v>
      </c>
      <c r="F767" t="inlineStr">
        <is>
          <t>VÄRMLANDS LÄN</t>
        </is>
      </c>
      <c r="G767" t="inlineStr">
        <is>
          <t>ARVIKA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45915</v>
      </c>
      <c r="E768" s="1" t="n">
        <v>46299</v>
      </c>
      <c r="F768" t="inlineStr">
        <is>
          <t>VÄRMLANDS LÄN</t>
        </is>
      </c>
      <c r="G768" t="inlineStr">
        <is>
          <t>ARVIKA</t>
        </is>
      </c>
      <c r="H768" t="inlineStr">
        <is>
          <t>Kyrkan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53243-2024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45613</v>
      </c>
      <c r="E769" s="1" t="n">
        <v>46299</v>
      </c>
      <c r="F769" t="inlineStr">
        <is>
          <t>VÄRMLANDS LÄN</t>
        </is>
      </c>
      <c r="G769" t="inlineStr">
        <is>
          <t>ARVIKA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45446-2025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45922</v>
      </c>
      <c r="E770" s="1" t="n">
        <v>46299</v>
      </c>
      <c r="F770" t="inlineStr">
        <is>
          <t>VÄRMLANDS LÄN</t>
        </is>
      </c>
      <c r="G770" t="inlineStr">
        <is>
          <t>ARVIKA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58059-2024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45631</v>
      </c>
      <c r="E771" s="1" t="n">
        <v>46299</v>
      </c>
      <c r="F771" t="inlineStr">
        <is>
          <t>VÄRMLANDS LÄN</t>
        </is>
      </c>
      <c r="G771" t="inlineStr">
        <is>
          <t>ARVIKA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49913-2024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45597</v>
      </c>
      <c r="E772" s="1" t="n">
        <v>46299</v>
      </c>
      <c r="F772" t="inlineStr">
        <is>
          <t>VÄRMLANDS LÄN</t>
        </is>
      </c>
      <c r="G772" t="inlineStr">
        <is>
          <t>ARVIKA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63128-2023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45273</v>
      </c>
      <c r="E773" s="1" t="n">
        <v>46299</v>
      </c>
      <c r="F773" t="inlineStr">
        <is>
          <t>VÄRMLANDS LÄN</t>
        </is>
      </c>
      <c r="G773" t="inlineStr">
        <is>
          <t>ARVIKA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4299-2022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44588</v>
      </c>
      <c r="E774" s="1" t="n">
        <v>46299</v>
      </c>
      <c r="F774" t="inlineStr">
        <is>
          <t>VÄRMLANDS LÄN</t>
        </is>
      </c>
      <c r="G774" t="inlineStr">
        <is>
          <t>ARVIKA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5337-2025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45692</v>
      </c>
      <c r="E775" s="1" t="n">
        <v>46299</v>
      </c>
      <c r="F775" t="inlineStr">
        <is>
          <t>VÄRMLANDS LÄN</t>
        </is>
      </c>
      <c r="G775" t="inlineStr">
        <is>
          <t>ARVIKA</t>
        </is>
      </c>
      <c r="H775" t="inlineStr">
        <is>
          <t>Kommuner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46160</v>
      </c>
      <c r="E776" s="1" t="n">
        <v>46299</v>
      </c>
      <c r="F776" t="inlineStr">
        <is>
          <t>VÄRMLANDS LÄN</t>
        </is>
      </c>
      <c r="G776" t="inlineStr">
        <is>
          <t>ARVIKA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46379-2023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45197</v>
      </c>
      <c r="E777" s="1" t="n">
        <v>46299</v>
      </c>
      <c r="F777" t="inlineStr">
        <is>
          <t>VÄRMLANDS LÄN</t>
        </is>
      </c>
      <c r="G777" t="inlineStr">
        <is>
          <t>ARVIKA</t>
        </is>
      </c>
      <c r="H777" t="inlineStr">
        <is>
          <t>Kyrkan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25931-2023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46299</v>
      </c>
      <c r="F778" t="inlineStr">
        <is>
          <t>VÄRMLANDS LÄN</t>
        </is>
      </c>
      <c r="G778" t="inlineStr">
        <is>
          <t>ARVIKA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46299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23169-2026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46161</v>
      </c>
      <c r="E780" s="1" t="n">
        <v>46299</v>
      </c>
      <c r="F780" t="inlineStr">
        <is>
          <t>VÄRMLANDS LÄN</t>
        </is>
      </c>
      <c r="G780" t="inlineStr">
        <is>
          <t>ARVIKA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74129-2021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44557</v>
      </c>
      <c r="E781" s="1" t="n">
        <v>46299</v>
      </c>
      <c r="F781" t="inlineStr">
        <is>
          <t>VÄRMLANDS LÄN</t>
        </is>
      </c>
      <c r="G781" t="inlineStr">
        <is>
          <t>ARVIKA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43978-2024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45572</v>
      </c>
      <c r="E782" s="1" t="n">
        <v>46299</v>
      </c>
      <c r="F782" t="inlineStr">
        <is>
          <t>VÄRMLANDS LÄN</t>
        </is>
      </c>
      <c r="G782" t="inlineStr">
        <is>
          <t>ARVIKA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23358-2023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45076</v>
      </c>
      <c r="E783" s="1" t="n">
        <v>46299</v>
      </c>
      <c r="F783" t="inlineStr">
        <is>
          <t>VÄRMLANDS LÄN</t>
        </is>
      </c>
      <c r="G783" t="inlineStr">
        <is>
          <t>ARVIKA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51300-2024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45604</v>
      </c>
      <c r="E784" s="1" t="n">
        <v>46299</v>
      </c>
      <c r="F784" t="inlineStr">
        <is>
          <t>VÄRMLANDS LÄN</t>
        </is>
      </c>
      <c r="G784" t="inlineStr">
        <is>
          <t>ARVIKA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24702-2025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45798</v>
      </c>
      <c r="E785" s="1" t="n">
        <v>46299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46299</v>
      </c>
      <c r="F786" t="inlineStr">
        <is>
          <t>VÄRMLANDS LÄN</t>
        </is>
      </c>
      <c r="G786" t="inlineStr">
        <is>
          <t>ARVIKA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37399-2025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45877</v>
      </c>
      <c r="E787" s="1" t="n">
        <v>46299</v>
      </c>
      <c r="F787" t="inlineStr">
        <is>
          <t>VÄRMLANDS LÄN</t>
        </is>
      </c>
      <c r="G787" t="inlineStr">
        <is>
          <t>ARVIKA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32280-2023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45120</v>
      </c>
      <c r="E788" s="1" t="n">
        <v>46299</v>
      </c>
      <c r="F788" t="inlineStr">
        <is>
          <t>VÄRMLANDS LÄN</t>
        </is>
      </c>
      <c r="G788" t="inlineStr">
        <is>
          <t>ARVIKA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45685</v>
      </c>
      <c r="E789" s="1" t="n">
        <v>46299</v>
      </c>
      <c r="F789" t="inlineStr">
        <is>
          <t>VÄRMLANDS LÄN</t>
        </is>
      </c>
      <c r="G789" t="inlineStr">
        <is>
          <t>ARVIKA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23630-2026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46163</v>
      </c>
      <c r="E790" s="1" t="n">
        <v>46299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69354-2021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44531</v>
      </c>
      <c r="E791" s="1" t="n">
        <v>46299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45698</v>
      </c>
      <c r="E792" s="1" t="n">
        <v>46299</v>
      </c>
      <c r="F792" t="inlineStr">
        <is>
          <t>VÄRMLANDS LÄN</t>
        </is>
      </c>
      <c r="G792" t="inlineStr">
        <is>
          <t>ARVIKA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29067-2022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44750</v>
      </c>
      <c r="E793" s="1" t="n">
        <v>46299</v>
      </c>
      <c r="F793" t="inlineStr">
        <is>
          <t>VÄRMLANDS LÄN</t>
        </is>
      </c>
      <c r="G793" t="inlineStr">
        <is>
          <t>ARVIKA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13399-2022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44645</v>
      </c>
      <c r="E794" s="1" t="n">
        <v>46299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23279-2026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46162</v>
      </c>
      <c r="E795" s="1" t="n">
        <v>46299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23401-2026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46299</v>
      </c>
      <c r="F796" t="inlineStr">
        <is>
          <t>VÄRMLANDS LÄN</t>
        </is>
      </c>
      <c r="G796" t="inlineStr">
        <is>
          <t>ARVIKA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44928</v>
      </c>
      <c r="E797" s="1" t="n">
        <v>46299</v>
      </c>
      <c r="F797" t="inlineStr">
        <is>
          <t>VÄRMLANDS LÄN</t>
        </is>
      </c>
      <c r="G797" t="inlineStr">
        <is>
          <t>ARVIKA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23863-2026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46299</v>
      </c>
      <c r="F798" t="inlineStr">
        <is>
          <t>VÄRMLANDS LÄN</t>
        </is>
      </c>
      <c r="G798" t="inlineStr">
        <is>
          <t>ARVIKA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23903-2026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46167</v>
      </c>
      <c r="E799" s="1" t="n">
        <v>46299</v>
      </c>
      <c r="F799" t="inlineStr">
        <is>
          <t>VÄRMLANDS LÄN</t>
        </is>
      </c>
      <c r="G799" t="inlineStr">
        <is>
          <t>ARVIKA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20106-2022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44697</v>
      </c>
      <c r="E800" s="1" t="n">
        <v>46299</v>
      </c>
      <c r="F800" t="inlineStr">
        <is>
          <t>VÄRMLANDS LÄN</t>
        </is>
      </c>
      <c r="G800" t="inlineStr">
        <is>
          <t>ARVIKA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23909-2026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46167</v>
      </c>
      <c r="E801" s="1" t="n">
        <v>46299</v>
      </c>
      <c r="F801" t="inlineStr">
        <is>
          <t>VÄRMLANDS LÄN</t>
        </is>
      </c>
      <c r="G801" t="inlineStr">
        <is>
          <t>ARVIKA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18269-2025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46299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9721-2025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45716</v>
      </c>
      <c r="E803" s="1" t="n">
        <v>46299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13188-2023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45002</v>
      </c>
      <c r="E804" s="1" t="n">
        <v>46299</v>
      </c>
      <c r="F804" t="inlineStr">
        <is>
          <t>VÄRMLANDS LÄN</t>
        </is>
      </c>
      <c r="G804" t="inlineStr">
        <is>
          <t>ARVIKA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45881</v>
      </c>
      <c r="E805" s="1" t="n">
        <v>46299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26175-2024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45468</v>
      </c>
      <c r="E806" s="1" t="n">
        <v>46299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46299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37836-2025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45881</v>
      </c>
      <c r="E808" s="1" t="n">
        <v>46299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46299</v>
      </c>
      <c r="F809" t="inlineStr">
        <is>
          <t>VÄRMLANDS LÄN</t>
        </is>
      </c>
      <c r="G809" t="inlineStr">
        <is>
          <t>ARVIKA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41235-2024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46299</v>
      </c>
      <c r="F810" t="inlineStr">
        <is>
          <t>VÄRMLANDS LÄN</t>
        </is>
      </c>
      <c r="G810" t="inlineStr">
        <is>
          <t>ARVIKA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24476-2026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46299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46299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24997-2026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46174</v>
      </c>
      <c r="E813" s="1" t="n">
        <v>46299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21188-2023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45057</v>
      </c>
      <c r="E814" s="1" t="n">
        <v>46299</v>
      </c>
      <c r="F814" t="inlineStr">
        <is>
          <t>VÄRMLANDS LÄN</t>
        </is>
      </c>
      <c r="G814" t="inlineStr">
        <is>
          <t>ARVIKA</t>
        </is>
      </c>
      <c r="I814" t="n">
        <v>9.699999999999999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48449-2024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45590</v>
      </c>
      <c r="E815" s="1" t="n">
        <v>46299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38311-2025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45883</v>
      </c>
      <c r="E816" s="1" t="n">
        <v>46299</v>
      </c>
      <c r="F816" t="inlineStr">
        <is>
          <t>VÄRMLANDS LÄN</t>
        </is>
      </c>
      <c r="G816" t="inlineStr">
        <is>
          <t>ARVIKA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24890-2026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46299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14467-2023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45012</v>
      </c>
      <c r="E818" s="1" t="n">
        <v>46299</v>
      </c>
      <c r="F818" t="inlineStr">
        <is>
          <t>VÄRMLANDS LÄN</t>
        </is>
      </c>
      <c r="G818" t="inlineStr">
        <is>
          <t>ARVIKA</t>
        </is>
      </c>
      <c r="I818" t="n">
        <v>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24913-2026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46174</v>
      </c>
      <c r="E819" s="1" t="n">
        <v>46299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11091-2023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44992</v>
      </c>
      <c r="E820" s="1" t="n">
        <v>46299</v>
      </c>
      <c r="F820" t="inlineStr">
        <is>
          <t>VÄRMLANDS LÄN</t>
        </is>
      </c>
      <c r="G820" t="inlineStr">
        <is>
          <t>ARVIKA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20349-2025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45775</v>
      </c>
      <c r="E821" s="1" t="n">
        <v>46299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18344-2024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45422</v>
      </c>
      <c r="E822" s="1" t="n">
        <v>46299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45882</v>
      </c>
      <c r="E823" s="1" t="n">
        <v>46299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38513-2025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45884</v>
      </c>
      <c r="E824" s="1" t="n">
        <v>46299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38504-2025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46299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46178</v>
      </c>
      <c r="E826" s="1" t="n">
        <v>46299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25802-2026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46178</v>
      </c>
      <c r="E827" s="1" t="n">
        <v>46299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50847-2024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45602</v>
      </c>
      <c r="E828" s="1" t="n">
        <v>46299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2564-2025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45674</v>
      </c>
      <c r="E829" s="1" t="n">
        <v>46299</v>
      </c>
      <c r="F829" t="inlineStr">
        <is>
          <t>VÄRMLANDS LÄN</t>
        </is>
      </c>
      <c r="G829" t="inlineStr">
        <is>
          <t>ARVIKA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42050-2024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45561</v>
      </c>
      <c r="E830" s="1" t="n">
        <v>46299</v>
      </c>
      <c r="F830" t="inlineStr">
        <is>
          <t>VÄRMLANDS LÄN</t>
        </is>
      </c>
      <c r="G830" t="inlineStr">
        <is>
          <t>ARVIKA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25960-2026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46181</v>
      </c>
      <c r="E831" s="1" t="n">
        <v>46299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44922</v>
      </c>
      <c r="E832" s="1" t="n">
        <v>46299</v>
      </c>
      <c r="F832" t="inlineStr">
        <is>
          <t>VÄRMLANDS LÄN</t>
        </is>
      </c>
      <c r="G832" t="inlineStr">
        <is>
          <t>ARVIKA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2157-2023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44941</v>
      </c>
      <c r="E833" s="1" t="n">
        <v>46299</v>
      </c>
      <c r="F833" t="inlineStr">
        <is>
          <t>VÄRMLANDS LÄN</t>
        </is>
      </c>
      <c r="G833" t="inlineStr">
        <is>
          <t>ARVIKA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19425-2024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45429</v>
      </c>
      <c r="E834" s="1" t="n">
        <v>46299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46299</v>
      </c>
      <c r="F835" t="inlineStr">
        <is>
          <t>VÄRMLANDS LÄN</t>
        </is>
      </c>
      <c r="G835" t="inlineStr">
        <is>
          <t>ARVIKA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25202-2026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46175</v>
      </c>
      <c r="E836" s="1" t="n">
        <v>46299</v>
      </c>
      <c r="F836" t="inlineStr">
        <is>
          <t>VÄRMLANDS LÄN</t>
        </is>
      </c>
      <c r="G836" t="inlineStr">
        <is>
          <t>ARVIKA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32176-2022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44780</v>
      </c>
      <c r="E837" s="1" t="n">
        <v>46299</v>
      </c>
      <c r="F837" t="inlineStr">
        <is>
          <t>VÄRMLANDS LÄN</t>
        </is>
      </c>
      <c r="G837" t="inlineStr">
        <is>
          <t>ARVIKA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26378-2026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46299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27287-2026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46188</v>
      </c>
      <c r="E839" s="1" t="n">
        <v>46299</v>
      </c>
      <c r="F839" t="inlineStr">
        <is>
          <t>VÄRMLANDS LÄN</t>
        </is>
      </c>
      <c r="G839" t="inlineStr">
        <is>
          <t>ARVIKA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27221-2026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46299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5.8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27352-2026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46299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27355-2026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46188</v>
      </c>
      <c r="E842" s="1" t="n">
        <v>46299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27358-2026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46188</v>
      </c>
      <c r="E843" s="1" t="n">
        <v>46299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4.8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23496-2026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46163</v>
      </c>
      <c r="E844" s="1" t="n">
        <v>46299</v>
      </c>
      <c r="F844" t="inlineStr">
        <is>
          <t>VÄRMLANDS LÄN</t>
        </is>
      </c>
      <c r="G844" t="inlineStr">
        <is>
          <t>ARVIKA</t>
        </is>
      </c>
      <c r="I844" t="n">
        <v>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37658-2023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45159</v>
      </c>
      <c r="E845" s="1" t="n">
        <v>46299</v>
      </c>
      <c r="F845" t="inlineStr">
        <is>
          <t>VÄRMLANDS LÄN</t>
        </is>
      </c>
      <c r="G845" t="inlineStr">
        <is>
          <t>ARVIKA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26982-2026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46299</v>
      </c>
      <c r="F846" t="inlineStr">
        <is>
          <t>VÄRMLANDS LÄN</t>
        </is>
      </c>
      <c r="G846" t="inlineStr">
        <is>
          <t>ARVIKA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58133-2022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44900</v>
      </c>
      <c r="E847" s="1" t="n">
        <v>46299</v>
      </c>
      <c r="F847" t="inlineStr">
        <is>
          <t>VÄRMLANDS LÄN</t>
        </is>
      </c>
      <c r="G847" t="inlineStr">
        <is>
          <t>ARVIKA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27225-2026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46299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27035-2026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46299</v>
      </c>
      <c r="F849" t="inlineStr">
        <is>
          <t>VÄRMLANDS LÄN</t>
        </is>
      </c>
      <c r="G849" t="inlineStr">
        <is>
          <t>ARVIKA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45299</v>
      </c>
      <c r="E850" s="1" t="n">
        <v>46299</v>
      </c>
      <c r="F850" t="inlineStr">
        <is>
          <t>VÄRMLANDS LÄN</t>
        </is>
      </c>
      <c r="G850" t="inlineStr">
        <is>
          <t>ARVIKA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2156-2023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44941</v>
      </c>
      <c r="E851" s="1" t="n">
        <v>46299</v>
      </c>
      <c r="F851" t="inlineStr">
        <is>
          <t>VÄRMLANDS LÄN</t>
        </is>
      </c>
      <c r="G851" t="inlineStr">
        <is>
          <t>ARVIKA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60343-2025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45994</v>
      </c>
      <c r="E852" s="1" t="n">
        <v>46299</v>
      </c>
      <c r="F852" t="inlineStr">
        <is>
          <t>VÄRMLANDS LÄN</t>
        </is>
      </c>
      <c r="G852" t="inlineStr">
        <is>
          <t>ARVIKA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3610-2025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45681</v>
      </c>
      <c r="E853" s="1" t="n">
        <v>46299</v>
      </c>
      <c r="F853" t="inlineStr">
        <is>
          <t>VÄRMLANDS LÄN</t>
        </is>
      </c>
      <c r="G853" t="inlineStr">
        <is>
          <t>ARVIKA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20319-2025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45775</v>
      </c>
      <c r="E854" s="1" t="n">
        <v>46299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6978-2025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45701</v>
      </c>
      <c r="E855" s="1" t="n">
        <v>46299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27535-2026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46190</v>
      </c>
      <c r="E856" s="1" t="n">
        <v>46299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27409-2026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46189</v>
      </c>
      <c r="E857" s="1" t="n">
        <v>46299</v>
      </c>
      <c r="F857" t="inlineStr">
        <is>
          <t>VÄRMLANDS LÄN</t>
        </is>
      </c>
      <c r="G857" t="inlineStr">
        <is>
          <t>ARVIKA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50678-2024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45601</v>
      </c>
      <c r="E858" s="1" t="n">
        <v>46299</v>
      </c>
      <c r="F858" t="inlineStr">
        <is>
          <t>VÄRMLANDS LÄN</t>
        </is>
      </c>
      <c r="G858" t="inlineStr">
        <is>
          <t>ARVIKA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19764-2022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44694</v>
      </c>
      <c r="E859" s="1" t="n">
        <v>46299</v>
      </c>
      <c r="F859" t="inlineStr">
        <is>
          <t>VÄRMLANDS LÄN</t>
        </is>
      </c>
      <c r="G859" t="inlineStr">
        <is>
          <t>ARVIKA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46299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64664-2021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44512</v>
      </c>
      <c r="E861" s="1" t="n">
        <v>46299</v>
      </c>
      <c r="F861" t="inlineStr">
        <is>
          <t>VÄRMLANDS LÄN</t>
        </is>
      </c>
      <c r="G861" t="inlineStr">
        <is>
          <t>ARVIKA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27828-2026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46191</v>
      </c>
      <c r="E862" s="1" t="n">
        <v>46299</v>
      </c>
      <c r="F862" t="inlineStr">
        <is>
          <t>VÄRMLANDS LÄN</t>
        </is>
      </c>
      <c r="G862" t="inlineStr">
        <is>
          <t>ARVIKA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37854-2023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45158</v>
      </c>
      <c r="E863" s="1" t="n">
        <v>46299</v>
      </c>
      <c r="F863" t="inlineStr">
        <is>
          <t>VÄRMLANDS LÄN</t>
        </is>
      </c>
      <c r="G863" t="inlineStr">
        <is>
          <t>ARVIKA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3076-2025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45678</v>
      </c>
      <c r="E864" s="1" t="n">
        <v>46299</v>
      </c>
      <c r="F864" t="inlineStr">
        <is>
          <t>VÄRMLANDS LÄN</t>
        </is>
      </c>
      <c r="G864" t="inlineStr">
        <is>
          <t>ARVIKA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28111-2026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46195</v>
      </c>
      <c r="E865" s="1" t="n">
        <v>46299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28083-2026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46299</v>
      </c>
      <c r="F866" t="inlineStr">
        <is>
          <t>VÄRMLANDS LÄN</t>
        </is>
      </c>
      <c r="G866" t="inlineStr">
        <is>
          <t>ARVIKA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28084-2026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46299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49295-2023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45210</v>
      </c>
      <c r="E868" s="1" t="n">
        <v>46299</v>
      </c>
      <c r="F868" t="inlineStr">
        <is>
          <t>VÄRMLANDS LÄN</t>
        </is>
      </c>
      <c r="G868" t="inlineStr">
        <is>
          <t>ARVIKA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28275-2026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46299</v>
      </c>
      <c r="F869" t="inlineStr">
        <is>
          <t>VÄRMLANDS LÄN</t>
        </is>
      </c>
      <c r="G869" t="inlineStr">
        <is>
          <t>ARVIKA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28209-2026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46196</v>
      </c>
      <c r="E870" s="1" t="n">
        <v>46299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28373-2026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46299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17484-2023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45036</v>
      </c>
      <c r="E872" s="1" t="n">
        <v>46299</v>
      </c>
      <c r="F872" t="inlineStr">
        <is>
          <t>VÄRMLANDS LÄN</t>
        </is>
      </c>
      <c r="G872" t="inlineStr">
        <is>
          <t>ARVIKA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45132-2023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45191</v>
      </c>
      <c r="E873" s="1" t="n">
        <v>46299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46299</v>
      </c>
      <c r="F874" t="inlineStr">
        <is>
          <t>VÄRMLANDS LÄN</t>
        </is>
      </c>
      <c r="G874" t="inlineStr">
        <is>
          <t>ARVIKA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46299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46197</v>
      </c>
      <c r="E876" s="1" t="n">
        <v>46299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45293</v>
      </c>
      <c r="E877" s="1" t="n">
        <v>46299</v>
      </c>
      <c r="F877" t="inlineStr">
        <is>
          <t>VÄRMLANDS LÄN</t>
        </is>
      </c>
      <c r="G877" t="inlineStr">
        <is>
          <t>ARVIKA</t>
        </is>
      </c>
      <c r="H877" t="inlineStr">
        <is>
          <t>Kyrkan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44922</v>
      </c>
      <c r="E878" s="1" t="n">
        <v>46299</v>
      </c>
      <c r="F878" t="inlineStr">
        <is>
          <t>VÄRMLANDS LÄN</t>
        </is>
      </c>
      <c r="G878" t="inlineStr">
        <is>
          <t>ARVIKA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46299</v>
      </c>
      <c r="F879" t="inlineStr">
        <is>
          <t>VÄRMLANDS LÄN</t>
        </is>
      </c>
      <c r="G879" t="inlineStr">
        <is>
          <t>ARVIKA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46197</v>
      </c>
      <c r="E880" s="1" t="n">
        <v>46299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46299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28481-2026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46197</v>
      </c>
      <c r="E882" s="1" t="n">
        <v>46299</v>
      </c>
      <c r="F882" t="inlineStr">
        <is>
          <t>VÄRMLANDS LÄN</t>
        </is>
      </c>
      <c r="G882" t="inlineStr">
        <is>
          <t>ARVIKA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28549-2026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46197</v>
      </c>
      <c r="E883" s="1" t="n">
        <v>46299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28557-2026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46299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28554-2026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46299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14626-2025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45742</v>
      </c>
      <c r="E886" s="1" t="n">
        <v>46299</v>
      </c>
      <c r="F886" t="inlineStr">
        <is>
          <t>VÄRMLANDS LÄN</t>
        </is>
      </c>
      <c r="G886" t="inlineStr">
        <is>
          <t>ARVIKA</t>
        </is>
      </c>
      <c r="I886" t="n">
        <v>14.9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44956</v>
      </c>
      <c r="E887" s="1" t="n">
        <v>46299</v>
      </c>
      <c r="F887" t="inlineStr">
        <is>
          <t>VÄRMLANDS LÄN</t>
        </is>
      </c>
      <c r="G887" t="inlineStr">
        <is>
          <t>ARVIKA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26863-2024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45470</v>
      </c>
      <c r="E888" s="1" t="n">
        <v>46299</v>
      </c>
      <c r="F888" t="inlineStr">
        <is>
          <t>VÄRMLANDS LÄN</t>
        </is>
      </c>
      <c r="G888" t="inlineStr">
        <is>
          <t>ARVIKA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59014-2022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44903</v>
      </c>
      <c r="E889" s="1" t="n">
        <v>46299</v>
      </c>
      <c r="F889" t="inlineStr">
        <is>
          <t>VÄRMLANDS LÄN</t>
        </is>
      </c>
      <c r="G889" t="inlineStr">
        <is>
          <t>ARVIKA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13074-2023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45001</v>
      </c>
      <c r="E890" s="1" t="n">
        <v>46299</v>
      </c>
      <c r="F890" t="inlineStr">
        <is>
          <t>VÄRMLANDS LÄN</t>
        </is>
      </c>
      <c r="G890" t="inlineStr">
        <is>
          <t>ARVIKA</t>
        </is>
      </c>
      <c r="I890" t="n">
        <v>21.1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11178-2022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44629</v>
      </c>
      <c r="E891" s="1" t="n">
        <v>46299</v>
      </c>
      <c r="F891" t="inlineStr">
        <is>
          <t>VÄRMLANDS LÄN</t>
        </is>
      </c>
      <c r="G891" t="inlineStr">
        <is>
          <t>ARVIKA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4090-2022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44588</v>
      </c>
      <c r="E892" s="1" t="n">
        <v>46299</v>
      </c>
      <c r="F892" t="inlineStr">
        <is>
          <t>VÄRMLANDS LÄN</t>
        </is>
      </c>
      <c r="G892" t="inlineStr">
        <is>
          <t>ARVIKA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46203</v>
      </c>
      <c r="E893" s="1" t="n">
        <v>46299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47239-2022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44852</v>
      </c>
      <c r="E894" s="1" t="n">
        <v>46299</v>
      </c>
      <c r="F894" t="inlineStr">
        <is>
          <t>VÄRMLANDS LÄN</t>
        </is>
      </c>
      <c r="G894" t="inlineStr">
        <is>
          <t>ARVIKA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25520-2024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45463</v>
      </c>
      <c r="E895" s="1" t="n">
        <v>46299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60593-2023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45260</v>
      </c>
      <c r="E896" s="1" t="n">
        <v>46299</v>
      </c>
      <c r="F896" t="inlineStr">
        <is>
          <t>VÄRMLANDS LÄN</t>
        </is>
      </c>
      <c r="G896" t="inlineStr">
        <is>
          <t>ARVIKA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24620-2024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45460</v>
      </c>
      <c r="E897" s="1" t="n">
        <v>46299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50263-2022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44865</v>
      </c>
      <c r="E898" s="1" t="n">
        <v>46299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36655-2025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45873</v>
      </c>
      <c r="E899" s="1" t="n">
        <v>46299</v>
      </c>
      <c r="F899" t="inlineStr">
        <is>
          <t>VÄRMLANDS LÄN</t>
        </is>
      </c>
      <c r="G899" t="inlineStr">
        <is>
          <t>ARVIKA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52943-2024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45610</v>
      </c>
      <c r="E900" s="1" t="n">
        <v>46299</v>
      </c>
      <c r="F900" t="inlineStr">
        <is>
          <t>VÄRMLANDS LÄN</t>
        </is>
      </c>
      <c r="G900" t="inlineStr">
        <is>
          <t>ARVIKA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29659-2026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46204</v>
      </c>
      <c r="E901" s="1" t="n">
        <v>46299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46204</v>
      </c>
      <c r="E902" s="1" t="n">
        <v>46299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30020-2026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46206</v>
      </c>
      <c r="E903" s="1" t="n">
        <v>46299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925-2025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45665</v>
      </c>
      <c r="E904" s="1" t="n">
        <v>46299</v>
      </c>
      <c r="F904" t="inlineStr">
        <is>
          <t>VÄRMLANDS LÄN</t>
        </is>
      </c>
      <c r="G904" t="inlineStr">
        <is>
          <t>ARVIKA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45665</v>
      </c>
      <c r="E905" s="1" t="n">
        <v>46299</v>
      </c>
      <c r="F905" t="inlineStr">
        <is>
          <t>VÄRMLANDS LÄN</t>
        </is>
      </c>
      <c r="G905" t="inlineStr">
        <is>
          <t>ARVIKA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58586-2023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45251</v>
      </c>
      <c r="E906" s="1" t="n">
        <v>46299</v>
      </c>
      <c r="F906" t="inlineStr">
        <is>
          <t>VÄRMLANDS LÄN</t>
        </is>
      </c>
      <c r="G906" t="inlineStr">
        <is>
          <t>ARVIKA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46205</v>
      </c>
      <c r="E907" s="1" t="n">
        <v>46299</v>
      </c>
      <c r="F907" t="inlineStr">
        <is>
          <t>VÄRMLANDS LÄN</t>
        </is>
      </c>
      <c r="G907" t="inlineStr">
        <is>
          <t>ARVIKA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56710-2022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44893</v>
      </c>
      <c r="E908" s="1" t="n">
        <v>46299</v>
      </c>
      <c r="F908" t="inlineStr">
        <is>
          <t>VÄRMLANDS LÄN</t>
        </is>
      </c>
      <c r="G908" t="inlineStr">
        <is>
          <t>ARVIKA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24329-2023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45081</v>
      </c>
      <c r="E909" s="1" t="n">
        <v>46299</v>
      </c>
      <c r="F909" t="inlineStr">
        <is>
          <t>VÄRMLANDS LÄN</t>
        </is>
      </c>
      <c r="G909" t="inlineStr">
        <is>
          <t>ARVIKA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3980-2023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44952</v>
      </c>
      <c r="E910" s="1" t="n">
        <v>46299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30119-2026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46299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37852-2023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45158</v>
      </c>
      <c r="E912" s="1" t="n">
        <v>46299</v>
      </c>
      <c r="F912" t="inlineStr">
        <is>
          <t>VÄRMLANDS LÄN</t>
        </is>
      </c>
      <c r="G912" t="inlineStr">
        <is>
          <t>ARVIKA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19586-2025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45770</v>
      </c>
      <c r="E913" s="1" t="n">
        <v>46299</v>
      </c>
      <c r="F913" t="inlineStr">
        <is>
          <t>VÄRMLANDS LÄN</t>
        </is>
      </c>
      <c r="G913" t="inlineStr">
        <is>
          <t>ARVIKA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19591-2025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45770</v>
      </c>
      <c r="E914" s="1" t="n">
        <v>46299</v>
      </c>
      <c r="F914" t="inlineStr">
        <is>
          <t>VÄRMLANDS LÄN</t>
        </is>
      </c>
      <c r="G914" t="inlineStr">
        <is>
          <t>ARVIKA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2849-2023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44945</v>
      </c>
      <c r="E915" s="1" t="n">
        <v>46299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25077-2025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45799</v>
      </c>
      <c r="E916" s="1" t="n">
        <v>46299</v>
      </c>
      <c r="F916" t="inlineStr">
        <is>
          <t>VÄRMLANDS LÄN</t>
        </is>
      </c>
      <c r="G916" t="inlineStr">
        <is>
          <t>ARVIKA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19320-2024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45428</v>
      </c>
      <c r="E917" s="1" t="n">
        <v>46299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21523-2023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45063</v>
      </c>
      <c r="E918" s="1" t="n">
        <v>46299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46259</v>
      </c>
      <c r="E919" s="1" t="n">
        <v>46299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19.3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4466-2025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45686</v>
      </c>
      <c r="E920" s="1" t="n">
        <v>46299</v>
      </c>
      <c r="F920" t="inlineStr">
        <is>
          <t>VÄRMLANDS LÄN</t>
        </is>
      </c>
      <c r="G920" t="inlineStr">
        <is>
          <t>ARVIKA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46216</v>
      </c>
      <c r="E921" s="1" t="n">
        <v>46299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60595-2022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44906</v>
      </c>
      <c r="E922" s="1" t="n">
        <v>46299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60607-2022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44906</v>
      </c>
      <c r="E923" s="1" t="n">
        <v>46299</v>
      </c>
      <c r="F923" t="inlineStr">
        <is>
          <t>VÄRMLANDS LÄN</t>
        </is>
      </c>
      <c r="G923" t="inlineStr">
        <is>
          <t>ARVIKA</t>
        </is>
      </c>
      <c r="I923" t="n">
        <v>5.6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34814-2026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46258</v>
      </c>
      <c r="E924" s="1" t="n">
        <v>46299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71399-2021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44540</v>
      </c>
      <c r="E925" s="1" t="n">
        <v>46299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45908-2022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44846</v>
      </c>
      <c r="E926" s="1" t="n">
        <v>46299</v>
      </c>
      <c r="F926" t="inlineStr">
        <is>
          <t>VÄRMLANDS LÄN</t>
        </is>
      </c>
      <c r="G926" t="inlineStr">
        <is>
          <t>ARVIKA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71886-2021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44543</v>
      </c>
      <c r="E927" s="1" t="n">
        <v>46299</v>
      </c>
      <c r="F927" t="inlineStr">
        <is>
          <t>VÄRMLANDS LÄN</t>
        </is>
      </c>
      <c r="G927" t="inlineStr">
        <is>
          <t>ARVIKA</t>
        </is>
      </c>
      <c r="I927" t="n">
        <v>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31109-2026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46216</v>
      </c>
      <c r="E928" s="1" t="n">
        <v>46299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47534-2024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45587</v>
      </c>
      <c r="E929" s="1" t="n">
        <v>46299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35010-2026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46259</v>
      </c>
      <c r="E930" s="1" t="n">
        <v>46299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46259</v>
      </c>
      <c r="E931" s="1" t="n">
        <v>46299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13671-2025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45736</v>
      </c>
      <c r="E932" s="1" t="n">
        <v>46299</v>
      </c>
      <c r="F932" t="inlineStr">
        <is>
          <t>VÄRMLANDS LÄN</t>
        </is>
      </c>
      <c r="G932" t="inlineStr">
        <is>
          <t>ARVIKA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47383-2023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45202</v>
      </c>
      <c r="E933" s="1" t="n">
        <v>46299</v>
      </c>
      <c r="F933" t="inlineStr">
        <is>
          <t>VÄRMLANDS LÄN</t>
        </is>
      </c>
      <c r="G933" t="inlineStr">
        <is>
          <t>ARVIKA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44519-2023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45189</v>
      </c>
      <c r="E934" s="1" t="n">
        <v>46299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46299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3.8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35055-2026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46259</v>
      </c>
      <c r="E936" s="1" t="n">
        <v>46299</v>
      </c>
      <c r="F936" t="inlineStr">
        <is>
          <t>VÄRMLANDS LÄN</t>
        </is>
      </c>
      <c r="G936" t="inlineStr">
        <is>
          <t>ARVIKA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12020-2023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44995</v>
      </c>
      <c r="E937" s="1" t="n">
        <v>46299</v>
      </c>
      <c r="F937" t="inlineStr">
        <is>
          <t>VÄRMLANDS LÄN</t>
        </is>
      </c>
      <c r="G937" t="inlineStr">
        <is>
          <t>ARVIKA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21464-2023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45063</v>
      </c>
      <c r="E938" s="1" t="n">
        <v>46299</v>
      </c>
      <c r="F938" t="inlineStr">
        <is>
          <t>VÄRMLANDS LÄN</t>
        </is>
      </c>
      <c r="G938" t="inlineStr">
        <is>
          <t>ARVIKA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35375-2026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46261</v>
      </c>
      <c r="E939" s="1" t="n">
        <v>46299</v>
      </c>
      <c r="F939" t="inlineStr">
        <is>
          <t>VÄRMLANDS LÄN</t>
        </is>
      </c>
      <c r="G939" t="inlineStr">
        <is>
          <t>ARVIKA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35408-2026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46261</v>
      </c>
      <c r="E940" s="1" t="n">
        <v>46299</v>
      </c>
      <c r="F940" t="inlineStr">
        <is>
          <t>VÄRMLANDS LÄN</t>
        </is>
      </c>
      <c r="G940" t="inlineStr">
        <is>
          <t>ARVIKA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31282-2026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46218</v>
      </c>
      <c r="E941" s="1" t="n">
        <v>46299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46687-2023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45198</v>
      </c>
      <c r="E942" s="1" t="n">
        <v>46299</v>
      </c>
      <c r="F942" t="inlineStr">
        <is>
          <t>VÄRMLANDS LÄN</t>
        </is>
      </c>
      <c r="G942" t="inlineStr">
        <is>
          <t>ARVIKA</t>
        </is>
      </c>
      <c r="I942" t="n">
        <v>14.9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10513-2024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45366</v>
      </c>
      <c r="E943" s="1" t="n">
        <v>46299</v>
      </c>
      <c r="F943" t="inlineStr">
        <is>
          <t>VÄRMLANDS LÄN</t>
        </is>
      </c>
      <c r="G943" t="inlineStr">
        <is>
          <t>ARVIKA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34805-2026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46258</v>
      </c>
      <c r="E944" s="1" t="n">
        <v>46299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8.5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35351-2026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46261</v>
      </c>
      <c r="E945" s="1" t="n">
        <v>46299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22720-2024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45448</v>
      </c>
      <c r="E946" s="1" t="n">
        <v>46299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26698-2023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45093</v>
      </c>
      <c r="E947" s="1" t="n">
        <v>46299</v>
      </c>
      <c r="F947" t="inlineStr">
        <is>
          <t>VÄRMLANDS LÄN</t>
        </is>
      </c>
      <c r="G947" t="inlineStr">
        <is>
          <t>ARVIKA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8165-2024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45351</v>
      </c>
      <c r="E948" s="1" t="n">
        <v>46299</v>
      </c>
      <c r="F948" t="inlineStr">
        <is>
          <t>VÄRMLANDS LÄN</t>
        </is>
      </c>
      <c r="G948" t="inlineStr">
        <is>
          <t>ARVIKA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35788-2026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46299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35786-2026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46299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31703-2024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45508</v>
      </c>
      <c r="E951" s="1" t="n">
        <v>46299</v>
      </c>
      <c r="F951" t="inlineStr">
        <is>
          <t>VÄRMLANDS LÄN</t>
        </is>
      </c>
      <c r="G951" t="inlineStr">
        <is>
          <t>ARVIKA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44592</v>
      </c>
      <c r="E952" s="1" t="n">
        <v>46299</v>
      </c>
      <c r="F952" t="inlineStr">
        <is>
          <t>VÄRMLANDS LÄN</t>
        </is>
      </c>
      <c r="G952" t="inlineStr">
        <is>
          <t>ARVIKA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54756-2022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44883</v>
      </c>
      <c r="E953" s="1" t="n">
        <v>46299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50530-2023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45217</v>
      </c>
      <c r="E954" s="1" t="n">
        <v>46299</v>
      </c>
      <c r="F954" t="inlineStr">
        <is>
          <t>VÄRMLANDS LÄN</t>
        </is>
      </c>
      <c r="G954" t="inlineStr">
        <is>
          <t>ARVIKA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31436-2026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46220</v>
      </c>
      <c r="E955" s="1" t="n">
        <v>46299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53993-2022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44881</v>
      </c>
      <c r="E956" s="1" t="n">
        <v>46299</v>
      </c>
      <c r="F956" t="inlineStr">
        <is>
          <t>VÄRMLANDS LÄN</t>
        </is>
      </c>
      <c r="G956" t="inlineStr">
        <is>
          <t>ARVIKA</t>
        </is>
      </c>
      <c r="I956" t="n">
        <v>7.2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31374-2026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46219</v>
      </c>
      <c r="E957" s="1" t="n">
        <v>46299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46299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29392-2023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45106</v>
      </c>
      <c r="E959" s="1" t="n">
        <v>46299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7985-2025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45707</v>
      </c>
      <c r="E960" s="1" t="n">
        <v>46299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65036-2023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45287</v>
      </c>
      <c r="E961" s="1" t="n">
        <v>46299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35827-2026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46265</v>
      </c>
      <c r="E962" s="1" t="n">
        <v>46299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51400-2022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46299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47191-2023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45202</v>
      </c>
      <c r="E964" s="1" t="n">
        <v>46299</v>
      </c>
      <c r="F964" t="inlineStr">
        <is>
          <t>VÄRMLANDS LÄN</t>
        </is>
      </c>
      <c r="G964" t="inlineStr">
        <is>
          <t>ARVIKA</t>
        </is>
      </c>
      <c r="I964" t="n">
        <v>7.7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42051-2024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45561</v>
      </c>
      <c r="E965" s="1" t="n">
        <v>46299</v>
      </c>
      <c r="F965" t="inlineStr">
        <is>
          <t>VÄRMLANDS LÄN</t>
        </is>
      </c>
      <c r="G965" t="inlineStr">
        <is>
          <t>ARVIKA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38705-2022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44814</v>
      </c>
      <c r="E966" s="1" t="n">
        <v>46299</v>
      </c>
      <c r="F966" t="inlineStr">
        <is>
          <t>VÄRMLANDS LÄN</t>
        </is>
      </c>
      <c r="G966" t="inlineStr">
        <is>
          <t>ARVIKA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13341-2023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45005</v>
      </c>
      <c r="E967" s="1" t="n">
        <v>46299</v>
      </c>
      <c r="F967" t="inlineStr">
        <is>
          <t>VÄRMLANDS LÄN</t>
        </is>
      </c>
      <c r="G967" t="inlineStr">
        <is>
          <t>ARVIKA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33088-2022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44785</v>
      </c>
      <c r="E968" s="1" t="n">
        <v>46299</v>
      </c>
      <c r="F968" t="inlineStr">
        <is>
          <t>VÄRMLANDS LÄN</t>
        </is>
      </c>
      <c r="G968" t="inlineStr">
        <is>
          <t>ARVIKA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42894-2023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45182</v>
      </c>
      <c r="E969" s="1" t="n">
        <v>46299</v>
      </c>
      <c r="F969" t="inlineStr">
        <is>
          <t>VÄRMLANDS LÄN</t>
        </is>
      </c>
      <c r="G969" t="inlineStr">
        <is>
          <t>ARVIKA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21959-2023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45068</v>
      </c>
      <c r="E970" s="1" t="n">
        <v>46299</v>
      </c>
      <c r="F970" t="inlineStr">
        <is>
          <t>VÄRMLANDS LÄN</t>
        </is>
      </c>
      <c r="G970" t="inlineStr">
        <is>
          <t>ARVIKA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45063-2023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45191</v>
      </c>
      <c r="E971" s="1" t="n">
        <v>46299</v>
      </c>
      <c r="F971" t="inlineStr">
        <is>
          <t>VÄRMLANDS LÄN</t>
        </is>
      </c>
      <c r="G971" t="inlineStr">
        <is>
          <t>ARVIKA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54155-2024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45616</v>
      </c>
      <c r="E972" s="1" t="n">
        <v>46299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45069-2023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45191</v>
      </c>
      <c r="E973" s="1" t="n">
        <v>46299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45081-2023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45191</v>
      </c>
      <c r="E974" s="1" t="n">
        <v>46299</v>
      </c>
      <c r="F974" t="inlineStr">
        <is>
          <t>VÄRMLANDS LÄN</t>
        </is>
      </c>
      <c r="G974" t="inlineStr">
        <is>
          <t>ARVIKA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7685-2023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44972</v>
      </c>
      <c r="E975" s="1" t="n">
        <v>46299</v>
      </c>
      <c r="F975" t="inlineStr">
        <is>
          <t>VÄRMLANDS LÄN</t>
        </is>
      </c>
      <c r="G975" t="inlineStr">
        <is>
          <t>ARVIKA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63627-2021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44496</v>
      </c>
      <c r="E976" s="1" t="n">
        <v>46299</v>
      </c>
      <c r="F976" t="inlineStr">
        <is>
          <t>VÄRMLANDS LÄN</t>
        </is>
      </c>
      <c r="G976" t="inlineStr">
        <is>
          <t>ARVIKA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36541-2026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46269</v>
      </c>
      <c r="E977" s="1" t="n">
        <v>46299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46299</v>
      </c>
      <c r="F978" t="inlineStr">
        <is>
          <t>VÄRMLANDS LÄN</t>
        </is>
      </c>
      <c r="G978" t="inlineStr">
        <is>
          <t>ARVIKA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7313-2022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44606</v>
      </c>
      <c r="E979" s="1" t="n">
        <v>46299</v>
      </c>
      <c r="F979" t="inlineStr">
        <is>
          <t>VÄRMLANDS LÄN</t>
        </is>
      </c>
      <c r="G979" t="inlineStr">
        <is>
          <t>ARVIKA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46268</v>
      </c>
      <c r="E980" s="1" t="n">
        <v>46299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26.7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46269</v>
      </c>
      <c r="E981" s="1" t="n">
        <v>46299</v>
      </c>
      <c r="F981" t="inlineStr">
        <is>
          <t>VÄRMLANDS LÄN</t>
        </is>
      </c>
      <c r="G981" t="inlineStr">
        <is>
          <t>ARVIKA</t>
        </is>
      </c>
      <c r="I981" t="n">
        <v>9.6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60593-2022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44906</v>
      </c>
      <c r="E982" s="1" t="n">
        <v>46299</v>
      </c>
      <c r="F982" t="inlineStr">
        <is>
          <t>VÄRMLANDS LÄN</t>
        </is>
      </c>
      <c r="G982" t="inlineStr">
        <is>
          <t>ARVIKA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60627-2022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44906</v>
      </c>
      <c r="E983" s="1" t="n">
        <v>46299</v>
      </c>
      <c r="F983" t="inlineStr">
        <is>
          <t>VÄRMLANDS LÄN</t>
        </is>
      </c>
      <c r="G983" t="inlineStr">
        <is>
          <t>ARVIKA</t>
        </is>
      </c>
      <c r="I983" t="n">
        <v>6.5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27578-2024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45474</v>
      </c>
      <c r="E984" s="1" t="n">
        <v>46299</v>
      </c>
      <c r="F984" t="inlineStr">
        <is>
          <t>VÄRMLANDS LÄN</t>
        </is>
      </c>
      <c r="G984" t="inlineStr">
        <is>
          <t>ARVIKA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61927-2024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45653</v>
      </c>
      <c r="E985" s="1" t="n">
        <v>46299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58061-2024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45631</v>
      </c>
      <c r="E986" s="1" t="n">
        <v>46299</v>
      </c>
      <c r="F986" t="inlineStr">
        <is>
          <t>VÄRMLANDS LÄN</t>
        </is>
      </c>
      <c r="G986" t="inlineStr">
        <is>
          <t>ARVIKA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47041-2024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45586</v>
      </c>
      <c r="E987" s="1" t="n">
        <v>46299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36783-2026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46272</v>
      </c>
      <c r="E988" s="1" t="n">
        <v>46299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16.5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26544-2023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45092</v>
      </c>
      <c r="E989" s="1" t="n">
        <v>46299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37630-2024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45541</v>
      </c>
      <c r="E990" s="1" t="n">
        <v>46299</v>
      </c>
      <c r="F990" t="inlineStr">
        <is>
          <t>VÄRMLANDS LÄN</t>
        </is>
      </c>
      <c r="G990" t="inlineStr">
        <is>
          <t>ARVIKA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31752-2026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46227</v>
      </c>
      <c r="E991" s="1" t="n">
        <v>46299</v>
      </c>
      <c r="F991" t="inlineStr">
        <is>
          <t>VÄRMLANDS LÄN</t>
        </is>
      </c>
      <c r="G991" t="inlineStr">
        <is>
          <t>ARVIKA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36804-2026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46272</v>
      </c>
      <c r="E992" s="1" t="n">
        <v>46299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18.5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35969-2022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44802</v>
      </c>
      <c r="E993" s="1" t="n">
        <v>46299</v>
      </c>
      <c r="F993" t="inlineStr">
        <is>
          <t>VÄRMLANDS LÄN</t>
        </is>
      </c>
      <c r="G993" t="inlineStr">
        <is>
          <t>ARVIKA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7686-2023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44972</v>
      </c>
      <c r="E994" s="1" t="n">
        <v>46299</v>
      </c>
      <c r="F994" t="inlineStr">
        <is>
          <t>VÄRMLANDS LÄN</t>
        </is>
      </c>
      <c r="G994" t="inlineStr">
        <is>
          <t>ARVIKA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10581-2023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44988</v>
      </c>
      <c r="E995" s="1" t="n">
        <v>46299</v>
      </c>
      <c r="F995" t="inlineStr">
        <is>
          <t>VÄRMLANDS LÄN</t>
        </is>
      </c>
      <c r="G995" t="inlineStr">
        <is>
          <t>ARVIKA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31981-2026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46232</v>
      </c>
      <c r="E996" s="1" t="n">
        <v>46299</v>
      </c>
      <c r="F996" t="inlineStr">
        <is>
          <t>VÄRMLANDS LÄN</t>
        </is>
      </c>
      <c r="G996" t="inlineStr">
        <is>
          <t>ARVIKA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37323-2026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46275</v>
      </c>
      <c r="E997" s="1" t="n">
        <v>46299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46299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37319-2026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46275</v>
      </c>
      <c r="E999" s="1" t="n">
        <v>46299</v>
      </c>
      <c r="F999" t="inlineStr">
        <is>
          <t>VÄRMLANDS LÄN</t>
        </is>
      </c>
      <c r="G999" t="inlineStr">
        <is>
          <t>ARVIKA</t>
        </is>
      </c>
      <c r="I999" t="n">
        <v>9.5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46299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7.9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31926-2026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46231</v>
      </c>
      <c r="E1001" s="1" t="n">
        <v>46299</v>
      </c>
      <c r="F1001" t="inlineStr">
        <is>
          <t>VÄRMLANDS LÄN</t>
        </is>
      </c>
      <c r="G1001" t="inlineStr">
        <is>
          <t>ARVIKA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31927-2026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46231</v>
      </c>
      <c r="E1002" s="1" t="n">
        <v>46299</v>
      </c>
      <c r="F1002" t="inlineStr">
        <is>
          <t>VÄRMLANDS LÄN</t>
        </is>
      </c>
      <c r="G1002" t="inlineStr">
        <is>
          <t>ARVIKA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37768-2026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46279</v>
      </c>
      <c r="E1003" s="1" t="n">
        <v>46299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46299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37829-2026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46279</v>
      </c>
      <c r="E1005" s="1" t="n">
        <v>46299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21468-2023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45063</v>
      </c>
      <c r="E1006" s="1" t="n">
        <v>46299</v>
      </c>
      <c r="F1006" t="inlineStr">
        <is>
          <t>VÄRMLANDS LÄN</t>
        </is>
      </c>
      <c r="G1006" t="inlineStr">
        <is>
          <t>ARVIKA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37763-2026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46279</v>
      </c>
      <c r="E1007" s="1" t="n">
        <v>46299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46233</v>
      </c>
      <c r="E1008" s="1" t="n">
        <v>46299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40299-2023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45169</v>
      </c>
      <c r="E1009" s="1" t="n">
        <v>46299</v>
      </c>
      <c r="F1009" t="inlineStr">
        <is>
          <t>VÄRMLANDS LÄN</t>
        </is>
      </c>
      <c r="G1009" t="inlineStr">
        <is>
          <t>ARVIKA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32231-2026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46237</v>
      </c>
      <c r="E1010" s="1" t="n">
        <v>46299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46171-2023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45196</v>
      </c>
      <c r="E1011" s="1" t="n">
        <v>46299</v>
      </c>
      <c r="F1011" t="inlineStr">
        <is>
          <t>VÄRMLANDS LÄN</t>
        </is>
      </c>
      <c r="G1011" t="inlineStr">
        <is>
          <t>ARVIKA</t>
        </is>
      </c>
      <c r="I1011" t="n">
        <v>3.6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32160-2026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46237</v>
      </c>
      <c r="E1012" s="1" t="n">
        <v>46299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14488-2025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45741</v>
      </c>
      <c r="E1013" s="1" t="n">
        <v>46299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41607-2023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45175</v>
      </c>
      <c r="E1014" s="1" t="n">
        <v>46299</v>
      </c>
      <c r="F1014" t="inlineStr">
        <is>
          <t>VÄRMLANDS LÄN</t>
        </is>
      </c>
      <c r="G1014" t="inlineStr">
        <is>
          <t>ARVIKA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33639-2024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46299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28411-2024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45477</v>
      </c>
      <c r="E1016" s="1" t="n">
        <v>46299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61864-2024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45650</v>
      </c>
      <c r="E1017" s="1" t="n">
        <v>46299</v>
      </c>
      <c r="F1017" t="inlineStr">
        <is>
          <t>VÄRMLANDS LÄN</t>
        </is>
      </c>
      <c r="G1017" t="inlineStr">
        <is>
          <t>ARVIKA</t>
        </is>
      </c>
      <c r="I1017" t="n">
        <v>13.3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59104-2024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45637</v>
      </c>
      <c r="E1018" s="1" t="n">
        <v>46299</v>
      </c>
      <c r="F1018" t="inlineStr">
        <is>
          <t>VÄRMLANDS LÄN</t>
        </is>
      </c>
      <c r="G1018" t="inlineStr">
        <is>
          <t>ARVIKA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32263-2024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45512</v>
      </c>
      <c r="E1019" s="1" t="n">
        <v>46299</v>
      </c>
      <c r="F1019" t="inlineStr">
        <is>
          <t>VÄRMLANDS LÄN</t>
        </is>
      </c>
      <c r="G1019" t="inlineStr">
        <is>
          <t>ARVIKA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32496-2026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46239</v>
      </c>
      <c r="E1020" s="1" t="n">
        <v>46299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38681-2026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46299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47945-2024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45589</v>
      </c>
      <c r="E1022" s="1" t="n">
        <v>46299</v>
      </c>
      <c r="F1022" t="inlineStr">
        <is>
          <t>VÄRMLANDS LÄN</t>
        </is>
      </c>
      <c r="G1022" t="inlineStr">
        <is>
          <t>ARVIKA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31452-2023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45114</v>
      </c>
      <c r="E1023" s="1" t="n">
        <v>46299</v>
      </c>
      <c r="F1023" t="inlineStr">
        <is>
          <t>VÄRMLANDS LÄN</t>
        </is>
      </c>
      <c r="G1023" t="inlineStr">
        <is>
          <t>ARVIKA</t>
        </is>
      </c>
      <c r="I1023" t="n">
        <v>4.7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46283</v>
      </c>
      <c r="E1024" s="1" t="n">
        <v>46299</v>
      </c>
      <c r="F1024" t="inlineStr">
        <is>
          <t>VÄRMLANDS LÄN</t>
        </is>
      </c>
      <c r="G1024" t="inlineStr">
        <is>
          <t>ARVIKA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32565-2026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46239</v>
      </c>
      <c r="E1025" s="1" t="n">
        <v>46299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38435-2026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46282</v>
      </c>
      <c r="E1026" s="1" t="n">
        <v>46299</v>
      </c>
      <c r="F1026" t="inlineStr">
        <is>
          <t>VÄRMLANDS LÄN</t>
        </is>
      </c>
      <c r="G1026" t="inlineStr">
        <is>
          <t>ARVIKA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26703-2023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45093</v>
      </c>
      <c r="E1027" s="1" t="n">
        <v>46299</v>
      </c>
      <c r="F1027" t="inlineStr">
        <is>
          <t>VÄRMLANDS LÄN</t>
        </is>
      </c>
      <c r="G1027" t="inlineStr">
        <is>
          <t>ARVIKA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26710-2023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45093</v>
      </c>
      <c r="E1028" s="1" t="n">
        <v>46299</v>
      </c>
      <c r="F1028" t="inlineStr">
        <is>
          <t>VÄRMLANDS LÄN</t>
        </is>
      </c>
      <c r="G1028" t="inlineStr">
        <is>
          <t>ARVIKA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38382-2026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46282</v>
      </c>
      <c r="E1029" s="1" t="n">
        <v>46299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45742</v>
      </c>
      <c r="E1030" s="1" t="n">
        <v>46299</v>
      </c>
      <c r="F1030" t="inlineStr">
        <is>
          <t>VÄRMLANDS LÄN</t>
        </is>
      </c>
      <c r="G1030" t="inlineStr">
        <is>
          <t>ARVIKA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56430-2023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45243</v>
      </c>
      <c r="E1031" s="1" t="n">
        <v>46299</v>
      </c>
      <c r="F1031" t="inlineStr">
        <is>
          <t>VÄRMLANDS LÄN</t>
        </is>
      </c>
      <c r="G1031" t="inlineStr">
        <is>
          <t>ARVIKA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38929-2026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46286</v>
      </c>
      <c r="E1032" s="1" t="n">
        <v>46299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23813-2022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44722</v>
      </c>
      <c r="E1033" s="1" t="n">
        <v>46299</v>
      </c>
      <c r="F1033" t="inlineStr">
        <is>
          <t>VÄRMLANDS LÄN</t>
        </is>
      </c>
      <c r="G1033" t="inlineStr">
        <is>
          <t>ARVIKA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9321-2022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44616</v>
      </c>
      <c r="E1034" s="1" t="n">
        <v>46299</v>
      </c>
      <c r="F1034" t="inlineStr">
        <is>
          <t>VÄRMLANDS LÄN</t>
        </is>
      </c>
      <c r="G1034" t="inlineStr">
        <is>
          <t>ARVIKA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3643-2022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44586</v>
      </c>
      <c r="E1035" s="1" t="n">
        <v>46299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41493-2024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45560</v>
      </c>
      <c r="E1036" s="1" t="n">
        <v>46299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39052-2026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46287</v>
      </c>
      <c r="E1037" s="1" t="n">
        <v>46299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39057-2026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46287</v>
      </c>
      <c r="E1038" s="1" t="n">
        <v>46299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38140-2025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45882</v>
      </c>
      <c r="E1039" s="1" t="n">
        <v>46299</v>
      </c>
      <c r="F1039" t="inlineStr">
        <is>
          <t>VÄRMLANDS LÄN</t>
        </is>
      </c>
      <c r="G1039" t="inlineStr">
        <is>
          <t>ARVIKA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32747-2026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46241</v>
      </c>
      <c r="E1040" s="1" t="n">
        <v>46299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23660-2023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45077</v>
      </c>
      <c r="E1041" s="1" t="n">
        <v>46299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38943-2026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46286</v>
      </c>
      <c r="E1042" s="1" t="n">
        <v>46299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39118-2026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46287</v>
      </c>
      <c r="E1043" s="1" t="n">
        <v>46299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32854-2026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46244</v>
      </c>
      <c r="E1044" s="1" t="n">
        <v>46299</v>
      </c>
      <c r="F1044" t="inlineStr">
        <is>
          <t>VÄRMLANDS LÄN</t>
        </is>
      </c>
      <c r="G1044" t="inlineStr">
        <is>
          <t>ARVIKA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46299</v>
      </c>
      <c r="F1045" t="inlineStr">
        <is>
          <t>VÄRMLANDS LÄN</t>
        </is>
      </c>
      <c r="G1045" t="inlineStr">
        <is>
          <t>ARVIKA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39026-2026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46287</v>
      </c>
      <c r="E1046" s="1" t="n">
        <v>46299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3760-2023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44951</v>
      </c>
      <c r="E1047" s="1" t="n">
        <v>46299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46299</v>
      </c>
      <c r="F1048" t="inlineStr">
        <is>
          <t>VÄRMLANDS LÄN</t>
        </is>
      </c>
      <c r="G1048" t="inlineStr">
        <is>
          <t>ARVIKA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39071-2026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46287</v>
      </c>
      <c r="E1049" s="1" t="n">
        <v>46299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45756-2024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45579</v>
      </c>
      <c r="E1050" s="1" t="n">
        <v>46299</v>
      </c>
      <c r="F1050" t="inlineStr">
        <is>
          <t>VÄRMLANDS LÄN</t>
        </is>
      </c>
      <c r="G1050" t="inlineStr">
        <is>
          <t>ARVIKA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14772-2023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45014</v>
      </c>
      <c r="E1051" s="1" t="n">
        <v>46299</v>
      </c>
      <c r="F1051" t="inlineStr">
        <is>
          <t>VÄRMLANDS LÄN</t>
        </is>
      </c>
      <c r="G1051" t="inlineStr">
        <is>
          <t>ARVIKA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46514-2025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46299</v>
      </c>
      <c r="F1052" t="inlineStr">
        <is>
          <t>VÄRMLANDS LÄN</t>
        </is>
      </c>
      <c r="G1052" t="inlineStr">
        <is>
          <t>ARVIKA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20071-2025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45772</v>
      </c>
      <c r="E1053" s="1" t="n">
        <v>46299</v>
      </c>
      <c r="F1053" t="inlineStr">
        <is>
          <t>VÄRMLANDS LÄN</t>
        </is>
      </c>
      <c r="G1053" t="inlineStr">
        <is>
          <t>ARVIKA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39574-2026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46289</v>
      </c>
      <c r="E1054" s="1" t="n">
        <v>46299</v>
      </c>
      <c r="F1054" t="inlineStr">
        <is>
          <t>VÄRMLANDS LÄN</t>
        </is>
      </c>
      <c r="G1054" t="inlineStr">
        <is>
          <t>ARVIKA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39313-2026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46299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33264-2026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46246</v>
      </c>
      <c r="E1056" s="1" t="n">
        <v>46299</v>
      </c>
      <c r="F1056" t="inlineStr">
        <is>
          <t>VÄRMLANDS LÄN</t>
        </is>
      </c>
      <c r="G1056" t="inlineStr">
        <is>
          <t>ARVIKA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23072-2022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44718</v>
      </c>
      <c r="E1057" s="1" t="n">
        <v>46299</v>
      </c>
      <c r="F1057" t="inlineStr">
        <is>
          <t>VÄRMLANDS LÄN</t>
        </is>
      </c>
      <c r="G1057" t="inlineStr">
        <is>
          <t>ARVIKA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8784-2023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44978</v>
      </c>
      <c r="E1058" s="1" t="n">
        <v>46299</v>
      </c>
      <c r="F1058" t="inlineStr">
        <is>
          <t>VÄRMLANDS LÄN</t>
        </is>
      </c>
      <c r="G1058" t="inlineStr">
        <is>
          <t>ARVIKA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34871-2026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46258</v>
      </c>
      <c r="E1059" s="1" t="n">
        <v>46299</v>
      </c>
      <c r="F1059" t="inlineStr">
        <is>
          <t>VÄRMLANDS LÄN</t>
        </is>
      </c>
      <c r="G1059" t="inlineStr">
        <is>
          <t>ARVIKA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12744-2024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45384</v>
      </c>
      <c r="E1060" s="1" t="n">
        <v>46299</v>
      </c>
      <c r="F1060" t="inlineStr">
        <is>
          <t>VÄRMLANDS LÄN</t>
        </is>
      </c>
      <c r="G1060" t="inlineStr">
        <is>
          <t>ARVIKA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24999-2024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45461</v>
      </c>
      <c r="E1061" s="1" t="n">
        <v>46299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46299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58591-2023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45251</v>
      </c>
      <c r="E1063" s="1" t="n">
        <v>46299</v>
      </c>
      <c r="F1063" t="inlineStr">
        <is>
          <t>VÄRMLANDS LÄN</t>
        </is>
      </c>
      <c r="G1063" t="inlineStr">
        <is>
          <t>ARVIKA</t>
        </is>
      </c>
      <c r="I1063" t="n">
        <v>15.3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61945-2024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45653</v>
      </c>
      <c r="E1064" s="1" t="n">
        <v>46299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5.3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40131-2026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46293</v>
      </c>
      <c r="E1065" s="1" t="n">
        <v>46299</v>
      </c>
      <c r="F1065" t="inlineStr">
        <is>
          <t>VÄRMLANDS LÄN</t>
        </is>
      </c>
      <c r="G1065" t="inlineStr">
        <is>
          <t>ARVIKA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35992-2023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45149</v>
      </c>
      <c r="E1066" s="1" t="n">
        <v>46299</v>
      </c>
      <c r="F1066" t="inlineStr">
        <is>
          <t>VÄRMLANDS LÄN</t>
        </is>
      </c>
      <c r="G1066" t="inlineStr">
        <is>
          <t>ARVIKA</t>
        </is>
      </c>
      <c r="H1066" t="inlineStr">
        <is>
          <t>Kyrkan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45296-2023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45191</v>
      </c>
      <c r="E1067" s="1" t="n">
        <v>46299</v>
      </c>
      <c r="F1067" t="inlineStr">
        <is>
          <t>VÄRMLANDS LÄN</t>
        </is>
      </c>
      <c r="G1067" t="inlineStr">
        <is>
          <t>ARVIKA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45298-2023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46299</v>
      </c>
      <c r="F1068" t="inlineStr">
        <is>
          <t>VÄRMLANDS LÄN</t>
        </is>
      </c>
      <c r="G1068" t="inlineStr">
        <is>
          <t>ARVIKA</t>
        </is>
      </c>
      <c r="I1068" t="n">
        <v>4.5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34400-2023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45132</v>
      </c>
      <c r="E1069" s="1" t="n">
        <v>46299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46299</v>
      </c>
      <c r="F1070" t="inlineStr">
        <is>
          <t>VÄRMLANDS LÄN</t>
        </is>
      </c>
      <c r="G1070" t="inlineStr">
        <is>
          <t>ARVIKA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42179-2022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44830</v>
      </c>
      <c r="E1071" s="1" t="n">
        <v>46299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35339-2024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45530</v>
      </c>
      <c r="E1072" s="1" t="n">
        <v>46299</v>
      </c>
      <c r="F1072" t="inlineStr">
        <is>
          <t>VÄRMLANDS LÄN</t>
        </is>
      </c>
      <c r="G1072" t="inlineStr">
        <is>
          <t>ARVIKA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36256-2026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46268</v>
      </c>
      <c r="E1073" s="1" t="n">
        <v>46299</v>
      </c>
      <c r="F1073" t="inlineStr">
        <is>
          <t>VÄRMLANDS LÄN</t>
        </is>
      </c>
      <c r="G1073" t="inlineStr">
        <is>
          <t>ARVIKA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49337-2023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45210</v>
      </c>
      <c r="E1074" s="1" t="n">
        <v>46299</v>
      </c>
      <c r="F1074" t="inlineStr">
        <is>
          <t>VÄRMLANDS LÄN</t>
        </is>
      </c>
      <c r="G1074" t="inlineStr">
        <is>
          <t>ARVIKA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33432-2026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46247</v>
      </c>
      <c r="E1075" s="1" t="n">
        <v>46299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3355-2022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44585</v>
      </c>
      <c r="E1076" s="1" t="n">
        <v>46299</v>
      </c>
      <c r="F1076" t="inlineStr">
        <is>
          <t>VÄRMLANDS LÄN</t>
        </is>
      </c>
      <c r="G1076" t="inlineStr">
        <is>
          <t>ARVIKA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60183-2021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44495</v>
      </c>
      <c r="E1077" s="1" t="n">
        <v>46299</v>
      </c>
      <c r="F1077" t="inlineStr">
        <is>
          <t>VÄRMLANDS LÄN</t>
        </is>
      </c>
      <c r="G1077" t="inlineStr">
        <is>
          <t>ARVIKA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41175-2024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45559</v>
      </c>
      <c r="E1078" s="1" t="n">
        <v>46299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11892-2025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45728</v>
      </c>
      <c r="E1079" s="1" t="n">
        <v>46299</v>
      </c>
      <c r="F1079" t="inlineStr">
        <is>
          <t>VÄRMLANDS LÄN</t>
        </is>
      </c>
      <c r="G1079" t="inlineStr">
        <is>
          <t>ARVIKA</t>
        </is>
      </c>
      <c r="I1079" t="n">
        <v>0.3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59625-2024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45638</v>
      </c>
      <c r="E1080" s="1" t="n">
        <v>46299</v>
      </c>
      <c r="F1080" t="inlineStr">
        <is>
          <t>VÄRMLANDS LÄN</t>
        </is>
      </c>
      <c r="G1080" t="inlineStr">
        <is>
          <t>ARVIKA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33668-2026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46248</v>
      </c>
      <c r="E1081" s="1" t="n">
        <v>46299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51815-2024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45607</v>
      </c>
      <c r="E1082" s="1" t="n">
        <v>46299</v>
      </c>
      <c r="F1082" t="inlineStr">
        <is>
          <t>VÄRMLANDS LÄN</t>
        </is>
      </c>
      <c r="G1082" t="inlineStr">
        <is>
          <t>ARVIKA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5744-2024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45335</v>
      </c>
      <c r="E1083" s="1" t="n">
        <v>46299</v>
      </c>
      <c r="F1083" t="inlineStr">
        <is>
          <t>VÄRMLANDS LÄN</t>
        </is>
      </c>
      <c r="G1083" t="inlineStr">
        <is>
          <t>ARVIKA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33616-2026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46248</v>
      </c>
      <c r="E1084" s="1" t="n">
        <v>46299</v>
      </c>
      <c r="F1084" t="inlineStr">
        <is>
          <t>VÄRMLANDS LÄN</t>
        </is>
      </c>
      <c r="G1084" t="inlineStr">
        <is>
          <t>ARVIKA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40074-2026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46293</v>
      </c>
      <c r="E1085" s="1" t="n">
        <v>46299</v>
      </c>
      <c r="F1085" t="inlineStr">
        <is>
          <t>VÄRMLANDS LÄN</t>
        </is>
      </c>
      <c r="G1085" t="inlineStr">
        <is>
          <t>ARVIKA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57346-2022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44896</v>
      </c>
      <c r="E1086" s="1" t="n">
        <v>46299</v>
      </c>
      <c r="F1086" t="inlineStr">
        <is>
          <t>VÄRMLANDS LÄN</t>
        </is>
      </c>
      <c r="G1086" t="inlineStr">
        <is>
          <t>ARVIKA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55061-2023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45237</v>
      </c>
      <c r="E1087" s="1" t="n">
        <v>46299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73936-2021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44552</v>
      </c>
      <c r="E1088" s="1" t="n">
        <v>46299</v>
      </c>
      <c r="F1088" t="inlineStr">
        <is>
          <t>VÄRMLANDS LÄN</t>
        </is>
      </c>
      <c r="G1088" t="inlineStr">
        <is>
          <t>ARVIKA</t>
        </is>
      </c>
      <c r="I1088" t="n">
        <v>4.7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1410-2025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45667</v>
      </c>
      <c r="E1089" s="1" t="n">
        <v>46299</v>
      </c>
      <c r="F1089" t="inlineStr">
        <is>
          <t>VÄRMLANDS LÄN</t>
        </is>
      </c>
      <c r="G1089" t="inlineStr">
        <is>
          <t>ARVIKA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34446-2023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45135</v>
      </c>
      <c r="E1090" s="1" t="n">
        <v>46299</v>
      </c>
      <c r="F1090" t="inlineStr">
        <is>
          <t>VÄRMLANDS LÄN</t>
        </is>
      </c>
      <c r="G1090" t="inlineStr">
        <is>
          <t>ARVIKA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54027-2025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45962</v>
      </c>
      <c r="E1091" s="1" t="n">
        <v>46299</v>
      </c>
      <c r="F1091" t="inlineStr">
        <is>
          <t>VÄRMLANDS LÄN</t>
        </is>
      </c>
      <c r="G1091" t="inlineStr">
        <is>
          <t>ARVIKA</t>
        </is>
      </c>
      <c r="I1091" t="n">
        <v>2.9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6255-2023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44965</v>
      </c>
      <c r="E1092" s="1" t="n">
        <v>46299</v>
      </c>
      <c r="F1092" t="inlineStr">
        <is>
          <t>VÄRMLANDS LÄN</t>
        </is>
      </c>
      <c r="G1092" t="inlineStr">
        <is>
          <t>ARVIKA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40291-2026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46294</v>
      </c>
      <c r="E1093" s="1" t="n">
        <v>46299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50234-2023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45216</v>
      </c>
      <c r="E1094" s="1" t="n">
        <v>46299</v>
      </c>
      <c r="F1094" t="inlineStr">
        <is>
          <t>VÄRMLANDS LÄN</t>
        </is>
      </c>
      <c r="G1094" t="inlineStr">
        <is>
          <t>ARVIKA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20345-2022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44699</v>
      </c>
      <c r="E1095" s="1" t="n">
        <v>46299</v>
      </c>
      <c r="F1095" t="inlineStr">
        <is>
          <t>VÄRMLANDS LÄN</t>
        </is>
      </c>
      <c r="G1095" t="inlineStr">
        <is>
          <t>ARVIKA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4065-2025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45684</v>
      </c>
      <c r="E1096" s="1" t="n">
        <v>46299</v>
      </c>
      <c r="F1096" t="inlineStr">
        <is>
          <t>VÄRMLANDS LÄN</t>
        </is>
      </c>
      <c r="G1096" t="inlineStr">
        <is>
          <t>ARVIKA</t>
        </is>
      </c>
      <c r="I1096" t="n">
        <v>4.5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40251-2026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46294</v>
      </c>
      <c r="E1097" s="1" t="n">
        <v>46299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20171-2025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45772</v>
      </c>
      <c r="E1098" s="1" t="n">
        <v>46299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60516-2024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45643</v>
      </c>
      <c r="E1099" s="1" t="n">
        <v>46299</v>
      </c>
      <c r="F1099" t="inlineStr">
        <is>
          <t>VÄRMLANDS LÄN</t>
        </is>
      </c>
      <c r="G1099" t="inlineStr">
        <is>
          <t>ARVIKA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40451-2026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46294</v>
      </c>
      <c r="E1100" s="1" t="n">
        <v>46299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46251</v>
      </c>
      <c r="E1101" s="1" t="n">
        <v>46299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33423-2026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46247</v>
      </c>
      <c r="E1102" s="1" t="n">
        <v>46299</v>
      </c>
      <c r="F1102" t="inlineStr">
        <is>
          <t>VÄRMLANDS LÄN</t>
        </is>
      </c>
      <c r="G1102" t="inlineStr">
        <is>
          <t>ARVIKA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40330-2026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46294</v>
      </c>
      <c r="E1103" s="1" t="n">
        <v>46299</v>
      </c>
      <c r="F1103" t="inlineStr">
        <is>
          <t>VÄRMLANDS LÄN</t>
        </is>
      </c>
      <c r="G1103" t="inlineStr">
        <is>
          <t>ARVIKA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33047-2024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45517</v>
      </c>
      <c r="E1104" s="1" t="n">
        <v>46299</v>
      </c>
      <c r="F1104" t="inlineStr">
        <is>
          <t>VÄRMLANDS LÄN</t>
        </is>
      </c>
      <c r="G1104" t="inlineStr">
        <is>
          <t>ARVIKA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  <c r="Z1104">
        <f>HYPERLINK("https://klasma.github.io/Logging_1784/knärot/A 33047-2024 karta knärot.png", "A 33047-2024")</f>
        <v/>
      </c>
      <c r="AA1104">
        <f>HYPERLINK("https://klasma.github.io/Logging_1784/klagomål/A 33047-2024 FSC-klagomål.docx", "A 33047-2024")</f>
        <v/>
      </c>
      <c r="AB1104">
        <f>HYPERLINK("https://klasma.github.io/Logging_1784/klagomålsmail/A 33047-2024 FSC-klagomål mail.docx", "A 33047-2024")</f>
        <v/>
      </c>
      <c r="AC1104">
        <f>HYPERLINK("https://klasma.github.io/Logging_1784/tillsyn/A 33047-2024 tillsynsbegäran.docx", "A 33047-2024")</f>
        <v/>
      </c>
      <c r="AD1104">
        <f>HYPERLINK("https://klasma.github.io/Logging_1784/tillsynsmail/A 33047-2024 tillsynsbegäran mail.docx", "A 33047-2024")</f>
        <v/>
      </c>
    </row>
    <row r="1105" ht="15" customHeight="1">
      <c r="A1105" t="inlineStr">
        <is>
          <t>A 33745-2026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46251</v>
      </c>
      <c r="E1105" s="1" t="n">
        <v>46299</v>
      </c>
      <c r="F1105" t="inlineStr">
        <is>
          <t>VÄRMLANDS LÄN</t>
        </is>
      </c>
      <c r="G1105" t="inlineStr">
        <is>
          <t>ARVIKA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58066-2024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45631</v>
      </c>
      <c r="E1106" s="1" t="n">
        <v>46299</v>
      </c>
      <c r="F1106" t="inlineStr">
        <is>
          <t>VÄRMLANDS LÄN</t>
        </is>
      </c>
      <c r="G1106" t="inlineStr">
        <is>
          <t>ARVIKA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71778-2021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44543</v>
      </c>
      <c r="E1107" s="1" t="n">
        <v>46299</v>
      </c>
      <c r="F1107" t="inlineStr">
        <is>
          <t>VÄRMLANDS LÄN</t>
        </is>
      </c>
      <c r="G1107" t="inlineStr">
        <is>
          <t>ARVIKA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58151-2024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45632</v>
      </c>
      <c r="E1108" s="1" t="n">
        <v>46299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58153-2024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45632</v>
      </c>
      <c r="E1109" s="1" t="n">
        <v>46299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39597-2023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45163</v>
      </c>
      <c r="E1110" s="1" t="n">
        <v>46299</v>
      </c>
      <c r="F1110" t="inlineStr">
        <is>
          <t>VÄRMLANDS LÄN</t>
        </is>
      </c>
      <c r="G1110" t="inlineStr">
        <is>
          <t>ARVIKA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39601-2023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45163</v>
      </c>
      <c r="E1111" s="1" t="n">
        <v>46299</v>
      </c>
      <c r="F1111" t="inlineStr">
        <is>
          <t>VÄRMLANDS LÄN</t>
        </is>
      </c>
      <c r="G1111" t="inlineStr">
        <is>
          <t>ARVIKA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61555-2022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44916</v>
      </c>
      <c r="E1112" s="1" t="n">
        <v>46299</v>
      </c>
      <c r="F1112" t="inlineStr">
        <is>
          <t>VÄRMLANDS LÄN</t>
        </is>
      </c>
      <c r="G1112" t="inlineStr">
        <is>
          <t>ARVIKA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51316-2024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45604</v>
      </c>
      <c r="E1113" s="1" t="n">
        <v>46299</v>
      </c>
      <c r="F1113" t="inlineStr">
        <is>
          <t>VÄRMLANDS LÄN</t>
        </is>
      </c>
      <c r="G1113" t="inlineStr">
        <is>
          <t>ARVIKA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34222-2026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46253</v>
      </c>
      <c r="E1114" s="1" t="n">
        <v>46299</v>
      </c>
      <c r="F1114" t="inlineStr">
        <is>
          <t>VÄRMLANDS LÄN</t>
        </is>
      </c>
      <c r="G1114" t="inlineStr">
        <is>
          <t>ARVIKA</t>
        </is>
      </c>
      <c r="I1114" t="n">
        <v>6.1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59341-2022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44904</v>
      </c>
      <c r="E1115" s="1" t="n">
        <v>46299</v>
      </c>
      <c r="F1115" t="inlineStr">
        <is>
          <t>VÄRMLANDS LÄN</t>
        </is>
      </c>
      <c r="G1115" t="inlineStr">
        <is>
          <t>ARVIKA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34480-2026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46254</v>
      </c>
      <c r="E1116" s="1" t="n">
        <v>46299</v>
      </c>
      <c r="F1116" t="inlineStr">
        <is>
          <t>VÄRMLANDS LÄN</t>
        </is>
      </c>
      <c r="G1116" t="inlineStr">
        <is>
          <t>ARVIKA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39470-2026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46288</v>
      </c>
      <c r="E1117" s="1" t="n">
        <v>46299</v>
      </c>
      <c r="F1117" t="inlineStr">
        <is>
          <t>VÄRMLANDS LÄN</t>
        </is>
      </c>
      <c r="G1117" t="inlineStr">
        <is>
          <t>ARVIKA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46515-2023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45197</v>
      </c>
      <c r="E1118" s="1" t="n">
        <v>46299</v>
      </c>
      <c r="F1118" t="inlineStr">
        <is>
          <t>VÄRMLANDS LÄN</t>
        </is>
      </c>
      <c r="G1118" t="inlineStr">
        <is>
          <t>ARVIKA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49925-2024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45597</v>
      </c>
      <c r="E1119" s="1" t="n">
        <v>46299</v>
      </c>
      <c r="F1119" t="inlineStr">
        <is>
          <t>VÄRMLANDS LÄN</t>
        </is>
      </c>
      <c r="G1119" t="inlineStr">
        <is>
          <t>ARVIKA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34537-2026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46255</v>
      </c>
      <c r="E1120" s="1" t="n">
        <v>46299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34252-2026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46253</v>
      </c>
      <c r="E1121" s="1" t="n">
        <v>46299</v>
      </c>
      <c r="F1121" t="inlineStr">
        <is>
          <t>VÄRMLANDS LÄN</t>
        </is>
      </c>
      <c r="G1121" t="inlineStr">
        <is>
          <t>ARVIKA</t>
        </is>
      </c>
      <c r="I1121" t="n">
        <v>4.2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55734-2024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45622</v>
      </c>
      <c r="E1122" s="1" t="n">
        <v>46299</v>
      </c>
      <c r="F1122" t="inlineStr">
        <is>
          <t>VÄRMLANDS LÄN</t>
        </is>
      </c>
      <c r="G1122" t="inlineStr">
        <is>
          <t>ARVIKA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67196-2021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44523</v>
      </c>
      <c r="E1123" s="1" t="n">
        <v>46299</v>
      </c>
      <c r="F1123" t="inlineStr">
        <is>
          <t>VÄRMLANDS LÄN</t>
        </is>
      </c>
      <c r="G1123" t="inlineStr">
        <is>
          <t>ARVIKA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65357-2021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44515</v>
      </c>
      <c r="E1124" s="1" t="n">
        <v>46299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33869-2024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45520</v>
      </c>
      <c r="E1125" s="1" t="n">
        <v>46299</v>
      </c>
      <c r="F1125" t="inlineStr">
        <is>
          <t>VÄRMLANDS LÄN</t>
        </is>
      </c>
      <c r="G1125" t="inlineStr">
        <is>
          <t>ARVIKA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7348-2025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45703</v>
      </c>
      <c r="E1126" s="1" t="n">
        <v>46299</v>
      </c>
      <c r="F1126" t="inlineStr">
        <is>
          <t>VÄRMLANDS LÄN</t>
        </is>
      </c>
      <c r="G1126" t="inlineStr">
        <is>
          <t>ARVIKA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40648-2026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46296</v>
      </c>
      <c r="E1127" s="1" t="n">
        <v>46299</v>
      </c>
      <c r="F1127" t="inlineStr">
        <is>
          <t>VÄRMLANDS LÄN</t>
        </is>
      </c>
      <c r="G1127" t="inlineStr">
        <is>
          <t>ARVIKA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8795-2023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44978</v>
      </c>
      <c r="E1128" s="1" t="n">
        <v>46299</v>
      </c>
      <c r="F1128" t="inlineStr">
        <is>
          <t>VÄRMLANDS LÄN</t>
        </is>
      </c>
      <c r="G1128" t="inlineStr">
        <is>
          <t>ARVIKA</t>
        </is>
      </c>
      <c r="I1128" t="n">
        <v>0.3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27760-2023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45098</v>
      </c>
      <c r="E1129" s="1" t="n">
        <v>46299</v>
      </c>
      <c r="F1129" t="inlineStr">
        <is>
          <t>VÄRMLANDS LÄN</t>
        </is>
      </c>
      <c r="G1129" t="inlineStr">
        <is>
          <t>ARVIKA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10850-2022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44627</v>
      </c>
      <c r="E1130" s="1" t="n">
        <v>46299</v>
      </c>
      <c r="F1130" t="inlineStr">
        <is>
          <t>VÄRMLANDS LÄN</t>
        </is>
      </c>
      <c r="G1130" t="inlineStr">
        <is>
          <t>ARVIKA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17363-2023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45035</v>
      </c>
      <c r="E1131" s="1" t="n">
        <v>46299</v>
      </c>
      <c r="F1131" t="inlineStr">
        <is>
          <t>VÄRMLANDS LÄN</t>
        </is>
      </c>
      <c r="G1131" t="inlineStr">
        <is>
          <t>ARVIKA</t>
        </is>
      </c>
      <c r="I1131" t="n">
        <v>19.4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60366-2023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45259</v>
      </c>
      <c r="E1132" s="1" t="n">
        <v>46299</v>
      </c>
      <c r="F1132" t="inlineStr">
        <is>
          <t>VÄRMLANDS LÄN</t>
        </is>
      </c>
      <c r="G1132" t="inlineStr">
        <is>
          <t>ARVIKA</t>
        </is>
      </c>
      <c r="I1132" t="n">
        <v>4.9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46750-2024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45583</v>
      </c>
      <c r="E1133" s="1" t="n">
        <v>46299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45805-2024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45579</v>
      </c>
      <c r="E1134" s="1" t="n">
        <v>46299</v>
      </c>
      <c r="F1134" t="inlineStr">
        <is>
          <t>VÄRMLANDS LÄN</t>
        </is>
      </c>
      <c r="G1134" t="inlineStr">
        <is>
          <t>ARVIKA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58062-2024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45631</v>
      </c>
      <c r="E1135" s="1" t="n">
        <v>46299</v>
      </c>
      <c r="F1135" t="inlineStr">
        <is>
          <t>VÄRMLANDS LÄN</t>
        </is>
      </c>
      <c r="G1135" t="inlineStr">
        <is>
          <t>ARVIKA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25400-2023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45089</v>
      </c>
      <c r="E1136" s="1" t="n">
        <v>46299</v>
      </c>
      <c r="F1136" t="inlineStr">
        <is>
          <t>VÄRMLANDS LÄN</t>
        </is>
      </c>
      <c r="G1136" t="inlineStr">
        <is>
          <t>ARVIKA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25405-2023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46299</v>
      </c>
      <c r="F1137" t="inlineStr">
        <is>
          <t>VÄRMLANDS LÄN</t>
        </is>
      </c>
      <c r="G1137" t="inlineStr">
        <is>
          <t>ARVIKA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40436-2024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45555</v>
      </c>
      <c r="E1138" s="1" t="n">
        <v>46299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40441-2024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45555</v>
      </c>
      <c r="E1139" s="1" t="n">
        <v>46299</v>
      </c>
      <c r="F1139" t="inlineStr">
        <is>
          <t>VÄRMLANDS LÄN</t>
        </is>
      </c>
      <c r="G1139" t="inlineStr">
        <is>
          <t>ARVIKA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46530-2022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44848</v>
      </c>
      <c r="E1140" s="1" t="n">
        <v>46299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49245-2023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45210</v>
      </c>
      <c r="E1141" s="1" t="n">
        <v>46299</v>
      </c>
      <c r="F1141" t="inlineStr">
        <is>
          <t>VÄRMLANDS LÄN</t>
        </is>
      </c>
      <c r="G1141" t="inlineStr">
        <is>
          <t>ARVIKA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36303-2024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45534</v>
      </c>
      <c r="E1142" s="1" t="n">
        <v>46299</v>
      </c>
      <c r="F1142" t="inlineStr">
        <is>
          <t>VÄRMLANDS LÄN</t>
        </is>
      </c>
      <c r="G1142" t="inlineStr">
        <is>
          <t>ARVIKA</t>
        </is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26056-2024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45468</v>
      </c>
      <c r="E1143" s="1" t="n">
        <v>46299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25491-2023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45089</v>
      </c>
      <c r="E1144" s="1" t="n">
        <v>46299</v>
      </c>
      <c r="F1144" t="inlineStr">
        <is>
          <t>VÄRMLANDS LÄN</t>
        </is>
      </c>
      <c r="G1144" t="inlineStr">
        <is>
          <t>ARVIKA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38536-2023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45162</v>
      </c>
      <c r="E1145" s="1" t="n">
        <v>46299</v>
      </c>
      <c r="F1145" t="inlineStr">
        <is>
          <t>VÄRMLANDS LÄN</t>
        </is>
      </c>
      <c r="G1145" t="inlineStr">
        <is>
          <t>ARVIKA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3974-2023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44952</v>
      </c>
      <c r="E1146" s="1" t="n">
        <v>46299</v>
      </c>
      <c r="F1146" t="inlineStr">
        <is>
          <t>VÄRMLANDS LÄN</t>
        </is>
      </c>
      <c r="G1146" t="inlineStr">
        <is>
          <t>ARVIKA</t>
        </is>
      </c>
      <c r="I1146" t="n">
        <v>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39124-2024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45548</v>
      </c>
      <c r="E1147" s="1" t="n">
        <v>46299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31053-2023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45113</v>
      </c>
      <c r="E1148" s="1" t="n">
        <v>46299</v>
      </c>
      <c r="F1148" t="inlineStr">
        <is>
          <t>VÄRMLANDS LÄN</t>
        </is>
      </c>
      <c r="G1148" t="inlineStr">
        <is>
          <t>ARVIKA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57998-2023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45247</v>
      </c>
      <c r="E1149" s="1" t="n">
        <v>46299</v>
      </c>
      <c r="F1149" t="inlineStr">
        <is>
          <t>VÄRMLANDS LÄN</t>
        </is>
      </c>
      <c r="G1149" t="inlineStr">
        <is>
          <t>ARVIKA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25482-2023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45089</v>
      </c>
      <c r="E1150" s="1" t="n">
        <v>46299</v>
      </c>
      <c r="F1150" t="inlineStr">
        <is>
          <t>VÄRMLANDS LÄN</t>
        </is>
      </c>
      <c r="G1150" t="inlineStr">
        <is>
          <t>ARVIKA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56714-2022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44893</v>
      </c>
      <c r="E1151" s="1" t="n">
        <v>46299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40949-2022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44825</v>
      </c>
      <c r="E1152" s="1" t="n">
        <v>46299</v>
      </c>
      <c r="F1152" t="inlineStr">
        <is>
          <t>VÄRMLANDS LÄN</t>
        </is>
      </c>
      <c r="G1152" t="inlineStr">
        <is>
          <t>ARVIKA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36125-2022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44803</v>
      </c>
      <c r="E1153" s="1" t="n">
        <v>46299</v>
      </c>
      <c r="F1153" t="inlineStr">
        <is>
          <t>VÄRMLANDS LÄN</t>
        </is>
      </c>
      <c r="G1153" t="inlineStr">
        <is>
          <t>ARVIKA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63217-2023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45273</v>
      </c>
      <c r="E1154" s="1" t="n">
        <v>46299</v>
      </c>
      <c r="F1154" t="inlineStr">
        <is>
          <t>VÄRMLANDS LÄN</t>
        </is>
      </c>
      <c r="G1154" t="inlineStr">
        <is>
          <t>ARVIKA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4049-2022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44588</v>
      </c>
      <c r="E1155" s="1" t="n">
        <v>46299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26722-2023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45093</v>
      </c>
      <c r="E1156" s="1" t="n">
        <v>46299</v>
      </c>
      <c r="F1156" t="inlineStr">
        <is>
          <t>VÄRMLANDS LÄN</t>
        </is>
      </c>
      <c r="G1156" t="inlineStr">
        <is>
          <t>ARVIKA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26728-2023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45093</v>
      </c>
      <c r="E1157" s="1" t="n">
        <v>46299</v>
      </c>
      <c r="F1157" t="inlineStr">
        <is>
          <t>VÄRMLANDS LÄN</t>
        </is>
      </c>
      <c r="G1157" t="inlineStr">
        <is>
          <t>ARVIKA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32577-2023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45121</v>
      </c>
      <c r="E1158" s="1" t="n">
        <v>46299</v>
      </c>
      <c r="F1158" t="inlineStr">
        <is>
          <t>VÄRMLANDS LÄN</t>
        </is>
      </c>
      <c r="G1158" t="inlineStr">
        <is>
          <t>ARVIKA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70453-2021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44536</v>
      </c>
      <c r="E1159" s="1" t="n">
        <v>46299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8780-2023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44978</v>
      </c>
      <c r="E1160" s="1" t="n">
        <v>46299</v>
      </c>
      <c r="F1160" t="inlineStr">
        <is>
          <t>VÄRMLANDS LÄN</t>
        </is>
      </c>
      <c r="G1160" t="inlineStr">
        <is>
          <t>ARVIKA</t>
        </is>
      </c>
      <c r="I1160" t="n">
        <v>0.3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6602-2024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45341</v>
      </c>
      <c r="E1161" s="1" t="n">
        <v>46299</v>
      </c>
      <c r="F1161" t="inlineStr">
        <is>
          <t>VÄRMLANDS LÄN</t>
        </is>
      </c>
      <c r="G1161" t="inlineStr">
        <is>
          <t>ARVIKA</t>
        </is>
      </c>
      <c r="I1161" t="n">
        <v>7.5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42997-2023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45182</v>
      </c>
      <c r="E1162" s="1" t="n">
        <v>46299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29175-2024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45482</v>
      </c>
      <c r="E1163" s="1" t="n">
        <v>46299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35579-2023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45147</v>
      </c>
      <c r="E1164" s="1" t="n">
        <v>46299</v>
      </c>
      <c r="F1164" t="inlineStr">
        <is>
          <t>VÄRMLANDS LÄN</t>
        </is>
      </c>
      <c r="G1164" t="inlineStr">
        <is>
          <t>ARVIKA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45962-2024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45580</v>
      </c>
      <c r="E1165" s="1" t="n">
        <v>46299</v>
      </c>
      <c r="F1165" t="inlineStr">
        <is>
          <t>VÄRMLANDS LÄN</t>
        </is>
      </c>
      <c r="G1165" t="inlineStr">
        <is>
          <t>ARVIKA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3645-2023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44950</v>
      </c>
      <c r="E1166" s="1" t="n">
        <v>46299</v>
      </c>
      <c r="F1166" t="inlineStr">
        <is>
          <t>VÄRMLANDS LÄN</t>
        </is>
      </c>
      <c r="G1166" t="inlineStr">
        <is>
          <t>ARVIKA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10427-2024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45365</v>
      </c>
      <c r="E1167" s="1" t="n">
        <v>46299</v>
      </c>
      <c r="F1167" t="inlineStr">
        <is>
          <t>VÄRMLANDS LÄN</t>
        </is>
      </c>
      <c r="G1167" t="inlineStr">
        <is>
          <t>ARVIKA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19109-2024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45428</v>
      </c>
      <c r="E1168" s="1" t="n">
        <v>46299</v>
      </c>
      <c r="F1168" t="inlineStr">
        <is>
          <t>VÄRMLANDS LÄN</t>
        </is>
      </c>
      <c r="G1168" t="inlineStr">
        <is>
          <t>ARVIKA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14735-2023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45013</v>
      </c>
      <c r="E1169" s="1" t="n">
        <v>46299</v>
      </c>
      <c r="F1169" t="inlineStr">
        <is>
          <t>VÄRMLANDS LÄN</t>
        </is>
      </c>
      <c r="G1169" t="inlineStr">
        <is>
          <t>ARVIKA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43968-2024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45572</v>
      </c>
      <c r="E1170" s="1" t="n">
        <v>46299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22714-2024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45448</v>
      </c>
      <c r="E1171" s="1" t="n">
        <v>46299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11154-2024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45371</v>
      </c>
      <c r="E1172" s="1" t="n">
        <v>46299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54852-2024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45618</v>
      </c>
      <c r="E1173" s="1" t="n">
        <v>46299</v>
      </c>
      <c r="F1173" t="inlineStr">
        <is>
          <t>VÄRMLANDS LÄN</t>
        </is>
      </c>
      <c r="G1173" t="inlineStr">
        <is>
          <t>ARVIKA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20375-2025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45775</v>
      </c>
      <c r="E1174" s="1" t="n">
        <v>46299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58399-2023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45245</v>
      </c>
      <c r="E1175" s="1" t="n">
        <v>46299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33187-2022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44785</v>
      </c>
      <c r="E1176" s="1" t="n">
        <v>46299</v>
      </c>
      <c r="F1176" t="inlineStr">
        <is>
          <t>VÄRMLANDS LÄN</t>
        </is>
      </c>
      <c r="G1176" t="inlineStr">
        <is>
          <t>ARVIKA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16731-2024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45410</v>
      </c>
      <c r="E1177" s="1" t="n">
        <v>46299</v>
      </c>
      <c r="F1177" t="inlineStr">
        <is>
          <t>VÄRMLANDS LÄN</t>
        </is>
      </c>
      <c r="G1177" t="inlineStr">
        <is>
          <t>ARVIKA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16739-2024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45410</v>
      </c>
      <c r="E1178" s="1" t="n">
        <v>46299</v>
      </c>
      <c r="F1178" t="inlineStr">
        <is>
          <t>VÄRMLANDS LÄN</t>
        </is>
      </c>
      <c r="G1178" t="inlineStr">
        <is>
          <t>ARVIKA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19683-2025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45770</v>
      </c>
      <c r="E1179" s="1" t="n">
        <v>46299</v>
      </c>
      <c r="F1179" t="inlineStr">
        <is>
          <t>VÄRMLANDS LÄN</t>
        </is>
      </c>
      <c r="G1179" t="inlineStr">
        <is>
          <t>ARVIKA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4754-2024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45328</v>
      </c>
      <c r="E1180" s="1" t="n">
        <v>46299</v>
      </c>
      <c r="F1180" t="inlineStr">
        <is>
          <t>VÄRMLANDS LÄN</t>
        </is>
      </c>
      <c r="G1180" t="inlineStr">
        <is>
          <t>ARVIKA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62610-2022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46299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62619-2022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44917</v>
      </c>
      <c r="E1182" s="1" t="n">
        <v>46299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32823-2023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45109</v>
      </c>
      <c r="E1183" s="1" t="n">
        <v>46299</v>
      </c>
      <c r="F1183" t="inlineStr">
        <is>
          <t>VÄRMLANDS LÄN</t>
        </is>
      </c>
      <c r="G1183" t="inlineStr">
        <is>
          <t>ARVIKA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16558-2025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45751</v>
      </c>
      <c r="E1184" s="1" t="n">
        <v>46299</v>
      </c>
      <c r="F1184" t="inlineStr">
        <is>
          <t>VÄRMLANDS LÄN</t>
        </is>
      </c>
      <c r="G1184" t="inlineStr">
        <is>
          <t>ARVIKA</t>
        </is>
      </c>
      <c r="H1184" t="inlineStr">
        <is>
          <t>Kommuner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17460-2023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45036</v>
      </c>
      <c r="E1185" s="1" t="n">
        <v>46299</v>
      </c>
      <c r="F1185" t="inlineStr">
        <is>
          <t>VÄRMLANDS LÄN</t>
        </is>
      </c>
      <c r="G1185" t="inlineStr">
        <is>
          <t>ARVIKA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62428-2022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44924</v>
      </c>
      <c r="E1186" s="1" t="n">
        <v>46299</v>
      </c>
      <c r="F1186" t="inlineStr">
        <is>
          <t>VÄRMLANDS LÄN</t>
        </is>
      </c>
      <c r="G1186" t="inlineStr">
        <is>
          <t>ARVIKA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7583-2024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45348</v>
      </c>
      <c r="E1187" s="1" t="n">
        <v>46299</v>
      </c>
      <c r="F1187" t="inlineStr">
        <is>
          <t>VÄRMLANDS LÄN</t>
        </is>
      </c>
      <c r="G1187" t="inlineStr">
        <is>
          <t>ARVIKA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10574-2025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45721</v>
      </c>
      <c r="E1188" s="1" t="n">
        <v>46299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35571-2023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45147</v>
      </c>
      <c r="E1189" s="1" t="n">
        <v>46299</v>
      </c>
      <c r="F1189" t="inlineStr">
        <is>
          <t>VÄRMLANDS LÄN</t>
        </is>
      </c>
      <c r="G1189" t="inlineStr">
        <is>
          <t>ARVIKA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7456-2023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44971</v>
      </c>
      <c r="E1190" s="1" t="n">
        <v>46299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12271-2023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44998</v>
      </c>
      <c r="E1191" s="1" t="n">
        <v>46299</v>
      </c>
      <c r="F1191" t="inlineStr">
        <is>
          <t>VÄRMLANDS LÄN</t>
        </is>
      </c>
      <c r="G1191" t="inlineStr">
        <is>
          <t>ARVIKA</t>
        </is>
      </c>
      <c r="I1191" t="n">
        <v>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21693-2025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45783</v>
      </c>
      <c r="E1192" s="1" t="n">
        <v>46299</v>
      </c>
      <c r="F1192" t="inlineStr">
        <is>
          <t>VÄRMLANDS LÄN</t>
        </is>
      </c>
      <c r="G1192" t="inlineStr">
        <is>
          <t>ARVIKA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21580-2025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45782</v>
      </c>
      <c r="E1193" s="1" t="n">
        <v>46299</v>
      </c>
      <c r="F1193" t="inlineStr">
        <is>
          <t>VÄRMLANDS LÄN</t>
        </is>
      </c>
      <c r="G1193" t="inlineStr">
        <is>
          <t>ARVIKA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37213-2024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45539</v>
      </c>
      <c r="E1194" s="1" t="n">
        <v>46299</v>
      </c>
      <c r="F1194" t="inlineStr">
        <is>
          <t>VÄRMLANDS LÄN</t>
        </is>
      </c>
      <c r="G1194" t="inlineStr">
        <is>
          <t>ARVIKA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21907-2025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45784</v>
      </c>
      <c r="E1195" s="1" t="n">
        <v>46299</v>
      </c>
      <c r="F1195" t="inlineStr">
        <is>
          <t>VÄRMLANDS LÄN</t>
        </is>
      </c>
      <c r="G1195" t="inlineStr">
        <is>
          <t>ARVIKA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9525-2024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45359</v>
      </c>
      <c r="E1196" s="1" t="n">
        <v>46299</v>
      </c>
      <c r="F1196" t="inlineStr">
        <is>
          <t>VÄRMLANDS LÄN</t>
        </is>
      </c>
      <c r="G1196" t="inlineStr">
        <is>
          <t>ARVIKA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387-2021</t>
        </is>
      </c>
      <c r="B1197" t="inlineStr">
        <is>
          <t>samrådsanmälan</t>
        </is>
      </c>
      <c r="C1197" t="inlineStr">
        <is>
          <t>Åtgärd i nyckelbiotop</t>
        </is>
      </c>
      <c r="D1197" s="1" t="n">
        <v>44256</v>
      </c>
      <c r="E1197" s="1" t="n">
        <v>46299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2622-2020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44147</v>
      </c>
      <c r="E1198" s="1" t="n">
        <v>46299</v>
      </c>
      <c r="F1198" t="inlineStr">
        <is>
          <t>VÄRMLANDS LÄN</t>
        </is>
      </c>
      <c r="G1198" t="inlineStr">
        <is>
          <t>ARVIKA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44104</v>
      </c>
      <c r="E1199" s="1" t="n">
        <v>46299</v>
      </c>
      <c r="F1199" t="inlineStr">
        <is>
          <t>VÄRMLANDS LÄN</t>
        </is>
      </c>
      <c r="G1199" t="inlineStr">
        <is>
          <t>ARVIKA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2208-2020</t>
        </is>
      </c>
      <c r="B1200" t="inlineStr">
        <is>
          <t>samrådsanmälan</t>
        </is>
      </c>
      <c r="C1200" t="inlineStr">
        <is>
          <t>Dikesrensning</t>
        </is>
      </c>
      <c r="D1200" s="1" t="n">
        <v>44104</v>
      </c>
      <c r="E1200" s="1" t="n">
        <v>46299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46299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2182-2021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44350</v>
      </c>
      <c r="E1202" s="1" t="n">
        <v>46299</v>
      </c>
      <c r="F1202" t="inlineStr">
        <is>
          <t>VÄRMLANDS LÄN</t>
        </is>
      </c>
      <c r="G1202" t="inlineStr">
        <is>
          <t>ARVIKA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285-2022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46299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330-2022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50.8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46299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15.7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46299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46299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46299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46299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46299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46299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46299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46299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46299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26.4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46299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6811-2022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44893</v>
      </c>
      <c r="E1217" s="1" t="n">
        <v>46299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46299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10207-2021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46299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18.2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293-2022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46299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10156-2021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46299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5027-2024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45635</v>
      </c>
      <c r="E1222" s="1" t="n">
        <v>46299</v>
      </c>
      <c r="F1222" t="inlineStr">
        <is>
          <t>VÄRMLANDS LÄN</t>
        </is>
      </c>
      <c r="G1222" t="inlineStr">
        <is>
          <t>ARVIKA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317-2022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44579</v>
      </c>
      <c r="E1223" s="1" t="n">
        <v>46299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327-2022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46299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28.7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974-2025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45743</v>
      </c>
      <c r="E1225" s="1" t="n">
        <v>46299</v>
      </c>
      <c r="F1225" t="inlineStr">
        <is>
          <t>VÄRMLANDS LÄN</t>
        </is>
      </c>
      <c r="G1225" t="inlineStr">
        <is>
          <t>ARVIKA</t>
        </is>
      </c>
      <c r="I1225" t="n">
        <v>9.9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46299</v>
      </c>
      <c r="F1226" t="inlineStr">
        <is>
          <t>VÄRMLANDS LÄN</t>
        </is>
      </c>
      <c r="G1226" t="inlineStr">
        <is>
          <t>ARVIKA</t>
        </is>
      </c>
      <c r="I1226" t="n">
        <v>13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992-2025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46299</v>
      </c>
      <c r="F1227" t="inlineStr">
        <is>
          <t>VÄRMLANDS LÄN</t>
        </is>
      </c>
      <c r="G1227" t="inlineStr">
        <is>
          <t>ARVIKA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4895-2024</t>
        </is>
      </c>
      <c r="B1228" t="inlineStr">
        <is>
          <t>samrådsanmälan</t>
        </is>
      </c>
      <c r="C1228" t="inlineStr">
        <is>
          <t>Åtgärd i nyckelbiotop</t>
        </is>
      </c>
      <c r="D1228" s="1" t="n">
        <v>45622</v>
      </c>
      <c r="E1228" s="1" t="n">
        <v>46299</v>
      </c>
      <c r="F1228" t="inlineStr">
        <is>
          <t>VÄRMLANDS LÄN</t>
        </is>
      </c>
      <c r="G1228" t="inlineStr">
        <is>
          <t>ARVIKA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1205-2026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46140</v>
      </c>
      <c r="E1229" s="1" t="n">
        <v>46299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1677-2026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46182</v>
      </c>
      <c r="E1230" s="1" t="n">
        <v>46299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2026-10-04T01:57:29Z</dcterms:created>
  <dcterms:modified xmlns:dcterms="http://purl.org/dc/terms/" xmlns:xsi="http://www.w3.org/2001/XMLSchema-instance" xsi:type="dcterms:W3CDTF">2026-10-04T01:57:31Z</dcterms:modified>
</cp:coreProperties>
</file>