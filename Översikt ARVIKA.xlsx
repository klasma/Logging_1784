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45757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45757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45757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45757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45757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3.2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Ullticka
Veckticka
Skinnlav
Vedticka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45757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45757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45757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45757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45757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45757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45757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45757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45757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45757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45757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45757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45757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45757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45757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45757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45757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45757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45757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45757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45757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45757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45757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45757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45757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45757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45757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45757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45757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45757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45757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45757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45757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45757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45757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45757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45757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45757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45757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45757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45757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45757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45757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45757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45757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45757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45757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45757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45757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45757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45757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45757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45757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45757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45757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45757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45757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45757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45757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45757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45757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45757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45757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45757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45757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45757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45757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45757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45757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45757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45757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45757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45757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45757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45757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45757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45757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45757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45757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45757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45757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45757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45757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45757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45757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45757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45757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45757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45757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45757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45757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45757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45757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45757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45757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45757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45757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45757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45757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45757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45757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45757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45757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45757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45757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45757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45757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45757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45757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45757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45757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45757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45757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45757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45757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45757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45757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45757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45757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45757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45757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45757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45757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45757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45757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45757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45757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45757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45757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45757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45757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45757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45757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45757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45757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45757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45757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45757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45757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45757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45757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45757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45757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45757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45757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45757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45757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45757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45757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45757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45757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45757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45757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45757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45757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45757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45757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45757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45757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45757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45757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45757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45757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45757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45757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45757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45757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45757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45757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45757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45757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45757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45757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45757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45757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45757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45757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45757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45757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45757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45757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45757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45757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45757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45757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45757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45757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45757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45757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45757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45757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45757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45757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45757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45757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45757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45757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45757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45757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45757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45757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45757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45757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45757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45757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45757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45757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45757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45757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45757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45757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45757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45757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45757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45757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45757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45757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45757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45757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45757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45757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45757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45757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45757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45757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45757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45757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45757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45757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45757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45757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45757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45757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45757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45757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45757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45757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45757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45757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45757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45757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45757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45757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45757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45757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45757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45757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45757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45757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45757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45757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45757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45757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45757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45757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45757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45757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45757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45757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45757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45757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45757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45757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45757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45757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45757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45757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45757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45757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45757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45757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45757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45757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45757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45757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45757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45757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45757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45757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45757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45757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45757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45757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45757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45757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45757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45757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45757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45757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45757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45757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45757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45757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45757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45757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45757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45757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45757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45757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45757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45757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45757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45757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45757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45757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45757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45757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45757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45757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45757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45757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45757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45757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45757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45757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45757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45757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45757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45757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45757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45757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45757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45757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45757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45757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45757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45757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45757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45757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45757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45757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45757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45757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45757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45757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45757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45757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45757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45757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45757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45757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45757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45757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45757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45757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45757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45757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45757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45757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45757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45757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45757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45757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45757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45757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45757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45757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45757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45757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45757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45757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45757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45757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45757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45757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45757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45757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45757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45757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45757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45757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45757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45757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45757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45757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45757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45757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45757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45757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45757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45757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45757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45757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45757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45757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45757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45757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45757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45757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45757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45757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45757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45757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45757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45757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45757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45757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45757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45757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45757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45757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45757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45757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45757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45757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45757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45757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45757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45757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45757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45757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45757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45757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45757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45757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45757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45757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45757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45757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45757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45757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45757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45757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45757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45757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45757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45757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45757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45757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45757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45757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45757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45757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45757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45757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45757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45757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45757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45757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45757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45757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45757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45757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45757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45757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45757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45757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45757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45757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45757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45757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45757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45757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45757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45757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45757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45757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45757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45757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45757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45757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45757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45757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45757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45757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45757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45757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45757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45757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45757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45757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45757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45757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45757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45757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45757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45757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45757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45757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45757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45757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45757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45757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45757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45757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45757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45757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45757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45757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45757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45757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45757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45757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45757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45757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45757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45757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45757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45757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45757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45757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45757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45757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45757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45757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45757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45757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45757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45757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45757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45757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45757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45757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45757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45757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45757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45757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45757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45757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45757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45757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45757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45757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45757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45757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45757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45757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45757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45757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45757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45757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45757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45757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45757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45757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45757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45757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45757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45757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45757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45757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45757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45757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45757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45757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45757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45757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45757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45757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45757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45757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45757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45757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45757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45757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45757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45757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45757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45757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45757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45757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45757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45757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45757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45757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45757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45757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45757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45757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45757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45757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45757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45757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45757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45757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45757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45757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45757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45757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45757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45757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45757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45757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45757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45757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45757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45757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45757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45757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45757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45757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45757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45757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45757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45757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45757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45757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45757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45757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45757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45757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45757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45757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45757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45757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45757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45757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45757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45757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45757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45757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45757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45757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45757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45757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45757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45757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45757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45757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45757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45757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45757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45757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45757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45757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45757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45757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45757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45757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45757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45757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45757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45757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45757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45757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45757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45757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45757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45757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45757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45757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45757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45757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45757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45757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45757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45757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45757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45757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45757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45757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45757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45757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45757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45757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45757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45757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45757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45757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45757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45757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45757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45757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45757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45757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45757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45757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45757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45757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45757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45757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45757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45757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45757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45757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45757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45757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45757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45757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45757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45757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45757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45757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45757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45757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45757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45757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45757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45757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45757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45757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45757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45757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45757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45757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45757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45757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45757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45757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45757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45757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45757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45757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45757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45757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45757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45757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45757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45757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45757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45757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45757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45757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45757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45757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45757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45757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45757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45757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45757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45757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45757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45757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45757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45757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45757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45757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45757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45757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45757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45757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45757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45757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45757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45757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45757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45757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45757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45757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45757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45757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45757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45757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45757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45757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45757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45757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45757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45757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45757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45757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45757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45757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45757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45757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45757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45757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45757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45757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45757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45757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45757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45757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45757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45757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45757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45757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45757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45757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45757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45757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45757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45757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45757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45757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45757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45757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45757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45757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45757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45757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45757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45757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45757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45757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45757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45757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45757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45757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45757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45757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45757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45757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45757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45757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45757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45757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45757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45757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45757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45757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45757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45757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45757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45757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45757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45757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45757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45757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45757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45757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45757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45757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45757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45757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45757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45757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45757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45757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45757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45757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45757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45757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45757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45757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45757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45757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45757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45757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45757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45757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45757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45757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45757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45757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45757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45757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45757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45757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45757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45757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45757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45757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45757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45757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45757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45757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45757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45757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45757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45757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45757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45757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45757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45757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45757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45757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45757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45757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45757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45757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45757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45757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45757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45757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45757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45757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45757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45757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45757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45757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45757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45757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45757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45757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45757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45757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45757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45757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45757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45757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45757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45757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45757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45757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45757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45757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45757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45757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45757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45757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45757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45757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45757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45757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45757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45757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45757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45757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45757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45757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45757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45757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45757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45757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45757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45757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45757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45757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45757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45757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45757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45757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45757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45757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45757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45757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45757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45757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45757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45757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45757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45757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45757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45757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45757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45757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45757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45757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45757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45757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45757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45757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45757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45757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45757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45757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45757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45757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45757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45757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45757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45757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45757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45757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45757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45757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45757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45757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45757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45757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45757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45757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45757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45757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45757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45757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45757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45757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45757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45757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45757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45757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45757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45757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45757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45757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45757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45757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45757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45757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45757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45757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45757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45757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45757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45757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45757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45757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45757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45757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45757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45757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45757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45757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45757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45757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45757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45757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45757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45757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45757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45757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45757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45757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45757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45757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45757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45757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45757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45757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45757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45757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45757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45757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45757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45757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45757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45757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45757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45757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45757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45757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45757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45757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45757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45757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45757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45757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45757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45757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45757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45757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45757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45757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45757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45757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45757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45757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45757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45757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45757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45757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45757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45757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45757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45757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45757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45757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45757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45757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45757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45757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45757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45757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45757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45757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45757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45757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45757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45757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45757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45757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45757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45757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45757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45757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45757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45757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45757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45757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45757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45757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45757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45757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45757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45757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45757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45757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45757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45757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45757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45757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45757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45757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45757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45757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45757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45757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45757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45757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45757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45757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45757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45757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45757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45757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45757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45757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45757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45757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45757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45757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45757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45757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45757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45757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45757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45757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45757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45757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45757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45757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45757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45757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45757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45757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45757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45757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45757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45757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45757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45757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45757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45757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45757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45757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45757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45757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45757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45757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45757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45757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45757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45757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45757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45757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45757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45757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45757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45757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45757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45757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45757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45757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45757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45757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45757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45757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45757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45757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45757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45757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45757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45757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45757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45757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45757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45757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45757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45757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45757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45757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45757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45757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45757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45757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45757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45757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45757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45757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45757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45757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45757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45757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45757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45757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45757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45757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45757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45757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45757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45757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45757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45757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45757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45757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45757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45757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45757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45757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45757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45757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45757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45757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45757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45757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45757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45757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45757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45757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45757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45757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45757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45757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45757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45757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45757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45757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45757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45757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45757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45757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45757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45757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45757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45757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45757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45757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45757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45757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45757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45757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45757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45757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45757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45757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45757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45757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45757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45757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45757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45757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45757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45757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45757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45757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45757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45757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45757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45757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45757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45757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45757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45757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45757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45757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45757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45757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45757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45757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45757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45757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45757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45757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45757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45757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45757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45757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45757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45757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45757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45757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45757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45757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45757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45757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45757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45757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45757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45757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45757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45757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45757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45757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45757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45757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45757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45757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45757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45757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45757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45757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45757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45757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45757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45757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45757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45757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45757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45757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45757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45757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45757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45757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45757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45757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45757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45757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45757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45757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45757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45757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45757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45757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45757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45757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45757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45757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45757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45757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45757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45757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45757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45757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45757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45757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45757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45757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45757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45757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45757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45757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45757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45757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45757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45757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45757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45757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45757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45757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45757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45757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45757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45757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45757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45757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45757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45757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45757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45757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45757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45757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45757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45757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45757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45757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45757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45757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45757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45757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45757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45757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45757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45757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45757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45757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45757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45757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45757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45757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45757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45757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45757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45757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45757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45757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45757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45757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45757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45757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45757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45757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45757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45757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45757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45757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45757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45757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45757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45757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45757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45757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45757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45757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45757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45757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45757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45757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45757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45757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45757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45757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45757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45757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45757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45757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45757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45757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45757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45757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45757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45757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45757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45757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45757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45757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45757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45757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45757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45757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45757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45757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45757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45757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45757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45757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45757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45757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45757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45757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45757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45757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45757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45757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45757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45757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45757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45757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45757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45757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45757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45757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45757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45757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45757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45757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45757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45757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45757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45757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45757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45757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45757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45757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45757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45757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45757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45757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45757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45757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45757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45757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45757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45757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45757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45757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45757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45757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45757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45757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45757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45757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45757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45757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45757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45757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45757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45757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45757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45757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45757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45757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45757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45757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45757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45757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45757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45757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45757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45757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45757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45757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45757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45757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45757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45757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45757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45757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45757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45757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45757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45757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45757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45757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45757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45757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45757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45757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45757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45757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45757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45757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45757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45757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45757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45757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45757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45757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45757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45757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45757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45757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45757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45757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45757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45757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45757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45757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45757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45757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45757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45757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45757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45757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45757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45757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45757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45757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45757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45757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45757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45757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45757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45757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45757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45757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45757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45757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45757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45757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45757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45757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45757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45757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45757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45757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45757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45757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45757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45757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45757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45757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45757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45757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45757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45757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45757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45757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45757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45757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45757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45757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45757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45757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45757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45757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45757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45757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45757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45757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45757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45757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45757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45757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45757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45757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45757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45757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45757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45757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45757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45757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45757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45757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45757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45757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45757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45757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45757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45757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45757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45757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45757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45757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45757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45757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45757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45757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45757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45757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45757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45757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45757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45757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45757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45757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45757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45757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45757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45757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45757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45757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45757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45757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45757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45757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45757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45757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45757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45757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45757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45757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45757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45757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45757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45757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45757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45757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45757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45757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45757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45757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45757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45757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45757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45757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45757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45757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45757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45757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45757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45757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45757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45757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45757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45757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45757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45757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45757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45757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45757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45757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45757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45757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45757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45757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45757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45757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45757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45757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45757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45757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45757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45757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45757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45757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45757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45757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45757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45757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45757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45757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45757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45757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45757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45757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45757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45757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45757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45757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45757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45757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45757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45757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45757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45757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45757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45757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45757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45757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45757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45757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45757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45757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45757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45757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45757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45757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45757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45757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45757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45757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45757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45757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45757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45757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45757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45757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45757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45757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45757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45757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45757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45757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45757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45757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45757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45757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45757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45757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45757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45757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45757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45757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45757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45757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45757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45757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45757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45757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45757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45757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45757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45757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45757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45757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45757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45757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45757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45757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45757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45757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45757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45757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45757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45757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45757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45757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45757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45757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45757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45757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45757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45757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45757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45757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45757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45757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45757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45757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45757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45757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45757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45757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45757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45757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45757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45757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45757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45757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45757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45757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45757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45757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45757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45757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45757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45757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45757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45757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45757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45757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45757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45757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45757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45757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45757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45757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45757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45757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45757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45757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45757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45757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45757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45757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45757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45757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45757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45757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45757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45757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45757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45757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45757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45757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45757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45757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45757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45757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45757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45757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45757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45757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45757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45757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45757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45757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45757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45757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45757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45757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45757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45757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45757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45757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45757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45757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45757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45757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45757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45757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45757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45757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45757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45757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45757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45757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45757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45757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45757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45757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45757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45757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45757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45757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45757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45757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45757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45757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45757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45757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45757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45757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45757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45757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45757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45757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45757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45757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45757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45757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45757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45757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45757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45757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45757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45757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45757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45757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45757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45757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45757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45757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45757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45757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45757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45757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45757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45757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45757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45757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45757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45757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45757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45757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45757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45757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45757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45757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45757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45757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45757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45757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45757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45757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45757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45757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45757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45757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45757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45757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45757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45757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45757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45757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45757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45757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45757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45757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45757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45757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45757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45757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45757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45757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45757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45757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45757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45757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45757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45757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45757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45757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45757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45757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45757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45757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45757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45757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45757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45757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45757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45757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45757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45757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45757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45757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45757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45757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45757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45757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45757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45757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45757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45757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45757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45757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45757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45757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45757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45757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45757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45757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45757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45757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45757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45757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45757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45757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45757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45757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45757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45757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45757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45757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45757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45757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45757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45757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45757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45757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45757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45757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45757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45757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45757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45757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45757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45757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45757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45757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45757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45757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45757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45757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45757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45757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45757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45757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45757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45757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45757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45757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45757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45757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45757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45757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45757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45757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45757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45757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45757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45757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45757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45757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45757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45757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45757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45757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45757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45757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45757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45757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45757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45757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45757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45757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45757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45757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45757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45757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45757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45757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45757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45757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45757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45757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45757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45757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45757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45757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45757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45757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45757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45757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45757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45757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45757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45757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45757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45757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45757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45757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45757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45757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45757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45757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45757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45757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45757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45757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45757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45757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45757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45757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45757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45757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45757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45757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45757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45757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45757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45757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45757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45757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45757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45757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45757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45757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45757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45757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45757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45757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45757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45757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45757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45757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45757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45757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45757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45757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45757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45757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45757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45757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45757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45757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45757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45757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45757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45757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45757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45757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45757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45757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45757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45757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45757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45757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45757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45757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45757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45757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45757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45757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45757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45757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45757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45757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45757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45757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45757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45757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45757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45757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45757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45757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45757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45757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45757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45757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45757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45757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45757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45757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45757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45757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45757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45757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45757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45757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45757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45757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45757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45757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45757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45757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45757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45757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45757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45757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45757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45757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45757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45757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45757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45757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45757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45757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45757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45757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45757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45757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45757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45757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45757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45757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45757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45757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45757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45757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45757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45757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45757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45757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45757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45757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45757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45757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45757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45757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45757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45757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45757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45757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45757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45757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45757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45757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45757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45757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45757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45757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45757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45757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45757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45757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45757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45757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45757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45757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45757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45757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45757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45757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45757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45757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45757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45757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45757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45757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45757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45757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45757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45757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45757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45757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45757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45757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45757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45757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45757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45757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45757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45757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45757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45757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45757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45757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45757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45757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45757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45757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45757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45757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45757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45757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45757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45757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45757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45757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45757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45757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45757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45757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45757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45757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45757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45757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45757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45757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45757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45757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45757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45757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45757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45757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45757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45757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45757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45757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45757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45757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45757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45757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45757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45757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45757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45757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45757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45757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45757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45757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45757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45757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45757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45757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45757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45757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45757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45757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45757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45757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45757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45757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45757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45757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45757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45757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45757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45757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45757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45757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45757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45757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45757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45757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45757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45757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45757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45757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45757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45757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45757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45757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45757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45757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45757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45757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45757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45757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45757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45757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45757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45757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45757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45757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45757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45757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45757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45757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45757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45757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45757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45757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45757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45757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45757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45757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45757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45757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45757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45757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45757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45757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45757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45757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12161-2025</t>
        </is>
      </c>
      <c r="B2326" s="1" t="n">
        <v>45729</v>
      </c>
      <c r="C2326" s="1" t="n">
        <v>45757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45757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45757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45757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45757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45757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45757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12811-2025</t>
        </is>
      </c>
      <c r="B2333" s="1" t="n">
        <v>45733</v>
      </c>
      <c r="C2333" s="1" t="n">
        <v>45757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9.699999999999999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45757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45757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45757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45757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13233-2025</t>
        </is>
      </c>
      <c r="B2338" s="1" t="n">
        <v>45735</v>
      </c>
      <c r="C2338" s="1" t="n">
        <v>45757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4.3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45757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45757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45757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45757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45757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45757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45757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45757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45757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45757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45757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45757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14488-2025</t>
        </is>
      </c>
      <c r="B2351" s="1" t="n">
        <v>45741</v>
      </c>
      <c r="C2351" s="1" t="n">
        <v>45757</v>
      </c>
      <c r="D2351" t="inlineStr">
        <is>
          <t>VÄRMLANDS LÄN</t>
        </is>
      </c>
      <c r="E2351" t="inlineStr">
        <is>
          <t>ARVIKA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45757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45757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14622-2025</t>
        </is>
      </c>
      <c r="B2354" s="1" t="n">
        <v>45742</v>
      </c>
      <c r="C2354" s="1" t="n">
        <v>45757</v>
      </c>
      <c r="D2354" t="inlineStr">
        <is>
          <t>VÄRMLANDS LÄN</t>
        </is>
      </c>
      <c r="E2354" t="inlineStr">
        <is>
          <t>ARVIKA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14626-2025</t>
        </is>
      </c>
      <c r="B2355" s="1" t="n">
        <v>45742</v>
      </c>
      <c r="C2355" s="1" t="n">
        <v>45757</v>
      </c>
      <c r="D2355" t="inlineStr">
        <is>
          <t>VÄRMLANDS LÄN</t>
        </is>
      </c>
      <c r="E2355" t="inlineStr">
        <is>
          <t>ARVIKA</t>
        </is>
      </c>
      <c r="G2355" t="n">
        <v>14.9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45757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45757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45757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15755-2025</t>
        </is>
      </c>
      <c r="B2359" s="1" t="n">
        <v>45748</v>
      </c>
      <c r="C2359" s="1" t="n">
        <v>45757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9.5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  <c r="U2359">
        <f>HYPERLINK("https://klasma.github.io/Logging_171784/knärot/A 15755-2025 karta knärot.png", "A 15755-2025")</f>
        <v/>
      </c>
      <c r="V2359">
        <f>HYPERLINK("https://klasma.github.io/Logging_171784/klagomål/A 15755-2025 FSC-klagomål.docx", "A 15755-2025")</f>
        <v/>
      </c>
      <c r="W2359">
        <f>HYPERLINK("https://klasma.github.io/Logging_171784/klagomålsmail/A 15755-2025 FSC-klagomål mail.docx", "A 15755-2025")</f>
        <v/>
      </c>
      <c r="X2359">
        <f>HYPERLINK("https://klasma.github.io/Logging_171784/tillsyn/A 15755-2025 tillsynsbegäran.docx", "A 15755-2025")</f>
        <v/>
      </c>
      <c r="Y2359">
        <f>HYPERLINK("https://klasma.github.io/Logging_171784/tillsynsmail/A 15755-2025 tillsynsbegäran mail.docx", "A 15755-2025")</f>
        <v/>
      </c>
    </row>
    <row r="2360" ht="15" customHeight="1">
      <c r="A2360" t="inlineStr">
        <is>
          <t>A 15640-2025</t>
        </is>
      </c>
      <c r="B2360" s="1" t="n">
        <v>45748</v>
      </c>
      <c r="C2360" s="1" t="n">
        <v>45757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15857-2025</t>
        </is>
      </c>
      <c r="B2361" s="1" t="n">
        <v>45749</v>
      </c>
      <c r="C2361" s="1" t="n">
        <v>45757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15882-2025</t>
        </is>
      </c>
      <c r="B2362" s="1" t="n">
        <v>45749</v>
      </c>
      <c r="C2362" s="1" t="n">
        <v>45757</v>
      </c>
      <c r="D2362" t="inlineStr">
        <is>
          <t>VÄRMLANDS LÄN</t>
        </is>
      </c>
      <c r="E2362" t="inlineStr">
        <is>
          <t>ARVIKA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45757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15923-2025</t>
        </is>
      </c>
      <c r="B2364" s="1" t="n">
        <v>45749</v>
      </c>
      <c r="C2364" s="1" t="n">
        <v>45757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15918-2025</t>
        </is>
      </c>
      <c r="B2365" s="1" t="n">
        <v>45749</v>
      </c>
      <c r="C2365" s="1" t="n">
        <v>45757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45757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45757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16558-2025</t>
        </is>
      </c>
      <c r="B2368" s="1" t="n">
        <v>45751</v>
      </c>
      <c r="C2368" s="1" t="n">
        <v>45757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16472-2025</t>
        </is>
      </c>
      <c r="B2369" s="1" t="n">
        <v>45751</v>
      </c>
      <c r="C2369" s="1" t="n">
        <v>45757</v>
      </c>
      <c r="D2369" t="inlineStr">
        <is>
          <t>VÄRMLANDS LÄN</t>
        </is>
      </c>
      <c r="E2369" t="inlineStr">
        <is>
          <t>ARVIKA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16338-2025</t>
        </is>
      </c>
      <c r="B2370" s="1" t="n">
        <v>45751</v>
      </c>
      <c r="C2370" s="1" t="n">
        <v>45757</v>
      </c>
      <c r="D2370" t="inlineStr">
        <is>
          <t>VÄRMLANDS LÄN</t>
        </is>
      </c>
      <c r="E2370" t="inlineStr">
        <is>
          <t>ARVIKA</t>
        </is>
      </c>
      <c r="G2370" t="n">
        <v>4.9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16559-2025</t>
        </is>
      </c>
      <c r="B2371" s="1" t="n">
        <v>45751</v>
      </c>
      <c r="C2371" s="1" t="n">
        <v>45757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45757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45757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45757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45757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17108-2025</t>
        </is>
      </c>
      <c r="B2376" s="1" t="n">
        <v>45755</v>
      </c>
      <c r="C2376" s="1" t="n">
        <v>45757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45757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17142-2025</t>
        </is>
      </c>
      <c r="B2378" s="1" t="n">
        <v>45755</v>
      </c>
      <c r="C2378" s="1" t="n">
        <v>45757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>
      <c r="A2379" t="inlineStr">
        <is>
          <t>A 17123-2025</t>
        </is>
      </c>
      <c r="B2379" s="1" t="n">
        <v>45755</v>
      </c>
      <c r="C2379" s="1" t="n">
        <v>45757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2025-04-10T16:14:26Z</dcterms:created>
  <dcterms:modified xmlns:dcterms="http://purl.org/dc/terms/" xmlns:xsi="http://www.w3.org/2001/XMLSchema-instance" xsi:type="dcterms:W3CDTF">2025-04-10T16:14:28Z</dcterms:modified>
</cp:coreProperties>
</file>