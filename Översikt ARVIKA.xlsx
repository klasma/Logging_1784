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45792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45792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45792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45792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45792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45792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45792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45792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45792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45792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45792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45792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45792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45792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45792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45792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45792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45792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45792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45792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45792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45792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45792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45792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30304-2019</t>
        </is>
      </c>
      <c r="B47" s="1" t="n">
        <v>43634</v>
      </c>
      <c r="C47" s="1" t="n">
        <v>45792</v>
      </c>
      <c r="D47" t="inlineStr">
        <is>
          <t>VÄRMLANDS LÄN</t>
        </is>
      </c>
      <c r="E47" t="inlineStr">
        <is>
          <t>ARVIKA</t>
        </is>
      </c>
      <c r="G47" t="n">
        <v>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30304-2019 artfynd.xlsx", "A 30304-2019")</f>
        <v/>
      </c>
      <c r="T47">
        <f>HYPERLINK("https://klasma.github.io/Logging_1784/kartor/A 30304-2019 karta.png", "A 30304-2019")</f>
        <v/>
      </c>
      <c r="U47">
        <f>HYPERLINK("https://klasma.github.io/Logging_1784/knärot/A 30304-2019 karta knärot.png", "A 30304-2019")</f>
        <v/>
      </c>
      <c r="V47">
        <f>HYPERLINK("https://klasma.github.io/Logging_1784/klagomål/A 30304-2019 FSC-klagomål.docx", "A 30304-2019")</f>
        <v/>
      </c>
      <c r="W47">
        <f>HYPERLINK("https://klasma.github.io/Logging_1784/klagomålsmail/A 30304-2019 FSC-klagomål mail.docx", "A 30304-2019")</f>
        <v/>
      </c>
      <c r="X47">
        <f>HYPERLINK("https://klasma.github.io/Logging_1784/tillsyn/A 30304-2019 tillsynsbegäran.docx", "A 30304-2019")</f>
        <v/>
      </c>
      <c r="Y47">
        <f>HYPERLINK("https://klasma.github.io/Logging_1784/tillsynsmail/A 30304-2019 tillsynsbegäran mail.docx", "A 30304-2019")</f>
        <v/>
      </c>
    </row>
    <row r="48" ht="15" customHeight="1">
      <c r="A48" t="inlineStr">
        <is>
          <t>A 48854-2019</t>
        </is>
      </c>
      <c r="B48" s="1" t="n">
        <v>43728</v>
      </c>
      <c r="C48" s="1" t="n">
        <v>45792</v>
      </c>
      <c r="D48" t="inlineStr">
        <is>
          <t>VÄRMLANDS LÄN</t>
        </is>
      </c>
      <c r="E48" t="inlineStr">
        <is>
          <t>ARVIKA</t>
        </is>
      </c>
      <c r="G48" t="n">
        <v>8.1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48854-2019 artfynd.xlsx", "A 48854-2019")</f>
        <v/>
      </c>
      <c r="T48">
        <f>HYPERLINK("https://klasma.github.io/Logging_1784/kartor/A 48854-2019 karta.png", "A 48854-2019")</f>
        <v/>
      </c>
      <c r="U48">
        <f>HYPERLINK("https://klasma.github.io/Logging_1784/knärot/A 48854-2019 karta knärot.png", "A 48854-2019")</f>
        <v/>
      </c>
      <c r="V48">
        <f>HYPERLINK("https://klasma.github.io/Logging_1784/klagomål/A 48854-2019 FSC-klagomål.docx", "A 48854-2019")</f>
        <v/>
      </c>
      <c r="W48">
        <f>HYPERLINK("https://klasma.github.io/Logging_1784/klagomålsmail/A 48854-2019 FSC-klagomål mail.docx", "A 48854-2019")</f>
        <v/>
      </c>
      <c r="X48">
        <f>HYPERLINK("https://klasma.github.io/Logging_1784/tillsyn/A 48854-2019 tillsynsbegäran.docx", "A 48854-2019")</f>
        <v/>
      </c>
      <c r="Y48">
        <f>HYPERLINK("https://klasma.github.io/Logging_1784/tillsynsmail/A 48854-2019 tillsynsbegäran mail.docx", "A 48854-2019")</f>
        <v/>
      </c>
    </row>
    <row r="49" ht="15" customHeight="1">
      <c r="A49" t="inlineStr">
        <is>
          <t>A 55931-2019</t>
        </is>
      </c>
      <c r="B49" s="1" t="n">
        <v>43761</v>
      </c>
      <c r="C49" s="1" t="n">
        <v>45792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Blåtryffel</t>
        </is>
      </c>
      <c r="S49">
        <f>HYPERLINK("https://klasma.github.io/Logging_1784/artfynd/A 55931-2019 artfynd.xlsx", "A 55931-2019")</f>
        <v/>
      </c>
      <c r="T49">
        <f>HYPERLINK("https://klasma.github.io/Logging_1784/kartor/A 55931-2019 karta.png", "A 55931-2019")</f>
        <v/>
      </c>
      <c r="V49">
        <f>HYPERLINK("https://klasma.github.io/Logging_1784/klagomål/A 55931-2019 FSC-klagomål.docx", "A 55931-2019")</f>
        <v/>
      </c>
      <c r="W49">
        <f>HYPERLINK("https://klasma.github.io/Logging_1784/klagomålsmail/A 55931-2019 FSC-klagomål mail.docx", "A 55931-2019")</f>
        <v/>
      </c>
      <c r="X49">
        <f>HYPERLINK("https://klasma.github.io/Logging_1784/tillsyn/A 55931-2019 tillsynsbegäran.docx", "A 55931-2019")</f>
        <v/>
      </c>
      <c r="Y49">
        <f>HYPERLINK("https://klasma.github.io/Logging_1784/tillsynsmail/A 55931-2019 tillsynsbegäran mail.docx", "A 55931-2019")</f>
        <v/>
      </c>
    </row>
    <row r="50" ht="15" customHeight="1">
      <c r="A50" t="inlineStr">
        <is>
          <t>A 238-2020</t>
        </is>
      </c>
      <c r="B50" s="1" t="n">
        <v>43835</v>
      </c>
      <c r="C50" s="1" t="n">
        <v>45792</v>
      </c>
      <c r="D50" t="inlineStr">
        <is>
          <t>VÄRMLANDS LÄN</t>
        </is>
      </c>
      <c r="E50" t="inlineStr">
        <is>
          <t>ARVIKA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238-2020 artfynd.xlsx", "A 238-2020")</f>
        <v/>
      </c>
      <c r="T50">
        <f>HYPERLINK("https://klasma.github.io/Logging_1784/kartor/A 238-2020 karta.png", "A 238-2020")</f>
        <v/>
      </c>
      <c r="U50">
        <f>HYPERLINK("https://klasma.github.io/Logging_1784/knärot/A 238-2020 karta knärot.png", "A 238-2020")</f>
        <v/>
      </c>
      <c r="V50">
        <f>HYPERLINK("https://klasma.github.io/Logging_1784/klagomål/A 238-2020 FSC-klagomål.docx", "A 238-2020")</f>
        <v/>
      </c>
      <c r="W50">
        <f>HYPERLINK("https://klasma.github.io/Logging_1784/klagomålsmail/A 238-2020 FSC-klagomål mail.docx", "A 238-2020")</f>
        <v/>
      </c>
      <c r="X50">
        <f>HYPERLINK("https://klasma.github.io/Logging_1784/tillsyn/A 238-2020 tillsynsbegäran.docx", "A 238-2020")</f>
        <v/>
      </c>
      <c r="Y50">
        <f>HYPERLINK("https://klasma.github.io/Logging_1784/tillsynsmail/A 238-2020 tillsynsbegäran mail.docx", "A 238-2020")</f>
        <v/>
      </c>
    </row>
    <row r="51" ht="15" customHeight="1">
      <c r="A51" t="inlineStr">
        <is>
          <t>A 10858-2020</t>
        </is>
      </c>
      <c r="B51" s="1" t="n">
        <v>43889</v>
      </c>
      <c r="C51" s="1" t="n">
        <v>45792</v>
      </c>
      <c r="D51" t="inlineStr">
        <is>
          <t>VÄRMLANDS LÄN</t>
        </is>
      </c>
      <c r="E51" t="inlineStr">
        <is>
          <t>ARVIKA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HYPERLINK("https://klasma.github.io/Logging_1784/artfynd/A 10858-2020 artfynd.xlsx", "A 10858-2020")</f>
        <v/>
      </c>
      <c r="T51">
        <f>HYPERLINK("https://klasma.github.io/Logging_1784/kartor/A 10858-2020 karta.png", "A 10858-2020")</f>
        <v/>
      </c>
      <c r="V51">
        <f>HYPERLINK("https://klasma.github.io/Logging_1784/klagomål/A 10858-2020 FSC-klagomål.docx", "A 10858-2020")</f>
        <v/>
      </c>
      <c r="W51">
        <f>HYPERLINK("https://klasma.github.io/Logging_1784/klagomålsmail/A 10858-2020 FSC-klagomål mail.docx", "A 10858-2020")</f>
        <v/>
      </c>
      <c r="X51">
        <f>HYPERLINK("https://klasma.github.io/Logging_1784/tillsyn/A 10858-2020 tillsynsbegäran.docx", "A 10858-2020")</f>
        <v/>
      </c>
      <c r="Y51">
        <f>HYPERLINK("https://klasma.github.io/Logging_1784/tillsynsmail/A 10858-2020 tillsynsbegäran mail.docx", "A 10858-2020")</f>
        <v/>
      </c>
    </row>
    <row r="52" ht="15" customHeight="1">
      <c r="A52" t="inlineStr">
        <is>
          <t>A 13461-2020</t>
        </is>
      </c>
      <c r="B52" s="1" t="n">
        <v>43902</v>
      </c>
      <c r="C52" s="1" t="n">
        <v>45792</v>
      </c>
      <c r="D52" t="inlineStr">
        <is>
          <t>VÄRMLANDS LÄN</t>
        </is>
      </c>
      <c r="E52" t="inlineStr">
        <is>
          <t>ARVIKA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13461-2020 artfynd.xlsx", "A 13461-2020")</f>
        <v/>
      </c>
      <c r="T52">
        <f>HYPERLINK("https://klasma.github.io/Logging_1784/kartor/A 13461-2020 karta.png", "A 13461-2020")</f>
        <v/>
      </c>
      <c r="U52">
        <f>HYPERLINK("https://klasma.github.io/Logging_1784/knärot/A 13461-2020 karta knärot.png", "A 13461-2020")</f>
        <v/>
      </c>
      <c r="V52">
        <f>HYPERLINK("https://klasma.github.io/Logging_1784/klagomål/A 13461-2020 FSC-klagomål.docx", "A 13461-2020")</f>
        <v/>
      </c>
      <c r="W52">
        <f>HYPERLINK("https://klasma.github.io/Logging_1784/klagomålsmail/A 13461-2020 FSC-klagomål mail.docx", "A 13461-2020")</f>
        <v/>
      </c>
      <c r="X52">
        <f>HYPERLINK("https://klasma.github.io/Logging_1784/tillsyn/A 13461-2020 tillsynsbegäran.docx", "A 13461-2020")</f>
        <v/>
      </c>
      <c r="Y52">
        <f>HYPERLINK("https://klasma.github.io/Logging_1784/tillsynsmail/A 13461-2020 tillsynsbegäran mail.docx", "A 13461-2020")</f>
        <v/>
      </c>
    </row>
    <row r="53" ht="15" customHeight="1">
      <c r="A53" t="inlineStr">
        <is>
          <t>A 30729-2020</t>
        </is>
      </c>
      <c r="B53" s="1" t="n">
        <v>44008</v>
      </c>
      <c r="C53" s="1" t="n">
        <v>45792</v>
      </c>
      <c r="D53" t="inlineStr">
        <is>
          <t>VÄRMLANDS LÄN</t>
        </is>
      </c>
      <c r="E53" t="inlineStr">
        <is>
          <t>ARVIKA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30729-2020 artfynd.xlsx", "A 30729-2020")</f>
        <v/>
      </c>
      <c r="T53">
        <f>HYPERLINK("https://klasma.github.io/Logging_1784/kartor/A 30729-2020 karta.png", "A 30729-2020")</f>
        <v/>
      </c>
      <c r="U53">
        <f>HYPERLINK("https://klasma.github.io/Logging_1784/knärot/A 30729-2020 karta knärot.png", "A 30729-2020")</f>
        <v/>
      </c>
      <c r="V53">
        <f>HYPERLINK("https://klasma.github.io/Logging_1784/klagomål/A 30729-2020 FSC-klagomål.docx", "A 30729-2020")</f>
        <v/>
      </c>
      <c r="W53">
        <f>HYPERLINK("https://klasma.github.io/Logging_1784/klagomålsmail/A 30729-2020 FSC-klagomål mail.docx", "A 30729-2020")</f>
        <v/>
      </c>
      <c r="X53">
        <f>HYPERLINK("https://klasma.github.io/Logging_1784/tillsyn/A 30729-2020 tillsynsbegäran.docx", "A 30729-2020")</f>
        <v/>
      </c>
      <c r="Y53">
        <f>HYPERLINK("https://klasma.github.io/Logging_1784/tillsynsmail/A 30729-2020 tillsynsbegäran mail.docx", "A 30729-2020")</f>
        <v/>
      </c>
    </row>
    <row r="54" ht="15" customHeight="1">
      <c r="A54" t="inlineStr">
        <is>
          <t>A 34769-2020</t>
        </is>
      </c>
      <c r="B54" s="1" t="n">
        <v>44035</v>
      </c>
      <c r="C54" s="1" t="n">
        <v>45792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34769-2020 artfynd.xlsx", "A 34769-2020")</f>
        <v/>
      </c>
      <c r="T54">
        <f>HYPERLINK("https://klasma.github.io/Logging_1784/kartor/A 34769-2020 karta.png", "A 34769-2020")</f>
        <v/>
      </c>
      <c r="U54">
        <f>HYPERLINK("https://klasma.github.io/Logging_1784/knärot/A 34769-2020 karta knärot.png", "A 34769-2020")</f>
        <v/>
      </c>
      <c r="V54">
        <f>HYPERLINK("https://klasma.github.io/Logging_1784/klagomål/A 34769-2020 FSC-klagomål.docx", "A 34769-2020")</f>
        <v/>
      </c>
      <c r="W54">
        <f>HYPERLINK("https://klasma.github.io/Logging_1784/klagomålsmail/A 34769-2020 FSC-klagomål mail.docx", "A 34769-2020")</f>
        <v/>
      </c>
      <c r="X54">
        <f>HYPERLINK("https://klasma.github.io/Logging_1784/tillsyn/A 34769-2020 tillsynsbegäran.docx", "A 34769-2020")</f>
        <v/>
      </c>
      <c r="Y54">
        <f>HYPERLINK("https://klasma.github.io/Logging_1784/tillsynsmail/A 34769-2020 tillsynsbegäran mail.docx", "A 34769-2020")</f>
        <v/>
      </c>
    </row>
    <row r="55" ht="15" customHeight="1">
      <c r="A55" t="inlineStr">
        <is>
          <t>A 36688-2020</t>
        </is>
      </c>
      <c r="B55" s="1" t="n">
        <v>44052</v>
      </c>
      <c r="C55" s="1" t="n">
        <v>45792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36688-2020 artfynd.xlsx", "A 36688-2020")</f>
        <v/>
      </c>
      <c r="T55">
        <f>HYPERLINK("https://klasma.github.io/Logging_1784/kartor/A 36688-2020 karta.png", "A 36688-2020")</f>
        <v/>
      </c>
      <c r="U55">
        <f>HYPERLINK("https://klasma.github.io/Logging_1784/knärot/A 36688-2020 karta knärot.png", "A 36688-2020")</f>
        <v/>
      </c>
      <c r="V55">
        <f>HYPERLINK("https://klasma.github.io/Logging_1784/klagomål/A 36688-2020 FSC-klagomål.docx", "A 36688-2020")</f>
        <v/>
      </c>
      <c r="W55">
        <f>HYPERLINK("https://klasma.github.io/Logging_1784/klagomålsmail/A 36688-2020 FSC-klagomål mail.docx", "A 36688-2020")</f>
        <v/>
      </c>
      <c r="X55">
        <f>HYPERLINK("https://klasma.github.io/Logging_1784/tillsyn/A 36688-2020 tillsynsbegäran.docx", "A 36688-2020")</f>
        <v/>
      </c>
      <c r="Y55">
        <f>HYPERLINK("https://klasma.github.io/Logging_1784/tillsynsmail/A 36688-2020 tillsynsbegäran mail.docx", "A 36688-2020")</f>
        <v/>
      </c>
    </row>
    <row r="56" ht="15" customHeight="1">
      <c r="A56" t="inlineStr">
        <is>
          <t>A 55736-2020</t>
        </is>
      </c>
      <c r="B56" s="1" t="n">
        <v>44132</v>
      </c>
      <c r="C56" s="1" t="n">
        <v>45792</v>
      </c>
      <c r="D56" t="inlineStr">
        <is>
          <t>VÄRMLANDS LÄN</t>
        </is>
      </c>
      <c r="E56" t="inlineStr">
        <is>
          <t>ARVIKA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HYPERLINK("https://klasma.github.io/Logging_1784/artfynd/A 55736-2020 artfynd.xlsx", "A 55736-2020")</f>
        <v/>
      </c>
      <c r="T56">
        <f>HYPERLINK("https://klasma.github.io/Logging_1784/kartor/A 55736-2020 karta.png", "A 55736-2020")</f>
        <v/>
      </c>
      <c r="V56">
        <f>HYPERLINK("https://klasma.github.io/Logging_1784/klagomål/A 55736-2020 FSC-klagomål.docx", "A 55736-2020")</f>
        <v/>
      </c>
      <c r="W56">
        <f>HYPERLINK("https://klasma.github.io/Logging_1784/klagomålsmail/A 55736-2020 FSC-klagomål mail.docx", "A 55736-2020")</f>
        <v/>
      </c>
      <c r="X56">
        <f>HYPERLINK("https://klasma.github.io/Logging_1784/tillsyn/A 55736-2020 tillsynsbegäran.docx", "A 55736-2020")</f>
        <v/>
      </c>
      <c r="Y56">
        <f>HYPERLINK("https://klasma.github.io/Logging_1784/tillsynsmail/A 55736-2020 tillsynsbegäran mail.docx", "A 55736-2020")</f>
        <v/>
      </c>
    </row>
    <row r="57" ht="15" customHeight="1">
      <c r="A57" t="inlineStr">
        <is>
          <t>A 56253-2020</t>
        </is>
      </c>
      <c r="B57" s="1" t="n">
        <v>44134</v>
      </c>
      <c r="C57" s="1" t="n">
        <v>45792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HYPERLINK("https://klasma.github.io/Logging_1784/artfynd/A 56253-2020 artfynd.xlsx", "A 56253-2020")</f>
        <v/>
      </c>
      <c r="T57">
        <f>HYPERLINK("https://klasma.github.io/Logging_1784/kartor/A 56253-2020 karta.png", "A 56253-2020")</f>
        <v/>
      </c>
      <c r="V57">
        <f>HYPERLINK("https://klasma.github.io/Logging_1784/klagomål/A 56253-2020 FSC-klagomål.docx", "A 56253-2020")</f>
        <v/>
      </c>
      <c r="W57">
        <f>HYPERLINK("https://klasma.github.io/Logging_1784/klagomålsmail/A 56253-2020 FSC-klagomål mail.docx", "A 56253-2020")</f>
        <v/>
      </c>
      <c r="X57">
        <f>HYPERLINK("https://klasma.github.io/Logging_1784/tillsyn/A 56253-2020 tillsynsbegäran.docx", "A 56253-2020")</f>
        <v/>
      </c>
      <c r="Y57">
        <f>HYPERLINK("https://klasma.github.io/Logging_1784/tillsynsmail/A 56253-2020 tillsynsbegäran mail.docx", "A 56253-2020")</f>
        <v/>
      </c>
      <c r="Z57">
        <f>HYPERLINK("https://klasma.github.io/Logging_1784/fåglar/A 56253-2020 prioriterade fågelarter.docx", "A 56253-2020")</f>
        <v/>
      </c>
    </row>
    <row r="58" ht="15" customHeight="1">
      <c r="A58" t="inlineStr">
        <is>
          <t>A 63540-2020</t>
        </is>
      </c>
      <c r="B58" s="1" t="n">
        <v>44165</v>
      </c>
      <c r="C58" s="1" t="n">
        <v>45792</v>
      </c>
      <c r="D58" t="inlineStr">
        <is>
          <t>VÄRMLANDS LÄN</t>
        </is>
      </c>
      <c r="E58" t="inlineStr">
        <is>
          <t>ARVIKA</t>
        </is>
      </c>
      <c r="G58" t="n">
        <v>4.3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63540-2020 artfynd.xlsx", "A 63540-2020")</f>
        <v/>
      </c>
      <c r="T58">
        <f>HYPERLINK("https://klasma.github.io/Logging_1784/kartor/A 63540-2020 karta.png", "A 63540-2020")</f>
        <v/>
      </c>
      <c r="U58">
        <f>HYPERLINK("https://klasma.github.io/Logging_1784/knärot/A 63540-2020 karta knärot.png", "A 63540-2020")</f>
        <v/>
      </c>
      <c r="V58">
        <f>HYPERLINK("https://klasma.github.io/Logging_1784/klagomål/A 63540-2020 FSC-klagomål.docx", "A 63540-2020")</f>
        <v/>
      </c>
      <c r="W58">
        <f>HYPERLINK("https://klasma.github.io/Logging_1784/klagomålsmail/A 63540-2020 FSC-klagomål mail.docx", "A 63540-2020")</f>
        <v/>
      </c>
      <c r="X58">
        <f>HYPERLINK("https://klasma.github.io/Logging_1784/tillsyn/A 63540-2020 tillsynsbegäran.docx", "A 63540-2020")</f>
        <v/>
      </c>
      <c r="Y58">
        <f>HYPERLINK("https://klasma.github.io/Logging_1784/tillsynsmail/A 63540-2020 tillsynsbegäran mail.docx", "A 63540-2020")</f>
        <v/>
      </c>
    </row>
    <row r="59" ht="15" customHeight="1">
      <c r="A59" t="inlineStr">
        <is>
          <t>A 24022-2021</t>
        </is>
      </c>
      <c r="B59" s="1" t="n">
        <v>44336</v>
      </c>
      <c r="C59" s="1" t="n">
        <v>45792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45792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37342-2021</t>
        </is>
      </c>
      <c r="B61" s="1" t="n">
        <v>44397</v>
      </c>
      <c r="C61" s="1" t="n">
        <v>45792</v>
      </c>
      <c r="D61" t="inlineStr">
        <is>
          <t>VÄRMLANDS LÄN</t>
        </is>
      </c>
      <c r="E61" t="inlineStr">
        <is>
          <t>ARVIKA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37342-2021 artfynd.xlsx", "A 37342-2021")</f>
        <v/>
      </c>
      <c r="T61">
        <f>HYPERLINK("https://klasma.github.io/Logging_1784/kartor/A 37342-2021 karta.png", "A 37342-2021")</f>
        <v/>
      </c>
      <c r="U61">
        <f>HYPERLINK("https://klasma.github.io/Logging_1784/knärot/A 37342-2021 karta knärot.png", "A 37342-2021")</f>
        <v/>
      </c>
      <c r="V61">
        <f>HYPERLINK("https://klasma.github.io/Logging_1784/klagomål/A 37342-2021 FSC-klagomål.docx", "A 37342-2021")</f>
        <v/>
      </c>
      <c r="W61">
        <f>HYPERLINK("https://klasma.github.io/Logging_1784/klagomålsmail/A 37342-2021 FSC-klagomål mail.docx", "A 37342-2021")</f>
        <v/>
      </c>
      <c r="X61">
        <f>HYPERLINK("https://klasma.github.io/Logging_1784/tillsyn/A 37342-2021 tillsynsbegäran.docx", "A 37342-2021")</f>
        <v/>
      </c>
      <c r="Y61">
        <f>HYPERLINK("https://klasma.github.io/Logging_1784/tillsynsmail/A 37342-2021 tillsynsbegäran mail.docx", "A 37342-2021")</f>
        <v/>
      </c>
    </row>
    <row r="62" ht="15" customHeight="1">
      <c r="A62" t="inlineStr">
        <is>
          <t>A 56872-2021</t>
        </is>
      </c>
      <c r="B62" s="1" t="n">
        <v>44481</v>
      </c>
      <c r="C62" s="1" t="n">
        <v>45792</v>
      </c>
      <c r="D62" t="inlineStr">
        <is>
          <t>VÄRMLANDS LÄN</t>
        </is>
      </c>
      <c r="E62" t="inlineStr">
        <is>
          <t>ARVIKA</t>
        </is>
      </c>
      <c r="G62" t="n">
        <v>1.4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56872-2021 artfynd.xlsx", "A 56872-2021")</f>
        <v/>
      </c>
      <c r="T62">
        <f>HYPERLINK("https://klasma.github.io/Logging_1784/kartor/A 56872-2021 karta.png", "A 56872-2021")</f>
        <v/>
      </c>
      <c r="U62">
        <f>HYPERLINK("https://klasma.github.io/Logging_1784/knärot/A 56872-2021 karta knärot.png", "A 56872-2021")</f>
        <v/>
      </c>
      <c r="V62">
        <f>HYPERLINK("https://klasma.github.io/Logging_1784/klagomål/A 56872-2021 FSC-klagomål.docx", "A 56872-2021")</f>
        <v/>
      </c>
      <c r="W62">
        <f>HYPERLINK("https://klasma.github.io/Logging_1784/klagomålsmail/A 56872-2021 FSC-klagomål mail.docx", "A 56872-2021")</f>
        <v/>
      </c>
      <c r="X62">
        <f>HYPERLINK("https://klasma.github.io/Logging_1784/tillsyn/A 56872-2021 tillsynsbegäran.docx", "A 56872-2021")</f>
        <v/>
      </c>
      <c r="Y62">
        <f>HYPERLINK("https://klasma.github.io/Logging_1784/tillsynsmail/A 56872-2021 tillsynsbegäran mail.docx", "A 56872-2021")</f>
        <v/>
      </c>
    </row>
    <row r="63" ht="15" customHeight="1">
      <c r="A63" t="inlineStr">
        <is>
          <t>A 62619-2021</t>
        </is>
      </c>
      <c r="B63" s="1" t="n">
        <v>44503</v>
      </c>
      <c r="C63" s="1" t="n">
        <v>45792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Smålom</t>
        </is>
      </c>
      <c r="S63">
        <f>HYPERLINK("https://klasma.github.io/Logging_1784/artfynd/A 62619-2021 artfynd.xlsx", "A 62619-2021")</f>
        <v/>
      </c>
      <c r="T63">
        <f>HYPERLINK("https://klasma.github.io/Logging_1784/kartor/A 62619-2021 karta.png", "A 62619-2021")</f>
        <v/>
      </c>
      <c r="V63">
        <f>HYPERLINK("https://klasma.github.io/Logging_1784/klagomål/A 62619-2021 FSC-klagomål.docx", "A 62619-2021")</f>
        <v/>
      </c>
      <c r="W63">
        <f>HYPERLINK("https://klasma.github.io/Logging_1784/klagomålsmail/A 62619-2021 FSC-klagomål mail.docx", "A 62619-2021")</f>
        <v/>
      </c>
      <c r="X63">
        <f>HYPERLINK("https://klasma.github.io/Logging_1784/tillsyn/A 62619-2021 tillsynsbegäran.docx", "A 62619-2021")</f>
        <v/>
      </c>
      <c r="Y63">
        <f>HYPERLINK("https://klasma.github.io/Logging_1784/tillsynsmail/A 62619-2021 tillsynsbegäran mail.docx", "A 62619-2021")</f>
        <v/>
      </c>
      <c r="Z63">
        <f>HYPERLINK("https://klasma.github.io/Logging_1784/fåglar/A 62619-2021 prioriterade fågelarter.docx", "A 62619-2021")</f>
        <v/>
      </c>
    </row>
    <row r="64" ht="15" customHeight="1">
      <c r="A64" t="inlineStr">
        <is>
          <t>A 64590-2021</t>
        </is>
      </c>
      <c r="B64" s="1" t="n">
        <v>44511</v>
      </c>
      <c r="C64" s="1" t="n">
        <v>45792</v>
      </c>
      <c r="D64" t="inlineStr">
        <is>
          <t>VÄRMLANDS LÄN</t>
        </is>
      </c>
      <c r="E64" t="inlineStr">
        <is>
          <t>ARVIKA</t>
        </is>
      </c>
      <c r="G64" t="n">
        <v>4.1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64590-2021 artfynd.xlsx", "A 64590-2021")</f>
        <v/>
      </c>
      <c r="T64">
        <f>HYPERLINK("https://klasma.github.io/Logging_1784/kartor/A 64590-2021 karta.png", "A 64590-2021")</f>
        <v/>
      </c>
      <c r="V64">
        <f>HYPERLINK("https://klasma.github.io/Logging_1784/klagomål/A 64590-2021 FSC-klagomål.docx", "A 64590-2021")</f>
        <v/>
      </c>
      <c r="W64">
        <f>HYPERLINK("https://klasma.github.io/Logging_1784/klagomålsmail/A 64590-2021 FSC-klagomål mail.docx", "A 64590-2021")</f>
        <v/>
      </c>
      <c r="X64">
        <f>HYPERLINK("https://klasma.github.io/Logging_1784/tillsyn/A 64590-2021 tillsynsbegäran.docx", "A 64590-2021")</f>
        <v/>
      </c>
      <c r="Y64">
        <f>HYPERLINK("https://klasma.github.io/Logging_1784/tillsynsmail/A 64590-2021 tillsynsbegäran mail.docx", "A 64590-2021")</f>
        <v/>
      </c>
      <c r="Z64">
        <f>HYPERLINK("https://klasma.github.io/Logging_1784/fåglar/A 64590-2021 prioriterade fågelarter.docx", "A 64590-2021")</f>
        <v/>
      </c>
    </row>
    <row r="65" ht="15" customHeight="1">
      <c r="A65" t="inlineStr">
        <is>
          <t>A 72222-2021</t>
        </is>
      </c>
      <c r="B65" s="1" t="n">
        <v>44544</v>
      </c>
      <c r="C65" s="1" t="n">
        <v>45792</v>
      </c>
      <c r="D65" t="inlineStr">
        <is>
          <t>VÄRMLANDS LÄN</t>
        </is>
      </c>
      <c r="E65" t="inlineStr">
        <is>
          <t>ARVIKA</t>
        </is>
      </c>
      <c r="G65" t="n">
        <v>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72222-2021 artfynd.xlsx", "A 72222-2021")</f>
        <v/>
      </c>
      <c r="T65">
        <f>HYPERLINK("https://klasma.github.io/Logging_1784/kartor/A 72222-2021 karta.png", "A 72222-2021")</f>
        <v/>
      </c>
      <c r="U65">
        <f>HYPERLINK("https://klasma.github.io/Logging_1784/knärot/A 72222-2021 karta knärot.png", "A 72222-2021")</f>
        <v/>
      </c>
      <c r="V65">
        <f>HYPERLINK("https://klasma.github.io/Logging_1784/klagomål/A 72222-2021 FSC-klagomål.docx", "A 72222-2021")</f>
        <v/>
      </c>
      <c r="W65">
        <f>HYPERLINK("https://klasma.github.io/Logging_1784/klagomålsmail/A 72222-2021 FSC-klagomål mail.docx", "A 72222-2021")</f>
        <v/>
      </c>
      <c r="X65">
        <f>HYPERLINK("https://klasma.github.io/Logging_1784/tillsyn/A 72222-2021 tillsynsbegäran.docx", "A 72222-2021")</f>
        <v/>
      </c>
      <c r="Y65">
        <f>HYPERLINK("https://klasma.github.io/Logging_1784/tillsynsmail/A 72222-2021 tillsynsbegäran mail.docx", "A 72222-2021")</f>
        <v/>
      </c>
    </row>
    <row r="66" ht="15" customHeight="1">
      <c r="A66" t="inlineStr">
        <is>
          <t>A 72829-2021</t>
        </is>
      </c>
      <c r="B66" s="1" t="n">
        <v>44547</v>
      </c>
      <c r="C66" s="1" t="n">
        <v>45792</v>
      </c>
      <c r="D66" t="inlineStr">
        <is>
          <t>VÄRMLANDS LÄN</t>
        </is>
      </c>
      <c r="E66" t="inlineStr">
        <is>
          <t>ARVIKA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72829-2021 artfynd.xlsx", "A 72829-2021")</f>
        <v/>
      </c>
      <c r="T66">
        <f>HYPERLINK("https://klasma.github.io/Logging_1784/kartor/A 72829-2021 karta.png", "A 72829-2021")</f>
        <v/>
      </c>
      <c r="U66">
        <f>HYPERLINK("https://klasma.github.io/Logging_1784/knärot/A 72829-2021 karta knärot.png", "A 72829-2021")</f>
        <v/>
      </c>
      <c r="V66">
        <f>HYPERLINK("https://klasma.github.io/Logging_1784/klagomål/A 72829-2021 FSC-klagomål.docx", "A 72829-2021")</f>
        <v/>
      </c>
      <c r="W66">
        <f>HYPERLINK("https://klasma.github.io/Logging_1784/klagomålsmail/A 72829-2021 FSC-klagomål mail.docx", "A 72829-2021")</f>
        <v/>
      </c>
      <c r="X66">
        <f>HYPERLINK("https://klasma.github.io/Logging_1784/tillsyn/A 72829-2021 tillsynsbegäran.docx", "A 72829-2021")</f>
        <v/>
      </c>
      <c r="Y66">
        <f>HYPERLINK("https://klasma.github.io/Logging_1784/tillsynsmail/A 72829-2021 tillsynsbegäran mail.docx", "A 72829-2021")</f>
        <v/>
      </c>
    </row>
    <row r="67" ht="15" customHeight="1">
      <c r="A67" t="inlineStr">
        <is>
          <t>A 73999-2021</t>
        </is>
      </c>
      <c r="B67" s="1" t="n">
        <v>44557</v>
      </c>
      <c r="C67" s="1" t="n">
        <v>45792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73999-2021 artfynd.xlsx", "A 73999-2021")</f>
        <v/>
      </c>
      <c r="T67">
        <f>HYPERLINK("https://klasma.github.io/Logging_1784/kartor/A 73999-2021 karta.png", "A 73999-2021")</f>
        <v/>
      </c>
      <c r="U67">
        <f>HYPERLINK("https://klasma.github.io/Logging_1784/knärot/A 73999-2021 karta knärot.png", "A 73999-2021")</f>
        <v/>
      </c>
      <c r="V67">
        <f>HYPERLINK("https://klasma.github.io/Logging_1784/klagomål/A 73999-2021 FSC-klagomål.docx", "A 73999-2021")</f>
        <v/>
      </c>
      <c r="W67">
        <f>HYPERLINK("https://klasma.github.io/Logging_1784/klagomålsmail/A 73999-2021 FSC-klagomål mail.docx", "A 73999-2021")</f>
        <v/>
      </c>
      <c r="X67">
        <f>HYPERLINK("https://klasma.github.io/Logging_1784/tillsyn/A 73999-2021 tillsynsbegäran.docx", "A 73999-2021")</f>
        <v/>
      </c>
      <c r="Y67">
        <f>HYPERLINK("https://klasma.github.io/Logging_1784/tillsynsmail/A 73999-2021 tillsynsbegäran mail.docx", "A 73999-2021")</f>
        <v/>
      </c>
    </row>
    <row r="68" ht="15" customHeight="1">
      <c r="A68" t="inlineStr">
        <is>
          <t>A 74218-2021</t>
        </is>
      </c>
      <c r="B68" s="1" t="n">
        <v>44558</v>
      </c>
      <c r="C68" s="1" t="n">
        <v>45792</v>
      </c>
      <c r="D68" t="inlineStr">
        <is>
          <t>VÄRMLANDS LÄN</t>
        </is>
      </c>
      <c r="E68" t="inlineStr">
        <is>
          <t>ARVIKA</t>
        </is>
      </c>
      <c r="G68" t="n">
        <v>10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HYPERLINK("https://klasma.github.io/Logging_1784/artfynd/A 74218-2021 artfynd.xlsx", "A 74218-2021")</f>
        <v/>
      </c>
      <c r="T68">
        <f>HYPERLINK("https://klasma.github.io/Logging_1784/kartor/A 74218-2021 karta.png", "A 74218-2021")</f>
        <v/>
      </c>
      <c r="V68">
        <f>HYPERLINK("https://klasma.github.io/Logging_1784/klagomål/A 74218-2021 FSC-klagomål.docx", "A 74218-2021")</f>
        <v/>
      </c>
      <c r="W68">
        <f>HYPERLINK("https://klasma.github.io/Logging_1784/klagomålsmail/A 74218-2021 FSC-klagomål mail.docx", "A 74218-2021")</f>
        <v/>
      </c>
      <c r="X68">
        <f>HYPERLINK("https://klasma.github.io/Logging_1784/tillsyn/A 74218-2021 tillsynsbegäran.docx", "A 74218-2021")</f>
        <v/>
      </c>
      <c r="Y68">
        <f>HYPERLINK("https://klasma.github.io/Logging_1784/tillsynsmail/A 74218-2021 tillsynsbegäran mail.docx", "A 74218-2021")</f>
        <v/>
      </c>
      <c r="Z68">
        <f>HYPERLINK("https://klasma.github.io/Logging_1784/fåglar/A 74218-2021 prioriterade fågelarter.docx", "A 74218-2021")</f>
        <v/>
      </c>
    </row>
    <row r="69" ht="15" customHeight="1">
      <c r="A69" t="inlineStr">
        <is>
          <t>A 6814-2022</t>
        </is>
      </c>
      <c r="B69" s="1" t="n">
        <v>44602</v>
      </c>
      <c r="C69" s="1" t="n">
        <v>45792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6814-2022 artfynd.xlsx", "A 6814-2022")</f>
        <v/>
      </c>
      <c r="T69">
        <f>HYPERLINK("https://klasma.github.io/Logging_1784/kartor/A 6814-2022 karta.png", "A 6814-2022")</f>
        <v/>
      </c>
      <c r="V69">
        <f>HYPERLINK("https://klasma.github.io/Logging_1784/klagomål/A 6814-2022 FSC-klagomål.docx", "A 6814-2022")</f>
        <v/>
      </c>
      <c r="W69">
        <f>HYPERLINK("https://klasma.github.io/Logging_1784/klagomålsmail/A 6814-2022 FSC-klagomål mail.docx", "A 6814-2022")</f>
        <v/>
      </c>
      <c r="X69">
        <f>HYPERLINK("https://klasma.github.io/Logging_1784/tillsyn/A 6814-2022 tillsynsbegäran.docx", "A 6814-2022")</f>
        <v/>
      </c>
      <c r="Y69">
        <f>HYPERLINK("https://klasma.github.io/Logging_1784/tillsynsmail/A 6814-2022 tillsynsbegäran mail.docx", "A 6814-2022")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45792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24756-2022</t>
        </is>
      </c>
      <c r="B71" s="1" t="n">
        <v>44728</v>
      </c>
      <c r="C71" s="1" t="n">
        <v>45792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18.2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HYPERLINK("https://klasma.github.io/Logging_1784/artfynd/A 24756-2022 artfynd.xlsx", "A 24756-2022")</f>
        <v/>
      </c>
      <c r="T71">
        <f>HYPERLINK("https://klasma.github.io/Logging_1784/kartor/A 24756-2022 karta.png", "A 24756-2022")</f>
        <v/>
      </c>
      <c r="V71">
        <f>HYPERLINK("https://klasma.github.io/Logging_1784/klagomål/A 24756-2022 FSC-klagomål.docx", "A 24756-2022")</f>
        <v/>
      </c>
      <c r="W71">
        <f>HYPERLINK("https://klasma.github.io/Logging_1784/klagomålsmail/A 24756-2022 FSC-klagomål mail.docx", "A 24756-2022")</f>
        <v/>
      </c>
      <c r="X71">
        <f>HYPERLINK("https://klasma.github.io/Logging_1784/tillsyn/A 24756-2022 tillsynsbegäran.docx", "A 24756-2022")</f>
        <v/>
      </c>
      <c r="Y71">
        <f>HYPERLINK("https://klasma.github.io/Logging_1784/tillsynsmail/A 24756-2022 tillsynsbegäran mail.docx", "A 24756-2022")</f>
        <v/>
      </c>
      <c r="Z71">
        <f>HYPERLINK("https://klasma.github.io/Logging_1784/fåglar/A 24756-2022 prioriterade fågelarter.docx", "A 24756-2022")</f>
        <v/>
      </c>
    </row>
    <row r="72" ht="15" customHeight="1">
      <c r="A72" t="inlineStr">
        <is>
          <t>A 46927-2022</t>
        </is>
      </c>
      <c r="B72" s="1" t="n">
        <v>44851</v>
      </c>
      <c r="C72" s="1" t="n">
        <v>45792</v>
      </c>
      <c r="D72" t="inlineStr">
        <is>
          <t>VÄRMLANDS LÄN</t>
        </is>
      </c>
      <c r="E72" t="inlineStr">
        <is>
          <t>ARVIKA</t>
        </is>
      </c>
      <c r="G72" t="n">
        <v>9.800000000000001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46927-2022 artfynd.xlsx", "A 46927-2022")</f>
        <v/>
      </c>
      <c r="T72">
        <f>HYPERLINK("https://klasma.github.io/Logging_1784/kartor/A 46927-2022 karta.png", "A 46927-2022")</f>
        <v/>
      </c>
      <c r="U72">
        <f>HYPERLINK("https://klasma.github.io/Logging_1784/knärot/A 46927-2022 karta knärot.png", "A 46927-2022")</f>
        <v/>
      </c>
      <c r="V72">
        <f>HYPERLINK("https://klasma.github.io/Logging_1784/klagomål/A 46927-2022 FSC-klagomål.docx", "A 46927-2022")</f>
        <v/>
      </c>
      <c r="W72">
        <f>HYPERLINK("https://klasma.github.io/Logging_1784/klagomålsmail/A 46927-2022 FSC-klagomål mail.docx", "A 46927-2022")</f>
        <v/>
      </c>
      <c r="X72">
        <f>HYPERLINK("https://klasma.github.io/Logging_1784/tillsyn/A 46927-2022 tillsynsbegäran.docx", "A 46927-2022")</f>
        <v/>
      </c>
      <c r="Y72">
        <f>HYPERLINK("https://klasma.github.io/Logging_1784/tillsynsmail/A 46927-2022 tillsynsbegäran mail.docx", "A 46927-2022")</f>
        <v/>
      </c>
    </row>
    <row r="73" ht="15" customHeight="1">
      <c r="A73" t="inlineStr">
        <is>
          <t>A 47699-2022</t>
        </is>
      </c>
      <c r="B73" s="1" t="n">
        <v>44854</v>
      </c>
      <c r="C73" s="1" t="n">
        <v>45792</v>
      </c>
      <c r="D73" t="inlineStr">
        <is>
          <t>VÄRMLANDS LÄN</t>
        </is>
      </c>
      <c r="E73" t="inlineStr">
        <is>
          <t>ARVIKA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47699-2022 artfynd.xlsx", "A 47699-2022")</f>
        <v/>
      </c>
      <c r="T73">
        <f>HYPERLINK("https://klasma.github.io/Logging_1784/kartor/A 47699-2022 karta.png", "A 47699-2022")</f>
        <v/>
      </c>
      <c r="V73">
        <f>HYPERLINK("https://klasma.github.io/Logging_1784/klagomål/A 47699-2022 FSC-klagomål.docx", "A 47699-2022")</f>
        <v/>
      </c>
      <c r="W73">
        <f>HYPERLINK("https://klasma.github.io/Logging_1784/klagomålsmail/A 47699-2022 FSC-klagomål mail.docx", "A 47699-2022")</f>
        <v/>
      </c>
      <c r="X73">
        <f>HYPERLINK("https://klasma.github.io/Logging_1784/tillsyn/A 47699-2022 tillsynsbegäran.docx", "A 47699-2022")</f>
        <v/>
      </c>
      <c r="Y73">
        <f>HYPERLINK("https://klasma.github.io/Logging_1784/tillsynsmail/A 47699-2022 tillsynsbegäran mail.docx", "A 47699-2022")</f>
        <v/>
      </c>
    </row>
    <row r="74" ht="15" customHeight="1">
      <c r="A74" t="inlineStr">
        <is>
          <t>A 56676-2022</t>
        </is>
      </c>
      <c r="B74" s="1" t="n">
        <v>44893</v>
      </c>
      <c r="C74" s="1" t="n">
        <v>45792</v>
      </c>
      <c r="D74" t="inlineStr">
        <is>
          <t>VÄRMLANDS LÄN</t>
        </is>
      </c>
      <c r="E74" t="inlineStr">
        <is>
          <t>ARVIKA</t>
        </is>
      </c>
      <c r="F74" t="inlineStr">
        <is>
          <t>Övriga Aktiebolag</t>
        </is>
      </c>
      <c r="G74" t="n">
        <v>5.2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56676-2022 artfynd.xlsx", "A 56676-2022")</f>
        <v/>
      </c>
      <c r="T74">
        <f>HYPERLINK("https://klasma.github.io/Logging_1784/kartor/A 56676-2022 karta.png", "A 56676-2022")</f>
        <v/>
      </c>
      <c r="U74">
        <f>HYPERLINK("https://klasma.github.io/Logging_1784/knärot/A 56676-2022 karta knärot.png", "A 56676-2022")</f>
        <v/>
      </c>
      <c r="V74">
        <f>HYPERLINK("https://klasma.github.io/Logging_1784/klagomål/A 56676-2022 FSC-klagomål.docx", "A 56676-2022")</f>
        <v/>
      </c>
      <c r="W74">
        <f>HYPERLINK("https://klasma.github.io/Logging_1784/klagomålsmail/A 56676-2022 FSC-klagomål mail.docx", "A 56676-2022")</f>
        <v/>
      </c>
      <c r="X74">
        <f>HYPERLINK("https://klasma.github.io/Logging_1784/tillsyn/A 56676-2022 tillsynsbegäran.docx", "A 56676-2022")</f>
        <v/>
      </c>
      <c r="Y74">
        <f>HYPERLINK("https://klasma.github.io/Logging_1784/tillsynsmail/A 56676-2022 tillsynsbegäran mail.docx", "A 56676-2022")</f>
        <v/>
      </c>
    </row>
    <row r="75" ht="15" customHeight="1">
      <c r="A75" t="inlineStr">
        <is>
          <t>A 60602-2022</t>
        </is>
      </c>
      <c r="B75" s="1" t="n">
        <v>44911</v>
      </c>
      <c r="C75" s="1" t="n">
        <v>45792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23.3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60602-2022 artfynd.xlsx", "A 60602-2022")</f>
        <v/>
      </c>
      <c r="T75">
        <f>HYPERLINK("https://klasma.github.io/Logging_1784/kartor/A 60602-2022 karta.png", "A 60602-2022")</f>
        <v/>
      </c>
      <c r="V75">
        <f>HYPERLINK("https://klasma.github.io/Logging_1784/klagomål/A 60602-2022 FSC-klagomål.docx", "A 60602-2022")</f>
        <v/>
      </c>
      <c r="W75">
        <f>HYPERLINK("https://klasma.github.io/Logging_1784/klagomålsmail/A 60602-2022 FSC-klagomål mail.docx", "A 60602-2022")</f>
        <v/>
      </c>
      <c r="X75">
        <f>HYPERLINK("https://klasma.github.io/Logging_1784/tillsyn/A 60602-2022 tillsynsbegäran.docx", "A 60602-2022")</f>
        <v/>
      </c>
      <c r="Y75">
        <f>HYPERLINK("https://klasma.github.io/Logging_1784/tillsynsmail/A 60602-2022 tillsynsbegäran mail.docx", "A 60602-2022")</f>
        <v/>
      </c>
      <c r="Z75">
        <f>HYPERLINK("https://klasma.github.io/Logging_1784/fåglar/A 60602-2022 prioriterade fågelarter.docx", "A 60602-2022")</f>
        <v/>
      </c>
    </row>
    <row r="76" ht="15" customHeight="1">
      <c r="A76" t="inlineStr">
        <is>
          <t>A 8525-2023</t>
        </is>
      </c>
      <c r="B76" s="1" t="n">
        <v>44977</v>
      </c>
      <c r="C76" s="1" t="n">
        <v>45792</v>
      </c>
      <c r="D76" t="inlineStr">
        <is>
          <t>VÄRMLANDS LÄN</t>
        </is>
      </c>
      <c r="E76" t="inlineStr">
        <is>
          <t>ARVIKA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8525-2023 artfynd.xlsx", "A 8525-2023")</f>
        <v/>
      </c>
      <c r="T76">
        <f>HYPERLINK("https://klasma.github.io/Logging_1784/kartor/A 8525-2023 karta.png", "A 8525-2023")</f>
        <v/>
      </c>
      <c r="U76">
        <f>HYPERLINK("https://klasma.github.io/Logging_1784/knärot/A 8525-2023 karta knärot.png", "A 8525-2023")</f>
        <v/>
      </c>
      <c r="V76">
        <f>HYPERLINK("https://klasma.github.io/Logging_1784/klagomål/A 8525-2023 FSC-klagomål.docx", "A 8525-2023")</f>
        <v/>
      </c>
      <c r="W76">
        <f>HYPERLINK("https://klasma.github.io/Logging_1784/klagomålsmail/A 8525-2023 FSC-klagomål mail.docx", "A 8525-2023")</f>
        <v/>
      </c>
      <c r="X76">
        <f>HYPERLINK("https://klasma.github.io/Logging_1784/tillsyn/A 8525-2023 tillsynsbegäran.docx", "A 8525-2023")</f>
        <v/>
      </c>
      <c r="Y76">
        <f>HYPERLINK("https://klasma.github.io/Logging_1784/tillsynsmail/A 8525-2023 tillsynsbegäran mail.docx", "A 8525-2023")</f>
        <v/>
      </c>
    </row>
    <row r="77" ht="15" customHeight="1">
      <c r="A77" t="inlineStr">
        <is>
          <t>A 10814-2023</t>
        </is>
      </c>
      <c r="B77" s="1" t="n">
        <v>44990</v>
      </c>
      <c r="C77" s="1" t="n">
        <v>45792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15145-2023</t>
        </is>
      </c>
      <c r="B78" s="1" t="n">
        <v>45016</v>
      </c>
      <c r="C78" s="1" t="n">
        <v>45792</v>
      </c>
      <c r="D78" t="inlineStr">
        <is>
          <t>VÄRMLANDS LÄN</t>
        </is>
      </c>
      <c r="E78" t="inlineStr">
        <is>
          <t>ARVIKA</t>
        </is>
      </c>
      <c r="G78" t="n">
        <v>2.9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15145-2023 artfynd.xlsx", "A 15145-2023")</f>
        <v/>
      </c>
      <c r="T78">
        <f>HYPERLINK("https://klasma.github.io/Logging_1784/kartor/A 15145-2023 karta.png", "A 15145-2023")</f>
        <v/>
      </c>
      <c r="U78">
        <f>HYPERLINK("https://klasma.github.io/Logging_1784/knärot/A 15145-2023 karta knärot.png", "A 15145-2023")</f>
        <v/>
      </c>
      <c r="V78">
        <f>HYPERLINK("https://klasma.github.io/Logging_1784/klagomål/A 15145-2023 FSC-klagomål.docx", "A 15145-2023")</f>
        <v/>
      </c>
      <c r="W78">
        <f>HYPERLINK("https://klasma.github.io/Logging_1784/klagomålsmail/A 15145-2023 FSC-klagomål mail.docx", "A 15145-2023")</f>
        <v/>
      </c>
      <c r="X78">
        <f>HYPERLINK("https://klasma.github.io/Logging_1784/tillsyn/A 15145-2023 tillsynsbegäran.docx", "A 15145-2023")</f>
        <v/>
      </c>
      <c r="Y78">
        <f>HYPERLINK("https://klasma.github.io/Logging_1784/tillsynsmail/A 15145-2023 tillsynsbegäran mail.docx", "A 15145-2023")</f>
        <v/>
      </c>
    </row>
    <row r="79" ht="15" customHeight="1">
      <c r="A79" t="inlineStr">
        <is>
          <t>A 16391-2023</t>
        </is>
      </c>
      <c r="B79" s="1" t="n">
        <v>45029</v>
      </c>
      <c r="C79" s="1" t="n">
        <v>45792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Kulfibbla</t>
        </is>
      </c>
      <c r="S79">
        <f>HYPERLINK("https://klasma.github.io/Logging_1784/artfynd/A 16391-2023 artfynd.xlsx", "A 16391-2023")</f>
        <v/>
      </c>
      <c r="T79">
        <f>HYPERLINK("https://klasma.github.io/Logging_1784/kartor/A 16391-2023 karta.png", "A 16391-2023")</f>
        <v/>
      </c>
      <c r="V79">
        <f>HYPERLINK("https://klasma.github.io/Logging_1784/klagomål/A 16391-2023 FSC-klagomål.docx", "A 16391-2023")</f>
        <v/>
      </c>
      <c r="W79">
        <f>HYPERLINK("https://klasma.github.io/Logging_1784/klagomålsmail/A 16391-2023 FSC-klagomål mail.docx", "A 16391-2023")</f>
        <v/>
      </c>
      <c r="X79">
        <f>HYPERLINK("https://klasma.github.io/Logging_1784/tillsyn/A 16391-2023 tillsynsbegäran.docx", "A 16391-2023")</f>
        <v/>
      </c>
      <c r="Y79">
        <f>HYPERLINK("https://klasma.github.io/Logging_1784/tillsynsmail/A 16391-2023 tillsynsbegäran mail.docx", "A 16391-2023")</f>
        <v/>
      </c>
    </row>
    <row r="80" ht="15" customHeight="1">
      <c r="A80" t="inlineStr">
        <is>
          <t>A 24239-2023</t>
        </is>
      </c>
      <c r="B80" s="1" t="n">
        <v>45079</v>
      </c>
      <c r="C80" s="1" t="n">
        <v>45792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24239-2023 artfynd.xlsx", "A 24239-2023")</f>
        <v/>
      </c>
      <c r="T80">
        <f>HYPERLINK("https://klasma.github.io/Logging_1784/kartor/A 24239-2023 karta.png", "A 24239-2023")</f>
        <v/>
      </c>
      <c r="U80">
        <f>HYPERLINK("https://klasma.github.io/Logging_1784/knärot/A 24239-2023 karta knärot.png", "A 24239-2023")</f>
        <v/>
      </c>
      <c r="V80">
        <f>HYPERLINK("https://klasma.github.io/Logging_1784/klagomål/A 24239-2023 FSC-klagomål.docx", "A 24239-2023")</f>
        <v/>
      </c>
      <c r="W80">
        <f>HYPERLINK("https://klasma.github.io/Logging_1784/klagomålsmail/A 24239-2023 FSC-klagomål mail.docx", "A 24239-2023")</f>
        <v/>
      </c>
      <c r="X80">
        <f>HYPERLINK("https://klasma.github.io/Logging_1784/tillsyn/A 24239-2023 tillsynsbegäran.docx", "A 24239-2023")</f>
        <v/>
      </c>
      <c r="Y80">
        <f>HYPERLINK("https://klasma.github.io/Logging_1784/tillsynsmail/A 24239-2023 tillsynsbegäran mail.docx", "A 24239-2023")</f>
        <v/>
      </c>
    </row>
    <row r="81" ht="15" customHeight="1">
      <c r="A81" t="inlineStr">
        <is>
          <t>A 25913-2023</t>
        </is>
      </c>
      <c r="B81" s="1" t="n">
        <v>45090</v>
      </c>
      <c r="C81" s="1" t="n">
        <v>45792</v>
      </c>
      <c r="D81" t="inlineStr">
        <is>
          <t>VÄRMLANDS LÄN</t>
        </is>
      </c>
      <c r="E81" t="inlineStr">
        <is>
          <t>ARVIKA</t>
        </is>
      </c>
      <c r="G81" t="n">
        <v>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25913-2023 artfynd.xlsx", "A 25913-2023")</f>
        <v/>
      </c>
      <c r="T81">
        <f>HYPERLINK("https://klasma.github.io/Logging_1784/kartor/A 25913-2023 karta.png", "A 25913-2023")</f>
        <v/>
      </c>
      <c r="V81">
        <f>HYPERLINK("https://klasma.github.io/Logging_1784/klagomål/A 25913-2023 FSC-klagomål.docx", "A 25913-2023")</f>
        <v/>
      </c>
      <c r="W81">
        <f>HYPERLINK("https://klasma.github.io/Logging_1784/klagomålsmail/A 25913-2023 FSC-klagomål mail.docx", "A 25913-2023")</f>
        <v/>
      </c>
      <c r="X81">
        <f>HYPERLINK("https://klasma.github.io/Logging_1784/tillsyn/A 25913-2023 tillsynsbegäran.docx", "A 25913-2023")</f>
        <v/>
      </c>
      <c r="Y81">
        <f>HYPERLINK("https://klasma.github.io/Logging_1784/tillsynsmail/A 25913-2023 tillsynsbegäran mail.docx", "A 25913-2023")</f>
        <v/>
      </c>
      <c r="Z81">
        <f>HYPERLINK("https://klasma.github.io/Logging_1784/fåglar/A 25913-2023 prioriterade fågelarter.docx", "A 25913-2023")</f>
        <v/>
      </c>
    </row>
    <row r="82" ht="15" customHeight="1">
      <c r="A82" t="inlineStr">
        <is>
          <t>A 32877-2023</t>
        </is>
      </c>
      <c r="B82" s="1" t="n">
        <v>45124</v>
      </c>
      <c r="C82" s="1" t="n">
        <v>45792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HYPERLINK("https://klasma.github.io/Logging_1784/artfynd/A 32877-2023 artfynd.xlsx", "A 32877-2023")</f>
        <v/>
      </c>
      <c r="T82">
        <f>HYPERLINK("https://klasma.github.io/Logging_1784/kartor/A 32877-2023 karta.png", "A 32877-2023")</f>
        <v/>
      </c>
      <c r="U82">
        <f>HYPERLINK("https://klasma.github.io/Logging_1784/knärot/A 32877-2023 karta knärot.png", "A 32877-2023")</f>
        <v/>
      </c>
      <c r="V82">
        <f>HYPERLINK("https://klasma.github.io/Logging_1784/klagomål/A 32877-2023 FSC-klagomål.docx", "A 32877-2023")</f>
        <v/>
      </c>
      <c r="W82">
        <f>HYPERLINK("https://klasma.github.io/Logging_1784/klagomålsmail/A 32877-2023 FSC-klagomål mail.docx", "A 32877-2023")</f>
        <v/>
      </c>
      <c r="X82">
        <f>HYPERLINK("https://klasma.github.io/Logging_1784/tillsyn/A 32877-2023 tillsynsbegäran.docx", "A 32877-2023")</f>
        <v/>
      </c>
      <c r="Y82">
        <f>HYPERLINK("https://klasma.github.io/Logging_1784/tillsynsmail/A 32877-2023 tillsynsbegäran mail.docx", "A 32877-2023")</f>
        <v/>
      </c>
    </row>
    <row r="83" ht="15" customHeight="1">
      <c r="A83" t="inlineStr">
        <is>
          <t>A 43388-2023</t>
        </is>
      </c>
      <c r="B83" s="1" t="n">
        <v>45183</v>
      </c>
      <c r="C83" s="1" t="n">
        <v>45792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43388-2023 artfynd.xlsx", "A 43388-2023")</f>
        <v/>
      </c>
      <c r="T83">
        <f>HYPERLINK("https://klasma.github.io/Logging_1784/kartor/A 43388-2023 karta.png", "A 43388-2023")</f>
        <v/>
      </c>
      <c r="U83">
        <f>HYPERLINK("https://klasma.github.io/Logging_1784/knärot/A 43388-2023 karta knärot.png", "A 43388-2023")</f>
        <v/>
      </c>
      <c r="V83">
        <f>HYPERLINK("https://klasma.github.io/Logging_1784/klagomål/A 43388-2023 FSC-klagomål.docx", "A 43388-2023")</f>
        <v/>
      </c>
      <c r="W83">
        <f>HYPERLINK("https://klasma.github.io/Logging_1784/klagomålsmail/A 43388-2023 FSC-klagomål mail.docx", "A 43388-2023")</f>
        <v/>
      </c>
      <c r="X83">
        <f>HYPERLINK("https://klasma.github.io/Logging_1784/tillsyn/A 43388-2023 tillsynsbegäran.docx", "A 43388-2023")</f>
        <v/>
      </c>
      <c r="Y83">
        <f>HYPERLINK("https://klasma.github.io/Logging_1784/tillsynsmail/A 43388-2023 tillsynsbegäran mail.docx", "A 43388-2023")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45792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48464-2023</t>
        </is>
      </c>
      <c r="B85" s="1" t="n">
        <v>45206</v>
      </c>
      <c r="C85" s="1" t="n">
        <v>45792</v>
      </c>
      <c r="D85" t="inlineStr">
        <is>
          <t>VÄRMLANDS LÄN</t>
        </is>
      </c>
      <c r="E85" t="inlineStr">
        <is>
          <t>ARVIKA</t>
        </is>
      </c>
      <c r="G85" t="n">
        <v>7.9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48464-2023 artfynd.xlsx", "A 48464-2023")</f>
        <v/>
      </c>
      <c r="T85">
        <f>HYPERLINK("https://klasma.github.io/Logging_1784/kartor/A 48464-2023 karta.png", "A 48464-2023")</f>
        <v/>
      </c>
      <c r="U85">
        <f>HYPERLINK("https://klasma.github.io/Logging_1784/knärot/A 48464-2023 karta knärot.png", "A 48464-2023")</f>
        <v/>
      </c>
      <c r="V85">
        <f>HYPERLINK("https://klasma.github.io/Logging_1784/klagomål/A 48464-2023 FSC-klagomål.docx", "A 48464-2023")</f>
        <v/>
      </c>
      <c r="W85">
        <f>HYPERLINK("https://klasma.github.io/Logging_1784/klagomålsmail/A 48464-2023 FSC-klagomål mail.docx", "A 48464-2023")</f>
        <v/>
      </c>
      <c r="X85">
        <f>HYPERLINK("https://klasma.github.io/Logging_1784/tillsyn/A 48464-2023 tillsynsbegäran.docx", "A 48464-2023")</f>
        <v/>
      </c>
      <c r="Y85">
        <f>HYPERLINK("https://klasma.github.io/Logging_1784/tillsynsmail/A 48464-2023 tillsynsbegäran mail.docx", "A 48464-2023")</f>
        <v/>
      </c>
    </row>
    <row r="86" ht="15" customHeight="1">
      <c r="A86" t="inlineStr">
        <is>
          <t>A 53630-2023</t>
        </is>
      </c>
      <c r="B86" s="1" t="n">
        <v>45230</v>
      </c>
      <c r="C86" s="1" t="n">
        <v>45792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HYPERLINK("https://klasma.github.io/Logging_1784/artfynd/A 53630-2023 artfynd.xlsx", "A 53630-2023")</f>
        <v/>
      </c>
      <c r="T86">
        <f>HYPERLINK("https://klasma.github.io/Logging_1784/kartor/A 53630-2023 karta.png", "A 53630-2023")</f>
        <v/>
      </c>
      <c r="V86">
        <f>HYPERLINK("https://klasma.github.io/Logging_1784/klagomål/A 53630-2023 FSC-klagomål.docx", "A 53630-2023")</f>
        <v/>
      </c>
      <c r="W86">
        <f>HYPERLINK("https://klasma.github.io/Logging_1784/klagomålsmail/A 53630-2023 FSC-klagomål mail.docx", "A 53630-2023")</f>
        <v/>
      </c>
      <c r="X86">
        <f>HYPERLINK("https://klasma.github.io/Logging_1784/tillsyn/A 53630-2023 tillsynsbegäran.docx", "A 53630-2023")</f>
        <v/>
      </c>
      <c r="Y86">
        <f>HYPERLINK("https://klasma.github.io/Logging_1784/tillsynsmail/A 53630-2023 tillsynsbegäran mail.docx", "A 53630-2023")</f>
        <v/>
      </c>
    </row>
    <row r="87" ht="15" customHeight="1">
      <c r="A87" t="inlineStr">
        <is>
          <t>A 61004-2023</t>
        </is>
      </c>
      <c r="B87" s="1" t="n">
        <v>45261</v>
      </c>
      <c r="C87" s="1" t="n">
        <v>45792</v>
      </c>
      <c r="D87" t="inlineStr">
        <is>
          <t>VÄRMLANDS LÄN</t>
        </is>
      </c>
      <c r="E87" t="inlineStr">
        <is>
          <t>ARVIKA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61004-2023 artfynd.xlsx", "A 61004-2023")</f>
        <v/>
      </c>
      <c r="T87">
        <f>HYPERLINK("https://klasma.github.io/Logging_1784/kartor/A 61004-2023 karta.png", "A 61004-2023")</f>
        <v/>
      </c>
      <c r="U87">
        <f>HYPERLINK("https://klasma.github.io/Logging_1784/knärot/A 61004-2023 karta knärot.png", "A 61004-2023")</f>
        <v/>
      </c>
      <c r="V87">
        <f>HYPERLINK("https://klasma.github.io/Logging_1784/klagomål/A 61004-2023 FSC-klagomål.docx", "A 61004-2023")</f>
        <v/>
      </c>
      <c r="W87">
        <f>HYPERLINK("https://klasma.github.io/Logging_1784/klagomålsmail/A 61004-2023 FSC-klagomål mail.docx", "A 61004-2023")</f>
        <v/>
      </c>
      <c r="X87">
        <f>HYPERLINK("https://klasma.github.io/Logging_1784/tillsyn/A 61004-2023 tillsynsbegäran.docx", "A 61004-2023")</f>
        <v/>
      </c>
      <c r="Y87">
        <f>HYPERLINK("https://klasma.github.io/Logging_1784/tillsynsmail/A 61004-2023 tillsynsbegäran mail.docx", "A 61004-2023")</f>
        <v/>
      </c>
    </row>
    <row r="88" ht="15" customHeight="1">
      <c r="A88" t="inlineStr">
        <is>
          <t>A 9629-2024</t>
        </is>
      </c>
      <c r="B88" s="1" t="n">
        <v>45362</v>
      </c>
      <c r="C88" s="1" t="n">
        <v>45792</v>
      </c>
      <c r="D88" t="inlineStr">
        <is>
          <t>VÄRMLANDS LÄN</t>
        </is>
      </c>
      <c r="E88" t="inlineStr">
        <is>
          <t>ARVIKA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HYPERLINK("https://klasma.github.io/Logging_1784/artfynd/A 9629-2024 artfynd.xlsx", "A 9629-2024")</f>
        <v/>
      </c>
      <c r="T88">
        <f>HYPERLINK("https://klasma.github.io/Logging_1784/kartor/A 9629-2024 karta.png", "A 9629-2024")</f>
        <v/>
      </c>
      <c r="V88">
        <f>HYPERLINK("https://klasma.github.io/Logging_1784/klagomål/A 9629-2024 FSC-klagomål.docx", "A 9629-2024")</f>
        <v/>
      </c>
      <c r="W88">
        <f>HYPERLINK("https://klasma.github.io/Logging_1784/klagomålsmail/A 9629-2024 FSC-klagomål mail.docx", "A 9629-2024")</f>
        <v/>
      </c>
      <c r="X88">
        <f>HYPERLINK("https://klasma.github.io/Logging_1784/tillsyn/A 9629-2024 tillsynsbegäran.docx", "A 9629-2024")</f>
        <v/>
      </c>
      <c r="Y88">
        <f>HYPERLINK("https://klasma.github.io/Logging_1784/tillsynsmail/A 9629-2024 tillsynsbegäran mail.docx", "A 9629-2024")</f>
        <v/>
      </c>
      <c r="Z88">
        <f>HYPERLINK("https://klasma.github.io/Logging_1784/fåglar/A 9629-2024 prioriterade fågelarter.docx", "A 9629-2024")</f>
        <v/>
      </c>
    </row>
    <row r="89" ht="15" customHeight="1">
      <c r="A89" t="inlineStr">
        <is>
          <t>A 9628-2024</t>
        </is>
      </c>
      <c r="B89" s="1" t="n">
        <v>45362</v>
      </c>
      <c r="C89" s="1" t="n">
        <v>45792</v>
      </c>
      <c r="D89" t="inlineStr">
        <is>
          <t>VÄRMLANDS LÄN</t>
        </is>
      </c>
      <c r="E89" t="inlineStr">
        <is>
          <t>ARVIKA</t>
        </is>
      </c>
      <c r="G89" t="n">
        <v>2.1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9628-2024 artfynd.xlsx", "A 9628-2024")</f>
        <v/>
      </c>
      <c r="T89">
        <f>HYPERLINK("https://klasma.github.io/Logging_1784/kartor/A 9628-2024 karta.png", "A 9628-2024")</f>
        <v/>
      </c>
      <c r="V89">
        <f>HYPERLINK("https://klasma.github.io/Logging_1784/klagomål/A 9628-2024 FSC-klagomål.docx", "A 9628-2024")</f>
        <v/>
      </c>
      <c r="W89">
        <f>HYPERLINK("https://klasma.github.io/Logging_1784/klagomålsmail/A 9628-2024 FSC-klagomål mail.docx", "A 9628-2024")</f>
        <v/>
      </c>
      <c r="X89">
        <f>HYPERLINK("https://klasma.github.io/Logging_1784/tillsyn/A 9628-2024 tillsynsbegäran.docx", "A 9628-2024")</f>
        <v/>
      </c>
      <c r="Y89">
        <f>HYPERLINK("https://klasma.github.io/Logging_1784/tillsynsmail/A 9628-2024 tillsynsbegäran mail.docx", "A 9628-2024")</f>
        <v/>
      </c>
      <c r="Z89">
        <f>HYPERLINK("https://klasma.github.io/Logging_1784/fåglar/A 9628-2024 prioriterade fågelarter.docx", "A 9628-2024")</f>
        <v/>
      </c>
    </row>
    <row r="90" ht="15" customHeight="1">
      <c r="A90" t="inlineStr">
        <is>
          <t>A 14030-2024</t>
        </is>
      </c>
      <c r="B90" s="1" t="n">
        <v>45392</v>
      </c>
      <c r="C90" s="1" t="n">
        <v>45792</v>
      </c>
      <c r="D90" t="inlineStr">
        <is>
          <t>VÄRMLANDS LÄN</t>
        </is>
      </c>
      <c r="E90" t="inlineStr">
        <is>
          <t>ARVIKA</t>
        </is>
      </c>
      <c r="F90" t="inlineStr">
        <is>
          <t>Kyrkan</t>
        </is>
      </c>
      <c r="G90" t="n">
        <v>32.2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14030-2024 artfynd.xlsx", "A 14030-2024")</f>
        <v/>
      </c>
      <c r="T90">
        <f>HYPERLINK("https://klasma.github.io/Logging_1784/kartor/A 14030-2024 karta.png", "A 14030-2024")</f>
        <v/>
      </c>
      <c r="U90">
        <f>HYPERLINK("https://klasma.github.io/Logging_1784/knärot/A 14030-2024 karta knärot.png", "A 14030-2024")</f>
        <v/>
      </c>
      <c r="V90">
        <f>HYPERLINK("https://klasma.github.io/Logging_1784/klagomål/A 14030-2024 FSC-klagomål.docx", "A 14030-2024")</f>
        <v/>
      </c>
      <c r="W90">
        <f>HYPERLINK("https://klasma.github.io/Logging_1784/klagomålsmail/A 14030-2024 FSC-klagomål mail.docx", "A 14030-2024")</f>
        <v/>
      </c>
      <c r="X90">
        <f>HYPERLINK("https://klasma.github.io/Logging_1784/tillsyn/A 14030-2024 tillsynsbegäran.docx", "A 14030-2024")</f>
        <v/>
      </c>
      <c r="Y90">
        <f>HYPERLINK("https://klasma.github.io/Logging_1784/tillsynsmail/A 14030-2024 tillsynsbegäran mail.docx", "A 14030-2024")</f>
        <v/>
      </c>
    </row>
    <row r="91" ht="15" customHeight="1">
      <c r="A91" t="inlineStr">
        <is>
          <t>A 17928-2024</t>
        </is>
      </c>
      <c r="B91" s="1" t="n">
        <v>45419</v>
      </c>
      <c r="C91" s="1" t="n">
        <v>45792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Bårdlav</t>
        </is>
      </c>
      <c r="S91">
        <f>HYPERLINK("https://klasma.github.io/Logging_1784/artfynd/A 17928-2024 artfynd.xlsx", "A 17928-2024")</f>
        <v/>
      </c>
      <c r="T91">
        <f>HYPERLINK("https://klasma.github.io/Logging_1784/kartor/A 17928-2024 karta.png", "A 17928-2024")</f>
        <v/>
      </c>
      <c r="V91">
        <f>HYPERLINK("https://klasma.github.io/Logging_1784/klagomål/A 17928-2024 FSC-klagomål.docx", "A 17928-2024")</f>
        <v/>
      </c>
      <c r="W91">
        <f>HYPERLINK("https://klasma.github.io/Logging_1784/klagomålsmail/A 17928-2024 FSC-klagomål mail.docx", "A 17928-2024")</f>
        <v/>
      </c>
      <c r="X91">
        <f>HYPERLINK("https://klasma.github.io/Logging_1784/tillsyn/A 17928-2024 tillsynsbegäran.docx", "A 17928-2024")</f>
        <v/>
      </c>
      <c r="Y91">
        <f>HYPERLINK("https://klasma.github.io/Logging_1784/tillsynsmail/A 17928-2024 tillsynsbegäran mail.docx", "A 17928-2024")</f>
        <v/>
      </c>
    </row>
    <row r="92" ht="15" customHeight="1">
      <c r="A92" t="inlineStr">
        <is>
          <t>A 19026-2024</t>
        </is>
      </c>
      <c r="B92" s="1" t="n">
        <v>45427</v>
      </c>
      <c r="C92" s="1" t="n">
        <v>45792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HYPERLINK("https://klasma.github.io/Logging_1784/artfynd/A 19026-2024 artfynd.xlsx", "A 19026-2024")</f>
        <v/>
      </c>
      <c r="T92">
        <f>HYPERLINK("https://klasma.github.io/Logging_1784/kartor/A 19026-2024 karta.png", "A 19026-2024")</f>
        <v/>
      </c>
      <c r="V92">
        <f>HYPERLINK("https://klasma.github.io/Logging_1784/klagomål/A 19026-2024 FSC-klagomål.docx", "A 19026-2024")</f>
        <v/>
      </c>
      <c r="W92">
        <f>HYPERLINK("https://klasma.github.io/Logging_1784/klagomålsmail/A 19026-2024 FSC-klagomål mail.docx", "A 19026-2024")</f>
        <v/>
      </c>
      <c r="X92">
        <f>HYPERLINK("https://klasma.github.io/Logging_1784/tillsyn/A 19026-2024 tillsynsbegäran.docx", "A 19026-2024")</f>
        <v/>
      </c>
      <c r="Y92">
        <f>HYPERLINK("https://klasma.github.io/Logging_1784/tillsynsmail/A 19026-2024 tillsynsbegäran mail.docx", "A 19026-2024")</f>
        <v/>
      </c>
    </row>
    <row r="93" ht="15" customHeight="1">
      <c r="A93" t="inlineStr">
        <is>
          <t>A 21252-2024</t>
        </is>
      </c>
      <c r="B93" s="1" t="n">
        <v>45440</v>
      </c>
      <c r="C93" s="1" t="n">
        <v>45792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21252-2024 artfynd.xlsx", "A 21252-2024")</f>
        <v/>
      </c>
      <c r="T93">
        <f>HYPERLINK("https://klasma.github.io/Logging_1784/kartor/A 21252-2024 karta.png", "A 21252-2024")</f>
        <v/>
      </c>
      <c r="U93">
        <f>HYPERLINK("https://klasma.github.io/Logging_1784/knärot/A 21252-2024 karta knärot.png", "A 21252-2024")</f>
        <v/>
      </c>
      <c r="V93">
        <f>HYPERLINK("https://klasma.github.io/Logging_1784/klagomål/A 21252-2024 FSC-klagomål.docx", "A 21252-2024")</f>
        <v/>
      </c>
      <c r="W93">
        <f>HYPERLINK("https://klasma.github.io/Logging_1784/klagomålsmail/A 21252-2024 FSC-klagomål mail.docx", "A 21252-2024")</f>
        <v/>
      </c>
      <c r="X93">
        <f>HYPERLINK("https://klasma.github.io/Logging_1784/tillsyn/A 21252-2024 tillsynsbegäran.docx", "A 21252-2024")</f>
        <v/>
      </c>
      <c r="Y93">
        <f>HYPERLINK("https://klasma.github.io/Logging_1784/tillsynsmail/A 21252-2024 tillsynsbegäran mail.docx", "A 21252-2024")</f>
        <v/>
      </c>
    </row>
    <row r="94" ht="15" customHeight="1">
      <c r="A94" t="inlineStr">
        <is>
          <t>A 23083-2024</t>
        </is>
      </c>
      <c r="B94" s="1" t="n">
        <v>45450</v>
      </c>
      <c r="C94" s="1" t="n">
        <v>45792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23083-2024 artfynd.xlsx", "A 23083-2024")</f>
        <v/>
      </c>
      <c r="T94">
        <f>HYPERLINK("https://klasma.github.io/Logging_1784/kartor/A 23083-2024 karta.png", "A 23083-2024")</f>
        <v/>
      </c>
      <c r="U94">
        <f>HYPERLINK("https://klasma.github.io/Logging_1784/knärot/A 23083-2024 karta knärot.png", "A 23083-2024")</f>
        <v/>
      </c>
      <c r="V94">
        <f>HYPERLINK("https://klasma.github.io/Logging_1784/klagomål/A 23083-2024 FSC-klagomål.docx", "A 23083-2024")</f>
        <v/>
      </c>
      <c r="W94">
        <f>HYPERLINK("https://klasma.github.io/Logging_1784/klagomålsmail/A 23083-2024 FSC-klagomål mail.docx", "A 23083-2024")</f>
        <v/>
      </c>
      <c r="X94">
        <f>HYPERLINK("https://klasma.github.io/Logging_1784/tillsyn/A 23083-2024 tillsynsbegäran.docx", "A 23083-2024")</f>
        <v/>
      </c>
      <c r="Y94">
        <f>HYPERLINK("https://klasma.github.io/Logging_1784/tillsynsmail/A 23083-2024 tillsynsbegäran mail.docx", "A 23083-2024")</f>
        <v/>
      </c>
    </row>
    <row r="95" ht="15" customHeight="1">
      <c r="A95" t="inlineStr">
        <is>
          <t>A 36475-2024</t>
        </is>
      </c>
      <c r="B95" s="1" t="n">
        <v>45537</v>
      </c>
      <c r="C95" s="1" t="n">
        <v>45792</v>
      </c>
      <c r="D95" t="inlineStr">
        <is>
          <t>VÄRMLANDS LÄN</t>
        </is>
      </c>
      <c r="E95" t="inlineStr">
        <is>
          <t>ARVIKA</t>
        </is>
      </c>
      <c r="F95" t="inlineStr">
        <is>
          <t>Kommuner</t>
        </is>
      </c>
      <c r="G95" t="n">
        <v>2.2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Slåttergubbemal</t>
        </is>
      </c>
      <c r="S95">
        <f>HYPERLINK("https://klasma.github.io/Logging_1784/artfynd/A 36475-2024 artfynd.xlsx", "A 36475-2024")</f>
        <v/>
      </c>
      <c r="T95">
        <f>HYPERLINK("https://klasma.github.io/Logging_1784/kartor/A 36475-2024 karta.png", "A 36475-2024")</f>
        <v/>
      </c>
      <c r="V95">
        <f>HYPERLINK("https://klasma.github.io/Logging_1784/klagomål/A 36475-2024 FSC-klagomål.docx", "A 36475-2024")</f>
        <v/>
      </c>
      <c r="W95">
        <f>HYPERLINK("https://klasma.github.io/Logging_1784/klagomålsmail/A 36475-2024 FSC-klagomål mail.docx", "A 36475-2024")</f>
        <v/>
      </c>
      <c r="X95">
        <f>HYPERLINK("https://klasma.github.io/Logging_1784/tillsyn/A 36475-2024 tillsynsbegäran.docx", "A 36475-2024")</f>
        <v/>
      </c>
      <c r="Y95">
        <f>HYPERLINK("https://klasma.github.io/Logging_1784/tillsynsmail/A 36475-2024 tillsynsbegäran mail.docx", "A 36475-2024")</f>
        <v/>
      </c>
    </row>
    <row r="96" ht="15" customHeight="1">
      <c r="A96" t="inlineStr">
        <is>
          <t>A 47217-2024</t>
        </is>
      </c>
      <c r="B96" s="1" t="n">
        <v>45586</v>
      </c>
      <c r="C96" s="1" t="n">
        <v>45792</v>
      </c>
      <c r="D96" t="inlineStr">
        <is>
          <t>VÄRMLANDS LÄN</t>
        </is>
      </c>
      <c r="E96" t="inlineStr">
        <is>
          <t>ARVIKA</t>
        </is>
      </c>
      <c r="G96" t="n">
        <v>5.6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47217-2024 artfynd.xlsx", "A 47217-2024")</f>
        <v/>
      </c>
      <c r="T96">
        <f>HYPERLINK("https://klasma.github.io/Logging_1784/kartor/A 47217-2024 karta.png", "A 47217-2024")</f>
        <v/>
      </c>
      <c r="U96">
        <f>HYPERLINK("https://klasma.github.io/Logging_1784/knärot/A 47217-2024 karta knärot.png", "A 47217-2024")</f>
        <v/>
      </c>
      <c r="V96">
        <f>HYPERLINK("https://klasma.github.io/Logging_1784/klagomål/A 47217-2024 FSC-klagomål.docx", "A 47217-2024")</f>
        <v/>
      </c>
      <c r="W96">
        <f>HYPERLINK("https://klasma.github.io/Logging_1784/klagomålsmail/A 47217-2024 FSC-klagomål mail.docx", "A 47217-2024")</f>
        <v/>
      </c>
      <c r="X96">
        <f>HYPERLINK("https://klasma.github.io/Logging_1784/tillsyn/A 47217-2024 tillsynsbegäran.docx", "A 47217-2024")</f>
        <v/>
      </c>
      <c r="Y96">
        <f>HYPERLINK("https://klasma.github.io/Logging_1784/tillsynsmail/A 47217-2024 tillsynsbegäran mail.docx", "A 47217-2024")</f>
        <v/>
      </c>
    </row>
    <row r="97" ht="15" customHeight="1">
      <c r="A97" t="inlineStr">
        <is>
          <t>A 48010-2024</t>
        </is>
      </c>
      <c r="B97" s="1" t="n">
        <v>45589</v>
      </c>
      <c r="C97" s="1" t="n">
        <v>45792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48010-2024 artfynd.xlsx", "A 48010-2024")</f>
        <v/>
      </c>
      <c r="T97">
        <f>HYPERLINK("https://klasma.github.io/Logging_1784/kartor/A 48010-2024 karta.png", "A 48010-2024")</f>
        <v/>
      </c>
      <c r="U97">
        <f>HYPERLINK("https://klasma.github.io/Logging_1784/knärot/A 48010-2024 karta knärot.png", "A 48010-2024")</f>
        <v/>
      </c>
      <c r="V97">
        <f>HYPERLINK("https://klasma.github.io/Logging_1784/klagomål/A 48010-2024 FSC-klagomål.docx", "A 48010-2024")</f>
        <v/>
      </c>
      <c r="W97">
        <f>HYPERLINK("https://klasma.github.io/Logging_1784/klagomålsmail/A 48010-2024 FSC-klagomål mail.docx", "A 48010-2024")</f>
        <v/>
      </c>
      <c r="X97">
        <f>HYPERLINK("https://klasma.github.io/Logging_1784/tillsyn/A 48010-2024 tillsynsbegäran.docx", "A 48010-2024")</f>
        <v/>
      </c>
      <c r="Y97">
        <f>HYPERLINK("https://klasma.github.io/Logging_1784/tillsynsmail/A 48010-2024 tillsynsbegäran mail.docx", "A 48010-2024")</f>
        <v/>
      </c>
    </row>
    <row r="98" ht="15" customHeight="1">
      <c r="A98" t="inlineStr">
        <is>
          <t>A 58108-2024</t>
        </is>
      </c>
      <c r="B98" s="1" t="n">
        <v>45632</v>
      </c>
      <c r="C98" s="1" t="n">
        <v>45792</v>
      </c>
      <c r="D98" t="inlineStr">
        <is>
          <t>VÄRMLANDS LÄN</t>
        </is>
      </c>
      <c r="E98" t="inlineStr">
        <is>
          <t>ARVIKA</t>
        </is>
      </c>
      <c r="G98" t="n">
        <v>10.5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58108-2024 artfynd.xlsx", "A 58108-2024")</f>
        <v/>
      </c>
      <c r="T98">
        <f>HYPERLINK("https://klasma.github.io/Logging_1784/kartor/A 58108-2024 karta.png", "A 58108-2024")</f>
        <v/>
      </c>
      <c r="U98">
        <f>HYPERLINK("https://klasma.github.io/Logging_1784/knärot/A 58108-2024 karta knärot.png", "A 58108-2024")</f>
        <v/>
      </c>
      <c r="V98">
        <f>HYPERLINK("https://klasma.github.io/Logging_1784/klagomål/A 58108-2024 FSC-klagomål.docx", "A 58108-2024")</f>
        <v/>
      </c>
      <c r="W98">
        <f>HYPERLINK("https://klasma.github.io/Logging_1784/klagomålsmail/A 58108-2024 FSC-klagomål mail.docx", "A 58108-2024")</f>
        <v/>
      </c>
      <c r="X98">
        <f>HYPERLINK("https://klasma.github.io/Logging_1784/tillsyn/A 58108-2024 tillsynsbegäran.docx", "A 58108-2024")</f>
        <v/>
      </c>
      <c r="Y98">
        <f>HYPERLINK("https://klasma.github.io/Logging_1784/tillsynsmail/A 58108-2024 tillsynsbegäran mail.docx", "A 58108-2024")</f>
        <v/>
      </c>
    </row>
    <row r="99" ht="15" customHeight="1">
      <c r="A99" t="inlineStr">
        <is>
          <t>A 865-2025</t>
        </is>
      </c>
      <c r="B99" s="1" t="n">
        <v>45665</v>
      </c>
      <c r="C99" s="1" t="n">
        <v>45792</v>
      </c>
      <c r="D99" t="inlineStr">
        <is>
          <t>VÄRMLANDS LÄN</t>
        </is>
      </c>
      <c r="E99" t="inlineStr">
        <is>
          <t>ARVIKA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865-2025 artfynd.xlsx", "A 865-2025")</f>
        <v/>
      </c>
      <c r="T99">
        <f>HYPERLINK("https://klasma.github.io/Logging_1784/kartor/A 865-2025 karta.png", "A 865-2025")</f>
        <v/>
      </c>
      <c r="V99">
        <f>HYPERLINK("https://klasma.github.io/Logging_1784/klagomål/A 865-2025 FSC-klagomål.docx", "A 865-2025")</f>
        <v/>
      </c>
      <c r="W99">
        <f>HYPERLINK("https://klasma.github.io/Logging_1784/klagomålsmail/A 865-2025 FSC-klagomål mail.docx", "A 865-2025")</f>
        <v/>
      </c>
      <c r="X99">
        <f>HYPERLINK("https://klasma.github.io/Logging_1784/tillsyn/A 865-2025 tillsynsbegäran.docx", "A 865-2025")</f>
        <v/>
      </c>
      <c r="Y99">
        <f>HYPERLINK("https://klasma.github.io/Logging_1784/tillsynsmail/A 865-2025 tillsynsbegäran mail.docx", "A 865-2025")</f>
        <v/>
      </c>
    </row>
    <row r="100" ht="15" customHeight="1">
      <c r="A100" t="inlineStr">
        <is>
          <t>A 5779-2025</t>
        </is>
      </c>
      <c r="B100" s="1" t="n">
        <v>45694</v>
      </c>
      <c r="C100" s="1" t="n">
        <v>45792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HYPERLINK("https://klasma.github.io/Logging_1784/artfynd/A 5779-2025 artfynd.xlsx", "A 5779-2025")</f>
        <v/>
      </c>
      <c r="T100">
        <f>HYPERLINK("https://klasma.github.io/Logging_1784/kartor/A 5779-2025 karta.png", "A 5779-2025")</f>
        <v/>
      </c>
      <c r="V100">
        <f>HYPERLINK("https://klasma.github.io/Logging_1784/klagomål/A 5779-2025 FSC-klagomål.docx", "A 5779-2025")</f>
        <v/>
      </c>
      <c r="W100">
        <f>HYPERLINK("https://klasma.github.io/Logging_1784/klagomålsmail/A 5779-2025 FSC-klagomål mail.docx", "A 5779-2025")</f>
        <v/>
      </c>
      <c r="X100">
        <f>HYPERLINK("https://klasma.github.io/Logging_1784/tillsyn/A 5779-2025 tillsynsbegäran.docx", "A 5779-2025")</f>
        <v/>
      </c>
      <c r="Y100">
        <f>HYPERLINK("https://klasma.github.io/Logging_1784/tillsynsmail/A 5779-2025 tillsynsbegäran mail.docx", "A 5779-2025")</f>
        <v/>
      </c>
    </row>
    <row r="101" ht="15" customHeight="1">
      <c r="A101" t="inlineStr">
        <is>
          <t>A 6966-2025</t>
        </is>
      </c>
      <c r="B101" s="1" t="n">
        <v>45701</v>
      </c>
      <c r="C101" s="1" t="n">
        <v>45792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6966-2025 artfynd.xlsx", "A 6966-2025")</f>
        <v/>
      </c>
      <c r="T101">
        <f>HYPERLINK("https://klasma.github.io/Logging_1784/kartor/A 6966-2025 karta.png", "A 6966-2025")</f>
        <v/>
      </c>
      <c r="U101">
        <f>HYPERLINK("https://klasma.github.io/Logging_1784/knärot/A 6966-2025 karta knärot.png", "A 6966-2025")</f>
        <v/>
      </c>
      <c r="V101">
        <f>HYPERLINK("https://klasma.github.io/Logging_1784/klagomål/A 6966-2025 FSC-klagomål.docx", "A 6966-2025")</f>
        <v/>
      </c>
      <c r="W101">
        <f>HYPERLINK("https://klasma.github.io/Logging_1784/klagomålsmail/A 6966-2025 FSC-klagomål mail.docx", "A 6966-2025")</f>
        <v/>
      </c>
      <c r="X101">
        <f>HYPERLINK("https://klasma.github.io/Logging_1784/tillsyn/A 6966-2025 tillsynsbegäran.docx", "A 6966-2025")</f>
        <v/>
      </c>
      <c r="Y101">
        <f>HYPERLINK("https://klasma.github.io/Logging_1784/tillsynsmail/A 6966-2025 tillsynsbegäran mail.docx", "A 6966-2025")</f>
        <v/>
      </c>
    </row>
    <row r="102" ht="15" customHeight="1">
      <c r="A102" t="inlineStr">
        <is>
          <t>A 8165-2025</t>
        </is>
      </c>
      <c r="B102" s="1" t="n">
        <v>45708</v>
      </c>
      <c r="C102" s="1" t="n">
        <v>45792</v>
      </c>
      <c r="D102" t="inlineStr">
        <is>
          <t>VÄRMLANDS LÄN</t>
        </is>
      </c>
      <c r="E102" t="inlineStr">
        <is>
          <t>ARVIKA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8165-2025 artfynd.xlsx", "A 8165-2025")</f>
        <v/>
      </c>
      <c r="T102">
        <f>HYPERLINK("https://klasma.github.io/Logging_1784/kartor/A 8165-2025 karta.png", "A 8165-2025")</f>
        <v/>
      </c>
      <c r="U102">
        <f>HYPERLINK("https://klasma.github.io/Logging_1784/knärot/A 8165-2025 karta knärot.png", "A 8165-2025")</f>
        <v/>
      </c>
      <c r="V102">
        <f>HYPERLINK("https://klasma.github.io/Logging_1784/klagomål/A 8165-2025 FSC-klagomål.docx", "A 8165-2025")</f>
        <v/>
      </c>
      <c r="W102">
        <f>HYPERLINK("https://klasma.github.io/Logging_1784/klagomålsmail/A 8165-2025 FSC-klagomål mail.docx", "A 8165-2025")</f>
        <v/>
      </c>
      <c r="X102">
        <f>HYPERLINK("https://klasma.github.io/Logging_1784/tillsyn/A 8165-2025 tillsynsbegäran.docx", "A 8165-2025")</f>
        <v/>
      </c>
      <c r="Y102">
        <f>HYPERLINK("https://klasma.github.io/Logging_1784/tillsynsmail/A 8165-2025 tillsynsbegäran mail.docx", "A 8165-2025")</f>
        <v/>
      </c>
    </row>
    <row r="103" ht="15" customHeight="1">
      <c r="A103" t="inlineStr">
        <is>
          <t>A 9055-2025</t>
        </is>
      </c>
      <c r="B103" s="1" t="n">
        <v>45713</v>
      </c>
      <c r="C103" s="1" t="n">
        <v>45792</v>
      </c>
      <c r="D103" t="inlineStr">
        <is>
          <t>VÄRMLANDS LÄN</t>
        </is>
      </c>
      <c r="E103" t="inlineStr">
        <is>
          <t>ARVIKA</t>
        </is>
      </c>
      <c r="G103" t="n">
        <v>2.4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HYPERLINK("https://klasma.github.io/Logging_1784/artfynd/A 9055-2025 artfynd.xlsx", "A 9055-2025")</f>
        <v/>
      </c>
      <c r="T103">
        <f>HYPERLINK("https://klasma.github.io/Logging_1784/kartor/A 9055-2025 karta.png", "A 9055-2025")</f>
        <v/>
      </c>
      <c r="V103">
        <f>HYPERLINK("https://klasma.github.io/Logging_1784/klagomål/A 9055-2025 FSC-klagomål.docx", "A 9055-2025")</f>
        <v/>
      </c>
      <c r="W103">
        <f>HYPERLINK("https://klasma.github.io/Logging_1784/klagomålsmail/A 9055-2025 FSC-klagomål mail.docx", "A 9055-2025")</f>
        <v/>
      </c>
      <c r="X103">
        <f>HYPERLINK("https://klasma.github.io/Logging_1784/tillsyn/A 9055-2025 tillsynsbegäran.docx", "A 9055-2025")</f>
        <v/>
      </c>
      <c r="Y103">
        <f>HYPERLINK("https://klasma.github.io/Logging_1784/tillsynsmail/A 9055-2025 tillsynsbegäran mail.docx", "A 9055-2025")</f>
        <v/>
      </c>
      <c r="Z103">
        <f>HYPERLINK("https://klasma.github.io/Logging_1784/fåglar/A 9055-2025 prioriterade fågelarter.docx", "A 9055-2025")</f>
        <v/>
      </c>
    </row>
    <row r="104" ht="15" customHeight="1">
      <c r="A104" t="inlineStr">
        <is>
          <t>A 9060-2025</t>
        </is>
      </c>
      <c r="B104" s="1" t="n">
        <v>45713</v>
      </c>
      <c r="C104" s="1" t="n">
        <v>45792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HYPERLINK("https://klasma.github.io/Logging_1784/artfynd/A 9060-2025 artfynd.xlsx", "A 9060-2025")</f>
        <v/>
      </c>
      <c r="T104">
        <f>HYPERLINK("https://klasma.github.io/Logging_1784/kartor/A 9060-2025 karta.png", "A 9060-2025")</f>
        <v/>
      </c>
      <c r="V104">
        <f>HYPERLINK("https://klasma.github.io/Logging_1784/klagomål/A 9060-2025 FSC-klagomål.docx", "A 9060-2025")</f>
        <v/>
      </c>
      <c r="W104">
        <f>HYPERLINK("https://klasma.github.io/Logging_1784/klagomålsmail/A 9060-2025 FSC-klagomål mail.docx", "A 9060-2025")</f>
        <v/>
      </c>
      <c r="X104">
        <f>HYPERLINK("https://klasma.github.io/Logging_1784/tillsyn/A 9060-2025 tillsynsbegäran.docx", "A 9060-2025")</f>
        <v/>
      </c>
      <c r="Y104">
        <f>HYPERLINK("https://klasma.github.io/Logging_1784/tillsynsmail/A 9060-2025 tillsynsbegäran mail.docx", "A 9060-2025")</f>
        <v/>
      </c>
      <c r="Z104">
        <f>HYPERLINK("https://klasma.github.io/Logging_1784/fåglar/A 9060-2025 prioriterade fågelarter.docx", "A 9060-2025")</f>
        <v/>
      </c>
    </row>
    <row r="105" ht="15" customHeight="1">
      <c r="A105" t="inlineStr">
        <is>
          <t>A 19301-2025</t>
        </is>
      </c>
      <c r="B105" s="1" t="n">
        <v>45769</v>
      </c>
      <c r="C105" s="1" t="n">
        <v>45792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3.1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HYPERLINK("https://klasma.github.io/Logging_171784/artfynd/A 19301-2025 artfynd.xlsx", "A 19301-2025")</f>
        <v/>
      </c>
      <c r="T105">
        <f>HYPERLINK("https://klasma.github.io/Logging_171784/kartor/A 19301-2025 karta.png", "A 19301-2025")</f>
        <v/>
      </c>
      <c r="V105">
        <f>HYPERLINK("https://klasma.github.io/Logging_171784/klagomål/A 19301-2025 FSC-klagomål.docx", "A 19301-2025")</f>
        <v/>
      </c>
      <c r="W105">
        <f>HYPERLINK("https://klasma.github.io/Logging_171784/klagomålsmail/A 19301-2025 FSC-klagomål mail.docx", "A 19301-2025")</f>
        <v/>
      </c>
      <c r="X105">
        <f>HYPERLINK("https://klasma.github.io/Logging_171784/tillsyn/A 19301-2025 tillsynsbegäran.docx", "A 19301-2025")</f>
        <v/>
      </c>
      <c r="Y105">
        <f>HYPERLINK("https://klasma.github.io/Logging_171784/tillsynsmail/A 19301-2025 tillsynsbegäran mail.docx", "A 19301-2025")</f>
        <v/>
      </c>
      <c r="Z105">
        <f>HYPERLINK("https://klasma.github.io/Logging_171784/fåglar/A 19301-2025 prioriterade fågelarter.docx", "A 19301-2025")</f>
        <v/>
      </c>
    </row>
    <row r="106" ht="15" customHeight="1">
      <c r="A106" t="inlineStr">
        <is>
          <t>A 17779-2019</t>
        </is>
      </c>
      <c r="B106" s="1" t="n">
        <v>43556</v>
      </c>
      <c r="C106" s="1" t="n">
        <v>45792</v>
      </c>
      <c r="D106" t="inlineStr">
        <is>
          <t>VÄRMLANDS LÄN</t>
        </is>
      </c>
      <c r="E106" t="inlineStr">
        <is>
          <t>ARVIKA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18001-2019</t>
        </is>
      </c>
      <c r="B107" s="1" t="n">
        <v>43556</v>
      </c>
      <c r="C107" s="1" t="n">
        <v>45792</v>
      </c>
      <c r="D107" t="inlineStr">
        <is>
          <t>VÄRMLANDS LÄN</t>
        </is>
      </c>
      <c r="E107" t="inlineStr">
        <is>
          <t>ARVIKA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18243-2019</t>
        </is>
      </c>
      <c r="B108" s="1" t="n">
        <v>43557</v>
      </c>
      <c r="C108" s="1" t="n">
        <v>45792</v>
      </c>
      <c r="D108" t="inlineStr">
        <is>
          <t>VÄRMLANDS LÄN</t>
        </is>
      </c>
      <c r="E108" t="inlineStr">
        <is>
          <t>ARVIKA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18249-2019</t>
        </is>
      </c>
      <c r="B109" s="1" t="n">
        <v>43557</v>
      </c>
      <c r="C109" s="1" t="n">
        <v>45792</v>
      </c>
      <c r="D109" t="inlineStr">
        <is>
          <t>VÄRMLANDS LÄN</t>
        </is>
      </c>
      <c r="E109" t="inlineStr">
        <is>
          <t>ARVIKA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18117-2019</t>
        </is>
      </c>
      <c r="B110" s="1" t="n">
        <v>43558</v>
      </c>
      <c r="C110" s="1" t="n">
        <v>45792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18153-2019</t>
        </is>
      </c>
      <c r="B111" s="1" t="n">
        <v>43558</v>
      </c>
      <c r="C111" s="1" t="n">
        <v>45792</v>
      </c>
      <c r="D111" t="inlineStr">
        <is>
          <t>VÄRMLANDS LÄN</t>
        </is>
      </c>
      <c r="E111" t="inlineStr">
        <is>
          <t>ARVIKA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18574-2019</t>
        </is>
      </c>
      <c r="B112" s="1" t="n">
        <v>43560</v>
      </c>
      <c r="C112" s="1" t="n">
        <v>45792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19011-2019</t>
        </is>
      </c>
      <c r="B113" s="1" t="n">
        <v>43563</v>
      </c>
      <c r="C113" s="1" t="n">
        <v>45792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19096-2019</t>
        </is>
      </c>
      <c r="B114" s="1" t="n">
        <v>43564</v>
      </c>
      <c r="C114" s="1" t="n">
        <v>45792</v>
      </c>
      <c r="D114" t="inlineStr">
        <is>
          <t>VÄRMLANDS LÄN</t>
        </is>
      </c>
      <c r="E114" t="inlineStr">
        <is>
          <t>ARVIKA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19164-2019</t>
        </is>
      </c>
      <c r="B115" s="1" t="n">
        <v>43564</v>
      </c>
      <c r="C115" s="1" t="n">
        <v>45792</v>
      </c>
      <c r="D115" t="inlineStr">
        <is>
          <t>VÄRMLANDS LÄN</t>
        </is>
      </c>
      <c r="E115" t="inlineStr">
        <is>
          <t>ARVIKA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20364-2019</t>
        </is>
      </c>
      <c r="B116" s="1" t="n">
        <v>43571</v>
      </c>
      <c r="C116" s="1" t="n">
        <v>45792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20329-2019</t>
        </is>
      </c>
      <c r="B117" s="1" t="n">
        <v>43571</v>
      </c>
      <c r="C117" s="1" t="n">
        <v>45792</v>
      </c>
      <c r="D117" t="inlineStr">
        <is>
          <t>VÄRMLANDS LÄN</t>
        </is>
      </c>
      <c r="E117" t="inlineStr">
        <is>
          <t>ARVIKA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20927-2019</t>
        </is>
      </c>
      <c r="B118" s="1" t="n">
        <v>43578</v>
      </c>
      <c r="C118" s="1" t="n">
        <v>45792</v>
      </c>
      <c r="D118" t="inlineStr">
        <is>
          <t>VÄRMLANDS LÄN</t>
        </is>
      </c>
      <c r="E118" t="inlineStr">
        <is>
          <t>ARVIKA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21299-2019</t>
        </is>
      </c>
      <c r="B119" s="1" t="n">
        <v>43579</v>
      </c>
      <c r="C119" s="1" t="n">
        <v>45792</v>
      </c>
      <c r="D119" t="inlineStr">
        <is>
          <t>VÄRMLANDS LÄN</t>
        </is>
      </c>
      <c r="E119" t="inlineStr">
        <is>
          <t>ARVIKA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21447-2019</t>
        </is>
      </c>
      <c r="B120" s="1" t="n">
        <v>43580</v>
      </c>
      <c r="C120" s="1" t="n">
        <v>45792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21802-2019</t>
        </is>
      </c>
      <c r="B121" s="1" t="n">
        <v>43582</v>
      </c>
      <c r="C121" s="1" t="n">
        <v>45792</v>
      </c>
      <c r="D121" t="inlineStr">
        <is>
          <t>VÄRMLANDS LÄN</t>
        </is>
      </c>
      <c r="E121" t="inlineStr">
        <is>
          <t>ARVIKA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21804-2019</t>
        </is>
      </c>
      <c r="B122" s="1" t="n">
        <v>43582</v>
      </c>
      <c r="C122" s="1" t="n">
        <v>45792</v>
      </c>
      <c r="D122" t="inlineStr">
        <is>
          <t>VÄRMLANDS LÄN</t>
        </is>
      </c>
      <c r="E122" t="inlineStr">
        <is>
          <t>ARVIKA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23122-2019</t>
        </is>
      </c>
      <c r="B123" s="1" t="n">
        <v>43592</v>
      </c>
      <c r="C123" s="1" t="n">
        <v>45792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23646-2019</t>
        </is>
      </c>
      <c r="B124" s="1" t="n">
        <v>43594</v>
      </c>
      <c r="C124" s="1" t="n">
        <v>45792</v>
      </c>
      <c r="D124" t="inlineStr">
        <is>
          <t>VÄRMLANDS LÄN</t>
        </is>
      </c>
      <c r="E124" t="inlineStr">
        <is>
          <t>ARVIKA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24236-2019</t>
        </is>
      </c>
      <c r="B125" s="1" t="n">
        <v>43596</v>
      </c>
      <c r="C125" s="1" t="n">
        <v>45792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24240-2019</t>
        </is>
      </c>
      <c r="B126" s="1" t="n">
        <v>43596</v>
      </c>
      <c r="C126" s="1" t="n">
        <v>45792</v>
      </c>
      <c r="D126" t="inlineStr">
        <is>
          <t>VÄRMLANDS LÄN</t>
        </is>
      </c>
      <c r="E126" t="inlineStr">
        <is>
          <t>ARVIKA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24235-2019</t>
        </is>
      </c>
      <c r="B127" s="1" t="n">
        <v>43596</v>
      </c>
      <c r="C127" s="1" t="n">
        <v>45792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24249-2019</t>
        </is>
      </c>
      <c r="B128" s="1" t="n">
        <v>43596</v>
      </c>
      <c r="C128" s="1" t="n">
        <v>45792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24414-2019</t>
        </is>
      </c>
      <c r="B129" s="1" t="n">
        <v>43600</v>
      </c>
      <c r="C129" s="1" t="n">
        <v>45792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24468-2019</t>
        </is>
      </c>
      <c r="B130" s="1" t="n">
        <v>43600</v>
      </c>
      <c r="C130" s="1" t="n">
        <v>45792</v>
      </c>
      <c r="D130" t="inlineStr">
        <is>
          <t>VÄRMLANDS LÄN</t>
        </is>
      </c>
      <c r="E130" t="inlineStr">
        <is>
          <t>ARVIKA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24687-2019</t>
        </is>
      </c>
      <c r="B131" s="1" t="n">
        <v>43601</v>
      </c>
      <c r="C131" s="1" t="n">
        <v>45792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45792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45792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45792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45792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45792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45792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45792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45792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45792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45792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45792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45792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45792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45792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45792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45792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45792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45792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45792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45792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45792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45792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45792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45792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45792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45792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45792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45792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45792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45792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45792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45792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45792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45792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45792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45792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45792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45792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45792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45792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45792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45792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45792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45792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45792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45792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45792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45792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45792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45792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45792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45792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45792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45792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45792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45792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45792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45792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45792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45792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45792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45792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45792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45792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45792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45792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45792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45792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45792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45792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45792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45792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45792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45792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45792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45792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45792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45792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45792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45792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45792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45792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45792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45792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45792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45792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45792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45792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45792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45792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45792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45792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45792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45792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45792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45792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45792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45792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45792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45792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45792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45792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45792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45792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45792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45792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45792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45792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45792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45792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45792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45792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45792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45792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45792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45792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45792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45792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45792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45792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45792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45792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45792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45792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45792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45792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45792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45792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45792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45792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45792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45792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45792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45792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45792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45792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45792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45792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45792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45792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45792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45792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45792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45792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45792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45792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45792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45792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45792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45792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45792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45792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45792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45792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45792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45792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45792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45792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45792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45792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45792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45792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45792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45792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45792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45792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45792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45792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45792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45792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45792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45792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45792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45792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45792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45792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45792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45792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45792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45792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45792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45792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45792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45792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45792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45792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45792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45792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45792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45792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45792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45792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45792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45792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45792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45792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45792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45792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45792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45792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45792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45792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45792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45792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45792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45792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45792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45792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45792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45792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45792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45792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45792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45792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45792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45792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45792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45792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45792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45792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45792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45792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45792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45792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45792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45792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45792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45792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45792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45792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45792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45792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45792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45792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45792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45792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45792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45792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45792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45792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45792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45792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45792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45792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45792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45792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45792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45792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45792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45792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45792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45792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45792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45792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45792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45792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45792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45792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45792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45792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45792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45792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45792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45792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45792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45792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45792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45792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45792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45792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45792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45792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45792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45792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45792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45792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45792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45792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45792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45792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45792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45792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45792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45792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45792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45792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45792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45792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45792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45792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45792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45792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45792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45792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45792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45792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45792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45792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45792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45792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45792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45792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45792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45792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45792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45792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45792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45792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45792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45792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45792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45792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45792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45792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45792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45792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45792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45792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45792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45792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45792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45792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45792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45792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45792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45792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45792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45792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45792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45792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45792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45792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45792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45792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45792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45792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45792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45792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45792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45792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45792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45792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45792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45792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45792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45792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45792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45792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45792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45792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45792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45792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45792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45792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45792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45792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45792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45792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45792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45792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45792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45792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45792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45792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45792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45792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45792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45792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45792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45792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45792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45792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45792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45792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45792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45792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45792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45792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45792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45792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45792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45792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45792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45792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45792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45792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45792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45792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45792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45792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45792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45792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45792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45792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45792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45792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45792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45792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45792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45792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45792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45792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45792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45792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45792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45792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45792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45792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45792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45792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45792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45792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45792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45792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45792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45792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45792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45792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45792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45792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45792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45792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45792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45792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45792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45792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45792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45792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45792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45792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45792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45792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45792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45792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45792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45792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45792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45792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45792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45792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45792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45792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45792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45792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45792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45792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45792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45792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45792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45792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45792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45792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45792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45792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45792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45792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45792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45792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45792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45792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45792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45792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45792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45792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45792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45792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45792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45792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45792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45792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45792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45792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45792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45792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45792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45792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45792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45792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45792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45792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45792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45792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45792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45792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45792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45792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45792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45792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45792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45792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45792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45792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45792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45792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45792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45792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45792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45792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45792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45792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45792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45792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45792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45792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45792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45792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45792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45792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45792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45792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45792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45792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45792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45792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45792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45792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45792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45792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45792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45792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45792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45792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45792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45792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45792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45792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45792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45792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45792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45792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45792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45792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45792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45792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45792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45792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45792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45792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45792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45792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45792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45792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45792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45792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45792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45792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45792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45792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45792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45792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45792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45792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45792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45792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45792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45792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45792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45792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45792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45792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45792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45792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45792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45792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45792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45792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45792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45792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45792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45792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45792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45792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45792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45792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45792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45792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45792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45792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45792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45792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45792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45792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45792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45792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45792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45792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45792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45792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45792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45792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45792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45792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45792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45792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45792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45792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45792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45792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45792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45792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45792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45792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45792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45792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45792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45792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45792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45792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45792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45792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45792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45792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45792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45792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45792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45792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45792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45792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45792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45792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45792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45792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45792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45792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45792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45792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45792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45792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45792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45792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45792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45792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45792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45792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45792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45792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45792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45792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45792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45792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45792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45792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45792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45792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45792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45792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45792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45792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45792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45792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45792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45792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45792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45792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45792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45792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45792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45792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45792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45792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45792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45792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45792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45792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45792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45792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45792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45792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45792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45792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45792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45792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45792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45792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45792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45792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45792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45792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45792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45792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45792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45792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45792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45792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45792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45792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45792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45792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45792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45792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45792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45792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45792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45792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45792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45792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45792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45792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45792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45792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45792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45792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45792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45792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45792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45792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45792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45792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45792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45792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45792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45792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45792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45792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45792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45792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45792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45792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45792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45792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45792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45792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45792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45792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45792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45792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45792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45792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45792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45792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45792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45792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45792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45792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45792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45792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45792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45792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45792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45792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45792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45792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45792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45792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45792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45792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45792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45792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45792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45792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45792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45792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45792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45792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45792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45792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45792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45792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45792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45792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45792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45792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45792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45792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45792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45792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45792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45792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45792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45792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45792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45792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45792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45792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45792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45792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45792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45792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45792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45792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45792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45792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45792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45792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45792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45792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45792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45792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45792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45792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45792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45792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45792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45792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45792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45792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45792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45792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45792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45792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45792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45792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45792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45792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45792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45792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45792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45792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45792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45792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45792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45792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45792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45792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45792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45792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45792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45792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45792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45792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45792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45792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45792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45792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45792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45792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45792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45792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45792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45792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45792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45792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45792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45792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45792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45792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45792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45792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45792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45792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45792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45792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45792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45792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45792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45792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45792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45792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45792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45792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45792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45792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45792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45792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45792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45792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45792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45792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45792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45792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45792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45792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45792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45792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45792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45792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45792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45792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45792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45792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45792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45792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45792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45792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45792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45792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45792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45792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45792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45792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45792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45792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45792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45792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45792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45792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45792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45792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45792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45792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45792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45792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45792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45792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45792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45792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45792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45792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45792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45792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45792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45792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45792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45792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45792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45792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45792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45792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45792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45792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45792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45792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45792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45792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45792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45792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45792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45792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45792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45792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45792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45792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45792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45792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45792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45792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45792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45792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45792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45792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45792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45792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45792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45792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45792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45792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45792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45792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45792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45792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45792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45792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45792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45792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45792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45792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45792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45792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45792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45792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45792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45792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45792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45792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45792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45792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45792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45792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45792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45792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45792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45792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45792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45792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45792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45792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45792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45792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45792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45792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45792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45792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45792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45792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45792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45792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45792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45792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45792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45792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45792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45792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45792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45792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45792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45792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45792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45792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45792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45792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45792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45792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45792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45792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45792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45792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45792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45792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45792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45792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45792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45792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45792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45792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45792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45792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45792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45792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45792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45792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45792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45792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45792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45792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45792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45792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45792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45792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45792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45792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45792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45792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45792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45792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45792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45792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45792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45792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45792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45792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45792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45792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45792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45792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45792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45792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45792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45792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45792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45792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45792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45792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45792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45792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45792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45792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45792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45792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45792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45792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45792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45792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45792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45792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45792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45792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45792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45792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45792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45792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45792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45792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45792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45792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45792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45792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45792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45792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45792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45792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45792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45792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45792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45792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45792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45792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45792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45792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45792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45792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45792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45792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45792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45792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45792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45792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45792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45792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45792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45792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45792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45792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45792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45792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45792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45792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45792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45792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45792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45792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45792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45792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45792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45792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45792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45792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45792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45792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45792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45792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45792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45792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45792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45792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45792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45792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45792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45792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45792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45792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45792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45792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45792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45792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45792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45792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45792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45792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45792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45792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45792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45792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45792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45792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45792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45792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45792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45792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45792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45792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45792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45792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45792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45792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45792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45792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45792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45792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45792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45792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45792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45792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45792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45792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45792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45792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45792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45792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45792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45792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45792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45792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45792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45792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45792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45792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45792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45792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45792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45792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45792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45792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45792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45792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45792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45792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45792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45792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45792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45792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45792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45792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45792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45792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45792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45792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45792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45792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45792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45792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45792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45792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45792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45792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45792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45792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45792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45792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45792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45792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45792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45792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45792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45792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45792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45792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45792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45792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45792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45792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45792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45792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45792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45792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45792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45792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45792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45792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45792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45792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45792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45792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45792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45792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45792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45792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45792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45792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45792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45792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45792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45792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45792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45792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45792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45792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45792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45792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45792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45792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45792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45792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45792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45792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45792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45792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45792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45792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45792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45792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45792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45792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45792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45792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45792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45792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45792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45792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45792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45792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45792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45792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45792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45792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45792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45792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45792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45792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45792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45792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45792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45792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45792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45792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45792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45792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45792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45792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45792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45792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45792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45792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45792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45792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45792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45792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45792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45792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45792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45792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45792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45792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45792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45792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45792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45792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45792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45792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45792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45792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45792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45792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45792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45792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45792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45792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45792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45792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45792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45792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45792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45792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45792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45792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45792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45792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45792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45792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45792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45792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45792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45792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45792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45792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45792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45792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45792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45792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45792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45792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45792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45792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45792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45792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45792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45792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45792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45792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45792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45792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45792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45792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45792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45792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45792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45792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45792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45792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45792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45792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45792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45792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45792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45792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45792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45792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45792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45792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45792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45792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45792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45792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45792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45792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45792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45792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45792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45792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45792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45792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45792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45792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45792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45792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45792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45792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45792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45792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45792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45792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45792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45792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45792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45792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45792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45792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45792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45792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45792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45792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45792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45792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45792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45792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45792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45792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45792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45792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45792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45792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45792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45792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45792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45792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45792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45792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45792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45792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45792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45792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45792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45792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45792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45792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45792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45792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45792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45792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45792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45792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45792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45792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45792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45792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45792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45792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45792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45792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45792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45792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45792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45792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45792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45792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45792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45792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45792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45792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45792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45792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45792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45792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45792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45792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45792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45792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45792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45792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45792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45792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45792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45792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45792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45792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45792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45792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45792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45792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45792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45792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45792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45792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45792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45792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45792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45792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45792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45792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45792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45792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45792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45792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45792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45792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45792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45792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45792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45792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45792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45792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45792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45792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45792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45792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45792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45792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45792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45792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45792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45792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45792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45792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45792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45792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45792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45792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45792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45792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45792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45792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45792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45792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45792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45792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45792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45792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45792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45792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45792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45792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45792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45792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45792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45792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45792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45792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45792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45792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45792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45792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45792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45792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45792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45792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45792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45792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45792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45792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45792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45792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45792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45792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45792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45792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45792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45792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45792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45792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45792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45792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45792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45792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45792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45792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45792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45792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45792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45792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45792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45792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45792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45792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45792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45792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45792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45792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45792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45792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45792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45792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45792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45792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45792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45792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45792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45792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45792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45792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45792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45792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45792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45792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45792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45792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45792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45792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45792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45792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45792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45792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45792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45792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45792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45792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45792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45792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45792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45792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45792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45792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45792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45792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45792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45792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45792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45792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45792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45792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45792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45792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45792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45792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45792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45792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45792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45792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45792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45792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45792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45792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45792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45792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45792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45792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45792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45792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45792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45792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45792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45792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45792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45792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45792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45792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45792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45792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45792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45792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45792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45792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45792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45792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45792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45792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45792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45792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45792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45792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45792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45792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45792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45792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45792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45792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45792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45792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45792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45792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45792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45792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45792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45792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45792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45792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45792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45792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45792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45792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45792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45792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45792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45792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45792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45792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45792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45792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45792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45792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45792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45792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45792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45792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45792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45792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45792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45792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45792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45792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45792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45792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45792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45792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45792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45792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45792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45792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45792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45792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45792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45792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45792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45792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45792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45792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45792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45792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45792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45792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45792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45792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45792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45792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45792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45792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45792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45792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45792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45792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45792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45792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45792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45792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45792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45792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45792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45792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45792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45792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45792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45792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45792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45792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45792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45792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45792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45792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45792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45792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45792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45792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45792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45792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45792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45792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45792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45792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45792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45792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45792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45792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45792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45792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45792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45792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45792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45792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45792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45792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45792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45792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45792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45792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45792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45792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45792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45792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45792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45792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45792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45792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45792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45792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45792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45792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45792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45792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45792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45792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45792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45792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45792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45792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45792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45792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45792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45792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45792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45792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45792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45792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45792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45792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45792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45792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45792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45792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45792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45792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45792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45792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45792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45792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45792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45792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45792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45792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45792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45792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45792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45792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45792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45792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45792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45792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45792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45792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45792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45792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45792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45792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45792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45792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45792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45792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45792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45792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45792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45792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45792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45792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45792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45792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45792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45792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45792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45792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45792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45792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45792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45792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45792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45792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45792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45792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45792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45792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45792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45792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45792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45792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45792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45792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45792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45792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45792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45792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45792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45792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45792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45792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45792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45792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45792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45792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45792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45792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45792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45792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45792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45792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45792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45792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45792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45792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45792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45792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45792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45792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45792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45792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45792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45792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45792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45792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45792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45792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45792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45792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45792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45792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45792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45792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45792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45792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45792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45792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45792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45792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45792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45792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45792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45792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45792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45792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45792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45792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45792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45792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45792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45792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45792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45792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45792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45792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45792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45792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45792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45792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45792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45792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45792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45792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19177-2025</t>
        </is>
      </c>
      <c r="B2393" s="1" t="n">
        <v>45769</v>
      </c>
      <c r="C2393" s="1" t="n">
        <v>45792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19216-2025</t>
        </is>
      </c>
      <c r="B2394" s="1" t="n">
        <v>45769</v>
      </c>
      <c r="C2394" s="1" t="n">
        <v>45792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19158-2025</t>
        </is>
      </c>
      <c r="B2395" s="1" t="n">
        <v>45769</v>
      </c>
      <c r="C2395" s="1" t="n">
        <v>45792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19390-2025</t>
        </is>
      </c>
      <c r="B2396" s="1" t="n">
        <v>45769</v>
      </c>
      <c r="C2396" s="1" t="n">
        <v>45792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45792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19586-2025</t>
        </is>
      </c>
      <c r="B2398" s="1" t="n">
        <v>45770</v>
      </c>
      <c r="C2398" s="1" t="n">
        <v>45792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45792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45792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20071-2025</t>
        </is>
      </c>
      <c r="B2401" s="1" t="n">
        <v>45772</v>
      </c>
      <c r="C2401" s="1" t="n">
        <v>45792</v>
      </c>
      <c r="D2401" t="inlineStr">
        <is>
          <t>VÄRMLANDS LÄN</t>
        </is>
      </c>
      <c r="E2401" t="inlineStr">
        <is>
          <t>ARVIKA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45792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45792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20171-2025</t>
        </is>
      </c>
      <c r="B2404" s="1" t="n">
        <v>45772</v>
      </c>
      <c r="C2404" s="1" t="n">
        <v>45792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20188-2025</t>
        </is>
      </c>
      <c r="B2405" s="1" t="n">
        <v>45772</v>
      </c>
      <c r="C2405" s="1" t="n">
        <v>45792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20020-2025</t>
        </is>
      </c>
      <c r="B2406" s="1" t="n">
        <v>45772</v>
      </c>
      <c r="C2406" s="1" t="n">
        <v>45792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20066-2025</t>
        </is>
      </c>
      <c r="B2407" s="1" t="n">
        <v>45772</v>
      </c>
      <c r="C2407" s="1" t="n">
        <v>45792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20096-2025</t>
        </is>
      </c>
      <c r="B2408" s="1" t="n">
        <v>45772</v>
      </c>
      <c r="C2408" s="1" t="n">
        <v>45792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20434-2025</t>
        </is>
      </c>
      <c r="B2409" s="1" t="n">
        <v>45775</v>
      </c>
      <c r="C2409" s="1" t="n">
        <v>45792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20582-2025</t>
        </is>
      </c>
      <c r="B2410" s="1" t="n">
        <v>45775</v>
      </c>
      <c r="C2410" s="1" t="n">
        <v>45792</v>
      </c>
      <c r="D2410" t="inlineStr">
        <is>
          <t>VÄRMLANDS LÄN</t>
        </is>
      </c>
      <c r="E2410" t="inlineStr">
        <is>
          <t>ARVIKA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20349-2025</t>
        </is>
      </c>
      <c r="B2411" s="1" t="n">
        <v>45775</v>
      </c>
      <c r="C2411" s="1" t="n">
        <v>45792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45792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45792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45792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45792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45792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20319-2025</t>
        </is>
      </c>
      <c r="B2417" s="1" t="n">
        <v>45775</v>
      </c>
      <c r="C2417" s="1" t="n">
        <v>45792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20634-2025</t>
        </is>
      </c>
      <c r="B2418" s="1" t="n">
        <v>45776</v>
      </c>
      <c r="C2418" s="1" t="n">
        <v>45792</v>
      </c>
      <c r="D2418" t="inlineStr">
        <is>
          <t>VÄRMLANDS LÄN</t>
        </is>
      </c>
      <c r="E2418" t="inlineStr">
        <is>
          <t>ARVIKA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45792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21580-2025</t>
        </is>
      </c>
      <c r="B2420" s="1" t="n">
        <v>45783</v>
      </c>
      <c r="C2420" s="1" t="n">
        <v>45792</v>
      </c>
      <c r="D2420" t="inlineStr">
        <is>
          <t>VÄRMLANDS LÄN</t>
        </is>
      </c>
      <c r="E2420" t="inlineStr">
        <is>
          <t>ARVIKA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21329-2025</t>
        </is>
      </c>
      <c r="B2421" s="1" t="n">
        <v>45782</v>
      </c>
      <c r="C2421" s="1" t="n">
        <v>45792</v>
      </c>
      <c r="D2421" t="inlineStr">
        <is>
          <t>VÄRMLANDS LÄN</t>
        </is>
      </c>
      <c r="E2421" t="inlineStr">
        <is>
          <t>ARVIKA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45792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45792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45792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45792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45792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22162-2025</t>
        </is>
      </c>
      <c r="B2427" s="1" t="n">
        <v>45785</v>
      </c>
      <c r="C2427" s="1" t="n">
        <v>45792</v>
      </c>
      <c r="D2427" t="inlineStr">
        <is>
          <t>VÄRMLANDS LÄN</t>
        </is>
      </c>
      <c r="E2427" t="inlineStr">
        <is>
          <t>ARVIKA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45792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22485-2025</t>
        </is>
      </c>
      <c r="B2429" s="1" t="n">
        <v>45786</v>
      </c>
      <c r="C2429" s="1" t="n">
        <v>45792</v>
      </c>
      <c r="D2429" t="inlineStr">
        <is>
          <t>VÄRMLANDS LÄN</t>
        </is>
      </c>
      <c r="E2429" t="inlineStr">
        <is>
          <t>ARVIKA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45792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45792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22835-2025</t>
        </is>
      </c>
      <c r="B2432" s="1" t="n">
        <v>45789</v>
      </c>
      <c r="C2432" s="1" t="n">
        <v>45792</v>
      </c>
      <c r="D2432" t="inlineStr">
        <is>
          <t>VÄRMLANDS LÄN</t>
        </is>
      </c>
      <c r="E2432" t="inlineStr">
        <is>
          <t>ARVIKA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22834-2025</t>
        </is>
      </c>
      <c r="B2433" s="1" t="n">
        <v>45789</v>
      </c>
      <c r="C2433" s="1" t="n">
        <v>45792</v>
      </c>
      <c r="D2433" t="inlineStr">
        <is>
          <t>VÄRMLANDS LÄN</t>
        </is>
      </c>
      <c r="E2433" t="inlineStr">
        <is>
          <t>ARVIKA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22836-2025</t>
        </is>
      </c>
      <c r="B2434" s="1" t="n">
        <v>45789</v>
      </c>
      <c r="C2434" s="1" t="n">
        <v>45792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22589-2025</t>
        </is>
      </c>
      <c r="B2435" s="1" t="n">
        <v>45789</v>
      </c>
      <c r="C2435" s="1" t="n">
        <v>45792</v>
      </c>
      <c r="D2435" t="inlineStr">
        <is>
          <t>VÄRMLANDS LÄN</t>
        </is>
      </c>
      <c r="E2435" t="inlineStr">
        <is>
          <t>ARVIKA</t>
        </is>
      </c>
      <c r="F2435" t="inlineStr">
        <is>
          <t>Bergvik skog väst AB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22992-2025</t>
        </is>
      </c>
      <c r="B2436" s="1" t="n">
        <v>45790</v>
      </c>
      <c r="C2436" s="1" t="n">
        <v>45792</v>
      </c>
      <c r="D2436" t="inlineStr">
        <is>
          <t>VÄRMLANDS LÄN</t>
        </is>
      </c>
      <c r="E2436" t="inlineStr">
        <is>
          <t>ARVIKA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22849-2025</t>
        </is>
      </c>
      <c r="B2437" s="1" t="n">
        <v>45790</v>
      </c>
      <c r="C2437" s="1" t="n">
        <v>45792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>
      <c r="A2438" t="inlineStr">
        <is>
          <t>A 23084-2025</t>
        </is>
      </c>
      <c r="B2438" s="1" t="n">
        <v>45791</v>
      </c>
      <c r="C2438" s="1" t="n">
        <v>45792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2025-05-15T16:51:27Z</dcterms:created>
  <dcterms:modified xmlns:dcterms="http://purl.org/dc/terms/" xmlns:xsi="http://www.w3.org/2001/XMLSchema-instance" xsi:type="dcterms:W3CDTF">2025-05-15T16:51:29Z</dcterms:modified>
</cp:coreProperties>
</file>