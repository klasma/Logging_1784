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45844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45844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45844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45844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45844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45844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45844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45844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45844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45844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45844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45844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45844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45844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45844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45844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45844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45844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45844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45844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45844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45844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45844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45844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45844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45844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45844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45844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45844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45844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45844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45844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45844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61663-2021</t>
        </is>
      </c>
      <c r="B35" s="1" t="n">
        <v>44501</v>
      </c>
      <c r="C35" s="1" t="n">
        <v>45844</v>
      </c>
      <c r="D35" t="inlineStr">
        <is>
          <t>VÄRMLANDS LÄN</t>
        </is>
      </c>
      <c r="E35" t="inlineStr">
        <is>
          <t>ARVIKA</t>
        </is>
      </c>
      <c r="G35" t="n">
        <v>4.5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Reliktbock
Tallticka</t>
        </is>
      </c>
      <c r="S35">
        <f>HYPERLINK("https://klasma.github.io/Logging_1784/artfynd/A 61663-2021 artfynd.xlsx", "A 61663-2021")</f>
        <v/>
      </c>
      <c r="T35">
        <f>HYPERLINK("https://klasma.github.io/Logging_1784/kartor/A 61663-2021 karta.png", "A 61663-2021")</f>
        <v/>
      </c>
      <c r="V35">
        <f>HYPERLINK("https://klasma.github.io/Logging_1784/klagomål/A 61663-2021 FSC-klagomål.docx", "A 61663-2021")</f>
        <v/>
      </c>
      <c r="W35">
        <f>HYPERLINK("https://klasma.github.io/Logging_1784/klagomålsmail/A 61663-2021 FSC-klagomål mail.docx", "A 61663-2021")</f>
        <v/>
      </c>
      <c r="X35">
        <f>HYPERLINK("https://klasma.github.io/Logging_1784/tillsyn/A 61663-2021 tillsynsbegäran.docx", "A 61663-2021")</f>
        <v/>
      </c>
      <c r="Y35">
        <f>HYPERLINK("https://klasma.github.io/Logging_1784/tillsynsmail/A 61663-2021 tillsynsbegäran mail.docx", "A 61663-2021")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45844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69928-2021</t>
        </is>
      </c>
      <c r="B37" s="1" t="n">
        <v>44533</v>
      </c>
      <c r="C37" s="1" t="n">
        <v>45844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Rödgul trumpetsvamp</t>
        </is>
      </c>
      <c r="S37">
        <f>HYPERLINK("https://klasma.github.io/Logging_1784/artfynd/A 69928-2021 artfynd.xlsx", "A 69928-2021")</f>
        <v/>
      </c>
      <c r="T37">
        <f>HYPERLINK("https://klasma.github.io/Logging_1784/kartor/A 69928-2021 karta.png", "A 69928-2021")</f>
        <v/>
      </c>
      <c r="V37">
        <f>HYPERLINK("https://klasma.github.io/Logging_1784/klagomål/A 69928-2021 FSC-klagomål.docx", "A 69928-2021")</f>
        <v/>
      </c>
      <c r="W37">
        <f>HYPERLINK("https://klasma.github.io/Logging_1784/klagomålsmail/A 69928-2021 FSC-klagomål mail.docx", "A 69928-2021")</f>
        <v/>
      </c>
      <c r="X37">
        <f>HYPERLINK("https://klasma.github.io/Logging_1784/tillsyn/A 69928-2021 tillsynsbegäran.docx", "A 69928-2021")</f>
        <v/>
      </c>
      <c r="Y37">
        <f>HYPERLINK("https://klasma.github.io/Logging_1784/tillsynsmail/A 69928-2021 tillsynsbegäran mail.docx", "A 69928-2021")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45844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51769-2022</t>
        </is>
      </c>
      <c r="B39" s="1" t="n">
        <v>44872</v>
      </c>
      <c r="C39" s="1" t="n">
        <v>45844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HYPERLINK("https://klasma.github.io/Logging_1784/artfynd/A 51769-2022 artfynd.xlsx", "A 51769-2022")</f>
        <v/>
      </c>
      <c r="T39">
        <f>HYPERLINK("https://klasma.github.io/Logging_1784/kartor/A 51769-2022 karta.png", "A 51769-2022")</f>
        <v/>
      </c>
      <c r="U39">
        <f>HYPERLINK("https://klasma.github.io/Logging_1784/knärot/A 51769-2022 karta knärot.png", "A 51769-2022")</f>
        <v/>
      </c>
      <c r="V39">
        <f>HYPERLINK("https://klasma.github.io/Logging_1784/klagomål/A 51769-2022 FSC-klagomål.docx", "A 51769-2022")</f>
        <v/>
      </c>
      <c r="W39">
        <f>HYPERLINK("https://klasma.github.io/Logging_1784/klagomålsmail/A 51769-2022 FSC-klagomål mail.docx", "A 51769-2022")</f>
        <v/>
      </c>
      <c r="X39">
        <f>HYPERLINK("https://klasma.github.io/Logging_1784/tillsyn/A 51769-2022 tillsynsbegäran.docx", "A 51769-2022")</f>
        <v/>
      </c>
      <c r="Y39">
        <f>HYPERLINK("https://klasma.github.io/Logging_1784/tillsynsmail/A 51769-2022 tillsynsbegäran mail.docx", "A 51769-2022")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45844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13630-2023</t>
        </is>
      </c>
      <c r="B41" s="1" t="n">
        <v>45006</v>
      </c>
      <c r="C41" s="1" t="n">
        <v>45844</v>
      </c>
      <c r="D41" t="inlineStr">
        <is>
          <t>VÄRMLANDS LÄN</t>
        </is>
      </c>
      <c r="E41" t="inlineStr">
        <is>
          <t>ARVIKA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Skogsalm
Tibast</t>
        </is>
      </c>
      <c r="S41">
        <f>HYPERLINK("https://klasma.github.io/Logging_1784/artfynd/A 13630-2023 artfynd.xlsx", "A 13630-2023")</f>
        <v/>
      </c>
      <c r="T41">
        <f>HYPERLINK("https://klasma.github.io/Logging_1784/kartor/A 13630-2023 karta.png", "A 13630-2023")</f>
        <v/>
      </c>
      <c r="V41">
        <f>HYPERLINK("https://klasma.github.io/Logging_1784/klagomål/A 13630-2023 FSC-klagomål.docx", "A 13630-2023")</f>
        <v/>
      </c>
      <c r="W41">
        <f>HYPERLINK("https://klasma.github.io/Logging_1784/klagomålsmail/A 13630-2023 FSC-klagomål mail.docx", "A 13630-2023")</f>
        <v/>
      </c>
      <c r="X41">
        <f>HYPERLINK("https://klasma.github.io/Logging_1784/tillsyn/A 13630-2023 tillsynsbegäran.docx", "A 13630-2023")</f>
        <v/>
      </c>
      <c r="Y41">
        <f>HYPERLINK("https://klasma.github.io/Logging_1784/tillsynsmail/A 13630-2023 tillsynsbegäran mail.docx", "A 13630-2023")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45844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45401-2023</t>
        </is>
      </c>
      <c r="B43" s="1" t="n">
        <v>45194</v>
      </c>
      <c r="C43" s="1" t="n">
        <v>45844</v>
      </c>
      <c r="D43" t="inlineStr">
        <is>
          <t>VÄRMLANDS LÄN</t>
        </is>
      </c>
      <c r="E43" t="inlineStr">
        <is>
          <t>ARVIKA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Skogsklocka</t>
        </is>
      </c>
      <c r="S43">
        <f>HYPERLINK("https://klasma.github.io/Logging_1784/artfynd/A 45401-2023 artfynd.xlsx", "A 45401-2023")</f>
        <v/>
      </c>
      <c r="T43">
        <f>HYPERLINK("https://klasma.github.io/Logging_1784/kartor/A 45401-2023 karta.png", "A 45401-2023")</f>
        <v/>
      </c>
      <c r="U43">
        <f>HYPERLINK("https://klasma.github.io/Logging_1784/knärot/A 45401-2023 karta knärot.png", "A 45401-2023")</f>
        <v/>
      </c>
      <c r="V43">
        <f>HYPERLINK("https://klasma.github.io/Logging_1784/klagomål/A 45401-2023 FSC-klagomål.docx", "A 45401-2023")</f>
        <v/>
      </c>
      <c r="W43">
        <f>HYPERLINK("https://klasma.github.io/Logging_1784/klagomålsmail/A 45401-2023 FSC-klagomål mail.docx", "A 45401-2023")</f>
        <v/>
      </c>
      <c r="X43">
        <f>HYPERLINK("https://klasma.github.io/Logging_1784/tillsyn/A 45401-2023 tillsynsbegäran.docx", "A 45401-2023")</f>
        <v/>
      </c>
      <c r="Y43">
        <f>HYPERLINK("https://klasma.github.io/Logging_1784/tillsynsmail/A 45401-2023 tillsynsbegäran mail.docx", "A 45401-2023")</f>
        <v/>
      </c>
    </row>
    <row r="44" ht="15" customHeight="1">
      <c r="A44" t="inlineStr">
        <is>
          <t>A 14025-2024</t>
        </is>
      </c>
      <c r="B44" s="1" t="n">
        <v>45392</v>
      </c>
      <c r="C44" s="1" t="n">
        <v>45844</v>
      </c>
      <c r="D44" t="inlineStr">
        <is>
          <t>VÄRMLANDS LÄN</t>
        </is>
      </c>
      <c r="E44" t="inlineStr">
        <is>
          <t>ARVIKA</t>
        </is>
      </c>
      <c r="G44" t="n">
        <v>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Fjällig taggsvamp s.str.</t>
        </is>
      </c>
      <c r="S44">
        <f>HYPERLINK("https://klasma.github.io/Logging_1784/artfynd/A 14025-2024 artfynd.xlsx", "A 14025-2024")</f>
        <v/>
      </c>
      <c r="T44">
        <f>HYPERLINK("https://klasma.github.io/Logging_1784/kartor/A 14025-2024 karta.png", "A 14025-2024")</f>
        <v/>
      </c>
      <c r="U44">
        <f>HYPERLINK("https://klasma.github.io/Logging_1784/knärot/A 14025-2024 karta knärot.png", "A 14025-2024")</f>
        <v/>
      </c>
      <c r="V44">
        <f>HYPERLINK("https://klasma.github.io/Logging_1784/klagomål/A 14025-2024 FSC-klagomål.docx", "A 14025-2024")</f>
        <v/>
      </c>
      <c r="W44">
        <f>HYPERLINK("https://klasma.github.io/Logging_1784/klagomålsmail/A 14025-2024 FSC-klagomål mail.docx", "A 14025-2024")</f>
        <v/>
      </c>
      <c r="X44">
        <f>HYPERLINK("https://klasma.github.io/Logging_1784/tillsyn/A 14025-2024 tillsynsbegäran.docx", "A 14025-2024")</f>
        <v/>
      </c>
      <c r="Y44">
        <f>HYPERLINK("https://klasma.github.io/Logging_1784/tillsynsmail/A 14025-2024 tillsynsbegäran mail.docx", "A 14025-2024")</f>
        <v/>
      </c>
    </row>
    <row r="45" ht="15" customHeight="1">
      <c r="A45" t="inlineStr">
        <is>
          <t>A 21248-2024</t>
        </is>
      </c>
      <c r="B45" s="1" t="n">
        <v>45440</v>
      </c>
      <c r="C45" s="1" t="n">
        <v>45844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Skinnlav</t>
        </is>
      </c>
      <c r="S45">
        <f>HYPERLINK("https://klasma.github.io/Logging_1784/artfynd/A 21248-2024 artfynd.xlsx", "A 21248-2024")</f>
        <v/>
      </c>
      <c r="T45">
        <f>HYPERLINK("https://klasma.github.io/Logging_1784/kartor/A 21248-2024 karta.png", "A 21248-2024")</f>
        <v/>
      </c>
      <c r="U45">
        <f>HYPERLINK("https://klasma.github.io/Logging_1784/knärot/A 21248-2024 karta knärot.png", "A 21248-2024")</f>
        <v/>
      </c>
      <c r="V45">
        <f>HYPERLINK("https://klasma.github.io/Logging_1784/klagomål/A 21248-2024 FSC-klagomål.docx", "A 21248-2024")</f>
        <v/>
      </c>
      <c r="W45">
        <f>HYPERLINK("https://klasma.github.io/Logging_1784/klagomålsmail/A 21248-2024 FSC-klagomål mail.docx", "A 21248-2024")</f>
        <v/>
      </c>
      <c r="X45">
        <f>HYPERLINK("https://klasma.github.io/Logging_1784/tillsyn/A 21248-2024 tillsynsbegäran.docx", "A 21248-2024")</f>
        <v/>
      </c>
      <c r="Y45">
        <f>HYPERLINK("https://klasma.github.io/Logging_1784/tillsynsmail/A 21248-2024 tillsynsbegäran mail.docx", "A 21248-2024")</f>
        <v/>
      </c>
      <c r="Z45">
        <f>HYPERLINK("https://klasma.github.io/Logging_1784/fåglar/A 21248-2024 prioriterade fågelarter.docx", "A 21248-2024")</f>
        <v/>
      </c>
    </row>
    <row r="46" ht="15" customHeight="1">
      <c r="A46" t="inlineStr">
        <is>
          <t>A 21223-2024</t>
        </is>
      </c>
      <c r="B46" s="1" t="n">
        <v>45440</v>
      </c>
      <c r="C46" s="1" t="n">
        <v>45844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Vedtrappmossa</t>
        </is>
      </c>
      <c r="S46">
        <f>HYPERLINK("https://klasma.github.io/Logging_1784/artfynd/A 21223-2024 artfynd.xlsx", "A 21223-2024")</f>
        <v/>
      </c>
      <c r="T46">
        <f>HYPERLINK("https://klasma.github.io/Logging_1784/kartor/A 21223-2024 karta.png", "A 21223-2024")</f>
        <v/>
      </c>
      <c r="U46">
        <f>HYPERLINK("https://klasma.github.io/Logging_1784/knärot/A 21223-2024 karta knärot.png", "A 21223-2024")</f>
        <v/>
      </c>
      <c r="V46">
        <f>HYPERLINK("https://klasma.github.io/Logging_1784/klagomål/A 21223-2024 FSC-klagomål.docx", "A 21223-2024")</f>
        <v/>
      </c>
      <c r="W46">
        <f>HYPERLINK("https://klasma.github.io/Logging_1784/klagomålsmail/A 21223-2024 FSC-klagomål mail.docx", "A 21223-2024")</f>
        <v/>
      </c>
      <c r="X46">
        <f>HYPERLINK("https://klasma.github.io/Logging_1784/tillsyn/A 21223-2024 tillsynsbegäran.docx", "A 21223-2024")</f>
        <v/>
      </c>
      <c r="Y46">
        <f>HYPERLINK("https://klasma.github.io/Logging_1784/tillsynsmail/A 21223-2024 tillsynsbegäran mail.docx", "A 21223-2024")</f>
        <v/>
      </c>
    </row>
    <row r="47" ht="15" customHeight="1">
      <c r="A47" t="inlineStr">
        <is>
          <t>A 23083-2024</t>
        </is>
      </c>
      <c r="B47" s="1" t="n">
        <v>45450</v>
      </c>
      <c r="C47" s="1" t="n">
        <v>45844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Gultoppig fingersvamp</t>
        </is>
      </c>
      <c r="S47">
        <f>HYPERLINK("https://klasma.github.io/Logging_1784/artfynd/A 23083-2024 artfynd.xlsx", "A 23083-2024")</f>
        <v/>
      </c>
      <c r="T47">
        <f>HYPERLINK("https://klasma.github.io/Logging_1784/kartor/A 23083-2024 karta.png", "A 23083-2024")</f>
        <v/>
      </c>
      <c r="U47">
        <f>HYPERLINK("https://klasma.github.io/Logging_1784/knärot/A 23083-2024 karta knärot.png", "A 23083-2024")</f>
        <v/>
      </c>
      <c r="V47">
        <f>HYPERLINK("https://klasma.github.io/Logging_1784/klagomål/A 23083-2024 FSC-klagomål.docx", "A 23083-2024")</f>
        <v/>
      </c>
      <c r="W47">
        <f>HYPERLINK("https://klasma.github.io/Logging_1784/klagomålsmail/A 23083-2024 FSC-klagomål mail.docx", "A 23083-2024")</f>
        <v/>
      </c>
      <c r="X47">
        <f>HYPERLINK("https://klasma.github.io/Logging_1784/tillsyn/A 23083-2024 tillsynsbegäran.docx", "A 23083-2024")</f>
        <v/>
      </c>
      <c r="Y47">
        <f>HYPERLINK("https://klasma.github.io/Logging_1784/tillsynsmail/A 23083-2024 tillsynsbegäran mail.docx", "A 23083-2024")</f>
        <v/>
      </c>
    </row>
    <row r="48" ht="15" customHeight="1">
      <c r="A48" t="inlineStr">
        <is>
          <t>A 8038-2025</t>
        </is>
      </c>
      <c r="B48" s="1" t="n">
        <v>45707</v>
      </c>
      <c r="C48" s="1" t="n">
        <v>45844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12.9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8038-2025 artfynd.xlsx", "A 8038-2025")</f>
        <v/>
      </c>
      <c r="T48">
        <f>HYPERLINK("https://klasma.github.io/Logging_1784/kartor/A 8038-2025 karta.png", "A 8038-2025")</f>
        <v/>
      </c>
      <c r="V48">
        <f>HYPERLINK("https://klasma.github.io/Logging_1784/klagomål/A 8038-2025 FSC-klagomål.docx", "A 8038-2025")</f>
        <v/>
      </c>
      <c r="W48">
        <f>HYPERLINK("https://klasma.github.io/Logging_1784/klagomålsmail/A 8038-2025 FSC-klagomål mail.docx", "A 8038-2025")</f>
        <v/>
      </c>
      <c r="X48">
        <f>HYPERLINK("https://klasma.github.io/Logging_1784/tillsyn/A 8038-2025 tillsynsbegäran.docx", "A 8038-2025")</f>
        <v/>
      </c>
      <c r="Y48">
        <f>HYPERLINK("https://klasma.github.io/Logging_1784/tillsynsmail/A 8038-2025 tillsynsbegäran mail.docx", "A 8038-2025")</f>
        <v/>
      </c>
      <c r="Z48">
        <f>HYPERLINK("https://klasma.github.io/Logging_1784/fåglar/A 8038-2025 prioriterade fågelarter.docx", "A 8038-2025")</f>
        <v/>
      </c>
    </row>
    <row r="49" ht="15" customHeight="1">
      <c r="A49" t="inlineStr">
        <is>
          <t>A 9032-2025</t>
        </is>
      </c>
      <c r="B49" s="1" t="n">
        <v>45713</v>
      </c>
      <c r="C49" s="1" t="n">
        <v>45844</v>
      </c>
      <c r="D49" t="inlineStr">
        <is>
          <t>VÄRMLANDS LÄN</t>
        </is>
      </c>
      <c r="E49" t="inlineStr">
        <is>
          <t>ARVIKA</t>
        </is>
      </c>
      <c r="G49" t="n">
        <v>3.2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HYPERLINK("https://klasma.github.io/Logging_1784/artfynd/A 9032-2025 artfynd.xlsx", "A 9032-2025")</f>
        <v/>
      </c>
      <c r="T49">
        <f>HYPERLINK("https://klasma.github.io/Logging_1784/kartor/A 9032-2025 karta.png", "A 9032-2025")</f>
        <v/>
      </c>
      <c r="V49">
        <f>HYPERLINK("https://klasma.github.io/Logging_1784/klagomål/A 9032-2025 FSC-klagomål.docx", "A 9032-2025")</f>
        <v/>
      </c>
      <c r="W49">
        <f>HYPERLINK("https://klasma.github.io/Logging_1784/klagomålsmail/A 9032-2025 FSC-klagomål mail.docx", "A 9032-2025")</f>
        <v/>
      </c>
      <c r="X49">
        <f>HYPERLINK("https://klasma.github.io/Logging_1784/tillsyn/A 9032-2025 tillsynsbegäran.docx", "A 9032-2025")</f>
        <v/>
      </c>
      <c r="Y49">
        <f>HYPERLINK("https://klasma.github.io/Logging_1784/tillsynsmail/A 9032-2025 tillsynsbegäran mail.docx", "A 9032-2025")</f>
        <v/>
      </c>
      <c r="Z49">
        <f>HYPERLINK("https://klasma.github.io/Logging_1784/fåglar/A 9032-2025 prioriterade fågelarter.docx", "A 9032-2025")</f>
        <v/>
      </c>
    </row>
    <row r="50" ht="15" customHeight="1">
      <c r="A50" t="inlineStr">
        <is>
          <t>A 19213-2019</t>
        </is>
      </c>
      <c r="B50" s="1" t="n">
        <v>43564</v>
      </c>
      <c r="C50" s="1" t="n">
        <v>45844</v>
      </c>
      <c r="D50" t="inlineStr">
        <is>
          <t>VÄRMLANDS LÄN</t>
        </is>
      </c>
      <c r="E50" t="inlineStr">
        <is>
          <t>ARVIKA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19213-2019 artfynd.xlsx", "A 19213-2019")</f>
        <v/>
      </c>
      <c r="T50">
        <f>HYPERLINK("https://klasma.github.io/Logging_1784/kartor/A 19213-2019 karta.png", "A 19213-2019")</f>
        <v/>
      </c>
      <c r="V50">
        <f>HYPERLINK("https://klasma.github.io/Logging_1784/klagomål/A 19213-2019 FSC-klagomål.docx", "A 19213-2019")</f>
        <v/>
      </c>
      <c r="W50">
        <f>HYPERLINK("https://klasma.github.io/Logging_1784/klagomålsmail/A 19213-2019 FSC-klagomål mail.docx", "A 19213-2019")</f>
        <v/>
      </c>
      <c r="X50">
        <f>HYPERLINK("https://klasma.github.io/Logging_1784/tillsyn/A 19213-2019 tillsynsbegäran.docx", "A 19213-2019")</f>
        <v/>
      </c>
      <c r="Y50">
        <f>HYPERLINK("https://klasma.github.io/Logging_1784/tillsynsmail/A 19213-2019 tillsynsbegäran mail.docx", "A 19213-2019")</f>
        <v/>
      </c>
    </row>
    <row r="51" ht="15" customHeight="1">
      <c r="A51" t="inlineStr">
        <is>
          <t>A 24687-2019</t>
        </is>
      </c>
      <c r="B51" s="1" t="n">
        <v>43601</v>
      </c>
      <c r="C51" s="1" t="n">
        <v>45844</v>
      </c>
      <c r="D51" t="inlineStr">
        <is>
          <t>VÄRMLANDS LÄN</t>
        </is>
      </c>
      <c r="E51" t="inlineStr">
        <is>
          <t>ARVIKA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24687-2019 artfynd.xlsx", "A 24687-2019")</f>
        <v/>
      </c>
      <c r="T51">
        <f>HYPERLINK("https://klasma.github.io/Logging_1784/kartor/A 24687-2019 karta.png", "A 24687-2019")</f>
        <v/>
      </c>
      <c r="V51">
        <f>HYPERLINK("https://klasma.github.io/Logging_1784/klagomål/A 24687-2019 FSC-klagomål.docx", "A 24687-2019")</f>
        <v/>
      </c>
      <c r="W51">
        <f>HYPERLINK("https://klasma.github.io/Logging_1784/klagomålsmail/A 24687-2019 FSC-klagomål mail.docx", "A 24687-2019")</f>
        <v/>
      </c>
      <c r="X51">
        <f>HYPERLINK("https://klasma.github.io/Logging_1784/tillsyn/A 24687-2019 tillsynsbegäran.docx", "A 24687-2019")</f>
        <v/>
      </c>
      <c r="Y51">
        <f>HYPERLINK("https://klasma.github.io/Logging_1784/tillsynsmail/A 24687-2019 tillsynsbegäran mail.docx", "A 24687-2019")</f>
        <v/>
      </c>
      <c r="Z51">
        <f>HYPERLINK("https://klasma.github.io/Logging_1784/fåglar/A 24687-2019 prioriterade fågelarter.docx", "A 24687-2019")</f>
        <v/>
      </c>
    </row>
    <row r="52" ht="15" customHeight="1">
      <c r="A52" t="inlineStr">
        <is>
          <t>A 30304-2019</t>
        </is>
      </c>
      <c r="B52" s="1" t="n">
        <v>43634</v>
      </c>
      <c r="C52" s="1" t="n">
        <v>45844</v>
      </c>
      <c r="D52" t="inlineStr">
        <is>
          <t>VÄRMLANDS LÄN</t>
        </is>
      </c>
      <c r="E52" t="inlineStr">
        <is>
          <t>ARVIKA</t>
        </is>
      </c>
      <c r="G52" t="n">
        <v>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30304-2019 artfynd.xlsx", "A 30304-2019")</f>
        <v/>
      </c>
      <c r="T52">
        <f>HYPERLINK("https://klasma.github.io/Logging_1784/kartor/A 30304-2019 karta.png", "A 30304-2019")</f>
        <v/>
      </c>
      <c r="U52">
        <f>HYPERLINK("https://klasma.github.io/Logging_1784/knärot/A 30304-2019 karta knärot.png", "A 30304-2019")</f>
        <v/>
      </c>
      <c r="V52">
        <f>HYPERLINK("https://klasma.github.io/Logging_1784/klagomål/A 30304-2019 FSC-klagomål.docx", "A 30304-2019")</f>
        <v/>
      </c>
      <c r="W52">
        <f>HYPERLINK("https://klasma.github.io/Logging_1784/klagomålsmail/A 30304-2019 FSC-klagomål mail.docx", "A 30304-2019")</f>
        <v/>
      </c>
      <c r="X52">
        <f>HYPERLINK("https://klasma.github.io/Logging_1784/tillsyn/A 30304-2019 tillsynsbegäran.docx", "A 30304-2019")</f>
        <v/>
      </c>
      <c r="Y52">
        <f>HYPERLINK("https://klasma.github.io/Logging_1784/tillsynsmail/A 30304-2019 tillsynsbegäran mail.docx", "A 30304-2019")</f>
        <v/>
      </c>
    </row>
    <row r="53" ht="15" customHeight="1">
      <c r="A53" t="inlineStr">
        <is>
          <t>A 48854-2019</t>
        </is>
      </c>
      <c r="B53" s="1" t="n">
        <v>43728</v>
      </c>
      <c r="C53" s="1" t="n">
        <v>45844</v>
      </c>
      <c r="D53" t="inlineStr">
        <is>
          <t>VÄRMLANDS LÄN</t>
        </is>
      </c>
      <c r="E53" t="inlineStr">
        <is>
          <t>ARVIKA</t>
        </is>
      </c>
      <c r="G53" t="n">
        <v>8.1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48854-2019 artfynd.xlsx", "A 48854-2019")</f>
        <v/>
      </c>
      <c r="T53">
        <f>HYPERLINK("https://klasma.github.io/Logging_1784/kartor/A 48854-2019 karta.png", "A 48854-2019")</f>
        <v/>
      </c>
      <c r="U53">
        <f>HYPERLINK("https://klasma.github.io/Logging_1784/knärot/A 48854-2019 karta knärot.png", "A 48854-2019")</f>
        <v/>
      </c>
      <c r="V53">
        <f>HYPERLINK("https://klasma.github.io/Logging_1784/klagomål/A 48854-2019 FSC-klagomål.docx", "A 48854-2019")</f>
        <v/>
      </c>
      <c r="W53">
        <f>HYPERLINK("https://klasma.github.io/Logging_1784/klagomålsmail/A 48854-2019 FSC-klagomål mail.docx", "A 48854-2019")</f>
        <v/>
      </c>
      <c r="X53">
        <f>HYPERLINK("https://klasma.github.io/Logging_1784/tillsyn/A 48854-2019 tillsynsbegäran.docx", "A 48854-2019")</f>
        <v/>
      </c>
      <c r="Y53">
        <f>HYPERLINK("https://klasma.github.io/Logging_1784/tillsynsmail/A 48854-2019 tillsynsbegäran mail.docx", "A 48854-2019")</f>
        <v/>
      </c>
    </row>
    <row r="54" ht="15" customHeight="1">
      <c r="A54" t="inlineStr">
        <is>
          <t>A 55931-2019</t>
        </is>
      </c>
      <c r="B54" s="1" t="n">
        <v>43761</v>
      </c>
      <c r="C54" s="1" t="n">
        <v>45844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Blåtryffel</t>
        </is>
      </c>
      <c r="S54">
        <f>HYPERLINK("https://klasma.github.io/Logging_1784/artfynd/A 55931-2019 artfynd.xlsx", "A 55931-2019")</f>
        <v/>
      </c>
      <c r="T54">
        <f>HYPERLINK("https://klasma.github.io/Logging_1784/kartor/A 55931-2019 karta.png", "A 55931-2019")</f>
        <v/>
      </c>
      <c r="V54">
        <f>HYPERLINK("https://klasma.github.io/Logging_1784/klagomål/A 55931-2019 FSC-klagomål.docx", "A 55931-2019")</f>
        <v/>
      </c>
      <c r="W54">
        <f>HYPERLINK("https://klasma.github.io/Logging_1784/klagomålsmail/A 55931-2019 FSC-klagomål mail.docx", "A 55931-2019")</f>
        <v/>
      </c>
      <c r="X54">
        <f>HYPERLINK("https://klasma.github.io/Logging_1784/tillsyn/A 55931-2019 tillsynsbegäran.docx", "A 55931-2019")</f>
        <v/>
      </c>
      <c r="Y54">
        <f>HYPERLINK("https://klasma.github.io/Logging_1784/tillsynsmail/A 55931-2019 tillsynsbegäran mail.docx", "A 55931-2019")</f>
        <v/>
      </c>
    </row>
    <row r="55" ht="15" customHeight="1">
      <c r="A55" t="inlineStr">
        <is>
          <t>A 238-2020</t>
        </is>
      </c>
      <c r="B55" s="1" t="n">
        <v>43835</v>
      </c>
      <c r="C55" s="1" t="n">
        <v>45844</v>
      </c>
      <c r="D55" t="inlineStr">
        <is>
          <t>VÄRMLANDS LÄN</t>
        </is>
      </c>
      <c r="E55" t="inlineStr">
        <is>
          <t>ARVIKA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238-2020 artfynd.xlsx", "A 238-2020")</f>
        <v/>
      </c>
      <c r="T55">
        <f>HYPERLINK("https://klasma.github.io/Logging_1784/kartor/A 238-2020 karta.png", "A 238-2020")</f>
        <v/>
      </c>
      <c r="U55">
        <f>HYPERLINK("https://klasma.github.io/Logging_1784/knärot/A 238-2020 karta knärot.png", "A 238-2020")</f>
        <v/>
      </c>
      <c r="V55">
        <f>HYPERLINK("https://klasma.github.io/Logging_1784/klagomål/A 238-2020 FSC-klagomål.docx", "A 238-2020")</f>
        <v/>
      </c>
      <c r="W55">
        <f>HYPERLINK("https://klasma.github.io/Logging_1784/klagomålsmail/A 238-2020 FSC-klagomål mail.docx", "A 238-2020")</f>
        <v/>
      </c>
      <c r="X55">
        <f>HYPERLINK("https://klasma.github.io/Logging_1784/tillsyn/A 238-2020 tillsynsbegäran.docx", "A 238-2020")</f>
        <v/>
      </c>
      <c r="Y55">
        <f>HYPERLINK("https://klasma.github.io/Logging_1784/tillsynsmail/A 238-2020 tillsynsbegäran mail.docx", "A 238-2020")</f>
        <v/>
      </c>
    </row>
    <row r="56" ht="15" customHeight="1">
      <c r="A56" t="inlineStr">
        <is>
          <t>A 10858-2020</t>
        </is>
      </c>
      <c r="B56" s="1" t="n">
        <v>43889</v>
      </c>
      <c r="C56" s="1" t="n">
        <v>45844</v>
      </c>
      <c r="D56" t="inlineStr">
        <is>
          <t>VÄRMLANDS LÄN</t>
        </is>
      </c>
      <c r="E56" t="inlineStr">
        <is>
          <t>ARVIKA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10858-2020 artfynd.xlsx", "A 10858-2020")</f>
        <v/>
      </c>
      <c r="T56">
        <f>HYPERLINK("https://klasma.github.io/Logging_1784/kartor/A 10858-2020 karta.png", "A 10858-2020")</f>
        <v/>
      </c>
      <c r="V56">
        <f>HYPERLINK("https://klasma.github.io/Logging_1784/klagomål/A 10858-2020 FSC-klagomål.docx", "A 10858-2020")</f>
        <v/>
      </c>
      <c r="W56">
        <f>HYPERLINK("https://klasma.github.io/Logging_1784/klagomålsmail/A 10858-2020 FSC-klagomål mail.docx", "A 10858-2020")</f>
        <v/>
      </c>
      <c r="X56">
        <f>HYPERLINK("https://klasma.github.io/Logging_1784/tillsyn/A 10858-2020 tillsynsbegäran.docx", "A 10858-2020")</f>
        <v/>
      </c>
      <c r="Y56">
        <f>HYPERLINK("https://klasma.github.io/Logging_1784/tillsynsmail/A 10858-2020 tillsynsbegäran mail.docx", "A 10858-2020")</f>
        <v/>
      </c>
    </row>
    <row r="57" ht="15" customHeight="1">
      <c r="A57" t="inlineStr">
        <is>
          <t>A 13461-2020</t>
        </is>
      </c>
      <c r="B57" s="1" t="n">
        <v>43902</v>
      </c>
      <c r="C57" s="1" t="n">
        <v>45844</v>
      </c>
      <c r="D57" t="inlineStr">
        <is>
          <t>VÄRMLANDS LÄN</t>
        </is>
      </c>
      <c r="E57" t="inlineStr">
        <is>
          <t>ARVIKA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13461-2020 artfynd.xlsx", "A 13461-2020")</f>
        <v/>
      </c>
      <c r="T57">
        <f>HYPERLINK("https://klasma.github.io/Logging_1784/kartor/A 13461-2020 karta.png", "A 13461-2020")</f>
        <v/>
      </c>
      <c r="U57">
        <f>HYPERLINK("https://klasma.github.io/Logging_1784/knärot/A 13461-2020 karta knärot.png", "A 13461-2020")</f>
        <v/>
      </c>
      <c r="V57">
        <f>HYPERLINK("https://klasma.github.io/Logging_1784/klagomål/A 13461-2020 FSC-klagomål.docx", "A 13461-2020")</f>
        <v/>
      </c>
      <c r="W57">
        <f>HYPERLINK("https://klasma.github.io/Logging_1784/klagomålsmail/A 13461-2020 FSC-klagomål mail.docx", "A 13461-2020")</f>
        <v/>
      </c>
      <c r="X57">
        <f>HYPERLINK("https://klasma.github.io/Logging_1784/tillsyn/A 13461-2020 tillsynsbegäran.docx", "A 13461-2020")</f>
        <v/>
      </c>
      <c r="Y57">
        <f>HYPERLINK("https://klasma.github.io/Logging_1784/tillsynsmail/A 13461-2020 tillsynsbegäran mail.docx", "A 13461-2020")</f>
        <v/>
      </c>
    </row>
    <row r="58" ht="15" customHeight="1">
      <c r="A58" t="inlineStr">
        <is>
          <t>A 25234-2020</t>
        </is>
      </c>
      <c r="B58" s="1" t="n">
        <v>43979</v>
      </c>
      <c r="C58" s="1" t="n">
        <v>45844</v>
      </c>
      <c r="D58" t="inlineStr">
        <is>
          <t>VÄRMLANDS LÄN</t>
        </is>
      </c>
      <c r="E58" t="inlineStr">
        <is>
          <t>ARVIKA</t>
        </is>
      </c>
      <c r="G58" t="n">
        <v>12.9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HYPERLINK("https://klasma.github.io/Logging_1784/artfynd/A 25234-2020 artfynd.xlsx", "A 25234-2020")</f>
        <v/>
      </c>
      <c r="T58">
        <f>HYPERLINK("https://klasma.github.io/Logging_1784/kartor/A 25234-2020 karta.png", "A 25234-2020")</f>
        <v/>
      </c>
      <c r="V58">
        <f>HYPERLINK("https://klasma.github.io/Logging_1784/klagomål/A 25234-2020 FSC-klagomål.docx", "A 25234-2020")</f>
        <v/>
      </c>
      <c r="W58">
        <f>HYPERLINK("https://klasma.github.io/Logging_1784/klagomålsmail/A 25234-2020 FSC-klagomål mail.docx", "A 25234-2020")</f>
        <v/>
      </c>
      <c r="X58">
        <f>HYPERLINK("https://klasma.github.io/Logging_1784/tillsyn/A 25234-2020 tillsynsbegäran.docx", "A 25234-2020")</f>
        <v/>
      </c>
      <c r="Y58">
        <f>HYPERLINK("https://klasma.github.io/Logging_1784/tillsynsmail/A 25234-2020 tillsynsbegäran mail.docx", "A 25234-2020")</f>
        <v/>
      </c>
      <c r="Z58">
        <f>HYPERLINK("https://klasma.github.io/Logging_1784/fåglar/A 25234-2020 prioriterade fågelarter.docx", "A 25234-2020")</f>
        <v/>
      </c>
    </row>
    <row r="59" ht="15" customHeight="1">
      <c r="A59" t="inlineStr">
        <is>
          <t>A 30729-2020</t>
        </is>
      </c>
      <c r="B59" s="1" t="n">
        <v>44008</v>
      </c>
      <c r="C59" s="1" t="n">
        <v>45844</v>
      </c>
      <c r="D59" t="inlineStr">
        <is>
          <t>VÄRMLANDS LÄN</t>
        </is>
      </c>
      <c r="E59" t="inlineStr">
        <is>
          <t>ARVIKA</t>
        </is>
      </c>
      <c r="G59" t="n">
        <v>4.2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30729-2020 artfynd.xlsx", "A 30729-2020")</f>
        <v/>
      </c>
      <c r="T59">
        <f>HYPERLINK("https://klasma.github.io/Logging_1784/kartor/A 30729-2020 karta.png", "A 30729-2020")</f>
        <v/>
      </c>
      <c r="U59">
        <f>HYPERLINK("https://klasma.github.io/Logging_1784/knärot/A 30729-2020 karta knärot.png", "A 30729-2020")</f>
        <v/>
      </c>
      <c r="V59">
        <f>HYPERLINK("https://klasma.github.io/Logging_1784/klagomål/A 30729-2020 FSC-klagomål.docx", "A 30729-2020")</f>
        <v/>
      </c>
      <c r="W59">
        <f>HYPERLINK("https://klasma.github.io/Logging_1784/klagomålsmail/A 30729-2020 FSC-klagomål mail.docx", "A 30729-2020")</f>
        <v/>
      </c>
      <c r="X59">
        <f>HYPERLINK("https://klasma.github.io/Logging_1784/tillsyn/A 30729-2020 tillsynsbegäran.docx", "A 30729-2020")</f>
        <v/>
      </c>
      <c r="Y59">
        <f>HYPERLINK("https://klasma.github.io/Logging_1784/tillsynsmail/A 30729-2020 tillsynsbegäran mail.docx", "A 30729-2020")</f>
        <v/>
      </c>
    </row>
    <row r="60" ht="15" customHeight="1">
      <c r="A60" t="inlineStr">
        <is>
          <t>A 34769-2020</t>
        </is>
      </c>
      <c r="B60" s="1" t="n">
        <v>44035</v>
      </c>
      <c r="C60" s="1" t="n">
        <v>45844</v>
      </c>
      <c r="D60" t="inlineStr">
        <is>
          <t>VÄRMLANDS LÄN</t>
        </is>
      </c>
      <c r="E60" t="inlineStr">
        <is>
          <t>ARVIKA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34769-2020 artfynd.xlsx", "A 34769-2020")</f>
        <v/>
      </c>
      <c r="T60">
        <f>HYPERLINK("https://klasma.github.io/Logging_1784/kartor/A 34769-2020 karta.png", "A 34769-2020")</f>
        <v/>
      </c>
      <c r="U60">
        <f>HYPERLINK("https://klasma.github.io/Logging_1784/knärot/A 34769-2020 karta knärot.png", "A 34769-2020")</f>
        <v/>
      </c>
      <c r="V60">
        <f>HYPERLINK("https://klasma.github.io/Logging_1784/klagomål/A 34769-2020 FSC-klagomål.docx", "A 34769-2020")</f>
        <v/>
      </c>
      <c r="W60">
        <f>HYPERLINK("https://klasma.github.io/Logging_1784/klagomålsmail/A 34769-2020 FSC-klagomål mail.docx", "A 34769-2020")</f>
        <v/>
      </c>
      <c r="X60">
        <f>HYPERLINK("https://klasma.github.io/Logging_1784/tillsyn/A 34769-2020 tillsynsbegäran.docx", "A 34769-2020")</f>
        <v/>
      </c>
      <c r="Y60">
        <f>HYPERLINK("https://klasma.github.io/Logging_1784/tillsynsmail/A 34769-2020 tillsynsbegäran mail.docx", "A 34769-2020")</f>
        <v/>
      </c>
    </row>
    <row r="61" ht="15" customHeight="1">
      <c r="A61" t="inlineStr">
        <is>
          <t>A 36688-2020</t>
        </is>
      </c>
      <c r="B61" s="1" t="n">
        <v>44052</v>
      </c>
      <c r="C61" s="1" t="n">
        <v>45844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36688-2020 artfynd.xlsx", "A 36688-2020")</f>
        <v/>
      </c>
      <c r="T61">
        <f>HYPERLINK("https://klasma.github.io/Logging_1784/kartor/A 36688-2020 karta.png", "A 36688-2020")</f>
        <v/>
      </c>
      <c r="U61">
        <f>HYPERLINK("https://klasma.github.io/Logging_1784/knärot/A 36688-2020 karta knärot.png", "A 36688-2020")</f>
        <v/>
      </c>
      <c r="V61">
        <f>HYPERLINK("https://klasma.github.io/Logging_1784/klagomål/A 36688-2020 FSC-klagomål.docx", "A 36688-2020")</f>
        <v/>
      </c>
      <c r="W61">
        <f>HYPERLINK("https://klasma.github.io/Logging_1784/klagomålsmail/A 36688-2020 FSC-klagomål mail.docx", "A 36688-2020")</f>
        <v/>
      </c>
      <c r="X61">
        <f>HYPERLINK("https://klasma.github.io/Logging_1784/tillsyn/A 36688-2020 tillsynsbegäran.docx", "A 36688-2020")</f>
        <v/>
      </c>
      <c r="Y61">
        <f>HYPERLINK("https://klasma.github.io/Logging_1784/tillsynsmail/A 36688-2020 tillsynsbegäran mail.docx", "A 36688-2020")</f>
        <v/>
      </c>
    </row>
    <row r="62" ht="15" customHeight="1">
      <c r="A62" t="inlineStr">
        <is>
          <t>A 55736-2020</t>
        </is>
      </c>
      <c r="B62" s="1" t="n">
        <v>44132</v>
      </c>
      <c r="C62" s="1" t="n">
        <v>45844</v>
      </c>
      <c r="D62" t="inlineStr">
        <is>
          <t>VÄRMLANDS LÄN</t>
        </is>
      </c>
      <c r="E62" t="inlineStr">
        <is>
          <t>ARVIKA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55736-2020 artfynd.xlsx", "A 55736-2020")</f>
        <v/>
      </c>
      <c r="T62">
        <f>HYPERLINK("https://klasma.github.io/Logging_1784/kartor/A 55736-2020 karta.png", "A 55736-2020")</f>
        <v/>
      </c>
      <c r="V62">
        <f>HYPERLINK("https://klasma.github.io/Logging_1784/klagomål/A 55736-2020 FSC-klagomål.docx", "A 55736-2020")</f>
        <v/>
      </c>
      <c r="W62">
        <f>HYPERLINK("https://klasma.github.io/Logging_1784/klagomålsmail/A 55736-2020 FSC-klagomål mail.docx", "A 55736-2020")</f>
        <v/>
      </c>
      <c r="X62">
        <f>HYPERLINK("https://klasma.github.io/Logging_1784/tillsyn/A 55736-2020 tillsynsbegäran.docx", "A 55736-2020")</f>
        <v/>
      </c>
      <c r="Y62">
        <f>HYPERLINK("https://klasma.github.io/Logging_1784/tillsynsmail/A 55736-2020 tillsynsbegäran mail.docx", "A 55736-2020")</f>
        <v/>
      </c>
    </row>
    <row r="63" ht="15" customHeight="1">
      <c r="A63" t="inlineStr">
        <is>
          <t>A 56253-2020</t>
        </is>
      </c>
      <c r="B63" s="1" t="n">
        <v>44134</v>
      </c>
      <c r="C63" s="1" t="n">
        <v>45844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HYPERLINK("https://klasma.github.io/Logging_1784/artfynd/A 56253-2020 artfynd.xlsx", "A 56253-2020")</f>
        <v/>
      </c>
      <c r="T63">
        <f>HYPERLINK("https://klasma.github.io/Logging_1784/kartor/A 56253-2020 karta.png", "A 56253-2020")</f>
        <v/>
      </c>
      <c r="V63">
        <f>HYPERLINK("https://klasma.github.io/Logging_1784/klagomål/A 56253-2020 FSC-klagomål.docx", "A 56253-2020")</f>
        <v/>
      </c>
      <c r="W63">
        <f>HYPERLINK("https://klasma.github.io/Logging_1784/klagomålsmail/A 56253-2020 FSC-klagomål mail.docx", "A 56253-2020")</f>
        <v/>
      </c>
      <c r="X63">
        <f>HYPERLINK("https://klasma.github.io/Logging_1784/tillsyn/A 56253-2020 tillsynsbegäran.docx", "A 56253-2020")</f>
        <v/>
      </c>
      <c r="Y63">
        <f>HYPERLINK("https://klasma.github.io/Logging_1784/tillsynsmail/A 56253-2020 tillsynsbegäran mail.docx", "A 56253-2020")</f>
        <v/>
      </c>
      <c r="Z63">
        <f>HYPERLINK("https://klasma.github.io/Logging_1784/fåglar/A 56253-2020 prioriterade fågelarter.docx", "A 56253-2020")</f>
        <v/>
      </c>
    </row>
    <row r="64" ht="15" customHeight="1">
      <c r="A64" t="inlineStr">
        <is>
          <t>A 63540-2020</t>
        </is>
      </c>
      <c r="B64" s="1" t="n">
        <v>44165</v>
      </c>
      <c r="C64" s="1" t="n">
        <v>45844</v>
      </c>
      <c r="D64" t="inlineStr">
        <is>
          <t>VÄRMLANDS LÄN</t>
        </is>
      </c>
      <c r="E64" t="inlineStr">
        <is>
          <t>ARVIKA</t>
        </is>
      </c>
      <c r="G64" t="n">
        <v>4.3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63540-2020 artfynd.xlsx", "A 63540-2020")</f>
        <v/>
      </c>
      <c r="T64">
        <f>HYPERLINK("https://klasma.github.io/Logging_1784/kartor/A 63540-2020 karta.png", "A 63540-2020")</f>
        <v/>
      </c>
      <c r="U64">
        <f>HYPERLINK("https://klasma.github.io/Logging_1784/knärot/A 63540-2020 karta knärot.png", "A 63540-2020")</f>
        <v/>
      </c>
      <c r="V64">
        <f>HYPERLINK("https://klasma.github.io/Logging_1784/klagomål/A 63540-2020 FSC-klagomål.docx", "A 63540-2020")</f>
        <v/>
      </c>
      <c r="W64">
        <f>HYPERLINK("https://klasma.github.io/Logging_1784/klagomålsmail/A 63540-2020 FSC-klagomål mail.docx", "A 63540-2020")</f>
        <v/>
      </c>
      <c r="X64">
        <f>HYPERLINK("https://klasma.github.io/Logging_1784/tillsyn/A 63540-2020 tillsynsbegäran.docx", "A 63540-2020")</f>
        <v/>
      </c>
      <c r="Y64">
        <f>HYPERLINK("https://klasma.github.io/Logging_1784/tillsynsmail/A 63540-2020 tillsynsbegäran mail.docx", "A 63540-2020")</f>
        <v/>
      </c>
    </row>
    <row r="65" ht="15" customHeight="1">
      <c r="A65" t="inlineStr">
        <is>
          <t>A 24022-2021</t>
        </is>
      </c>
      <c r="B65" s="1" t="n">
        <v>44336</v>
      </c>
      <c r="C65" s="1" t="n">
        <v>45844</v>
      </c>
      <c r="D65" t="inlineStr">
        <is>
          <t>VÄRMLANDS LÄN</t>
        </is>
      </c>
      <c r="E65" t="inlineStr">
        <is>
          <t>ARVIKA</t>
        </is>
      </c>
      <c r="G65" t="n">
        <v>6.8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HYPERLINK("https://klasma.github.io/Logging_1784/artfynd/A 24022-2021 artfynd.xlsx", "A 24022-2021")</f>
        <v/>
      </c>
      <c r="T65">
        <f>HYPERLINK("https://klasma.github.io/Logging_1784/kartor/A 24022-2021 karta.png", "A 24022-2021")</f>
        <v/>
      </c>
      <c r="V65">
        <f>HYPERLINK("https://klasma.github.io/Logging_1784/klagomål/A 24022-2021 FSC-klagomål.docx", "A 24022-2021")</f>
        <v/>
      </c>
      <c r="W65">
        <f>HYPERLINK("https://klasma.github.io/Logging_1784/klagomålsmail/A 24022-2021 FSC-klagomål mail.docx", "A 24022-2021")</f>
        <v/>
      </c>
      <c r="X65">
        <f>HYPERLINK("https://klasma.github.io/Logging_1784/tillsyn/A 24022-2021 tillsynsbegäran.docx", "A 24022-2021")</f>
        <v/>
      </c>
      <c r="Y65">
        <f>HYPERLINK("https://klasma.github.io/Logging_1784/tillsynsmail/A 24022-2021 tillsynsbegäran mail.docx", "A 24022-2021")</f>
        <v/>
      </c>
    </row>
    <row r="66" ht="15" customHeight="1">
      <c r="A66" t="inlineStr">
        <is>
          <t>A 33758-2021</t>
        </is>
      </c>
      <c r="B66" s="1" t="n">
        <v>44378</v>
      </c>
      <c r="C66" s="1" t="n">
        <v>45844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33758-2021 artfynd.xlsx", "A 33758-2021")</f>
        <v/>
      </c>
      <c r="T66">
        <f>HYPERLINK("https://klasma.github.io/Logging_1784/kartor/A 33758-2021 karta.png", "A 33758-2021")</f>
        <v/>
      </c>
      <c r="U66">
        <f>HYPERLINK("https://klasma.github.io/Logging_1784/knärot/A 33758-2021 karta knärot.png", "A 33758-2021")</f>
        <v/>
      </c>
      <c r="V66">
        <f>HYPERLINK("https://klasma.github.io/Logging_1784/klagomål/A 33758-2021 FSC-klagomål.docx", "A 33758-2021")</f>
        <v/>
      </c>
      <c r="W66">
        <f>HYPERLINK("https://klasma.github.io/Logging_1784/klagomålsmail/A 33758-2021 FSC-klagomål mail.docx", "A 33758-2021")</f>
        <v/>
      </c>
      <c r="X66">
        <f>HYPERLINK("https://klasma.github.io/Logging_1784/tillsyn/A 33758-2021 tillsynsbegäran.docx", "A 33758-2021")</f>
        <v/>
      </c>
      <c r="Y66">
        <f>HYPERLINK("https://klasma.github.io/Logging_1784/tillsynsmail/A 33758-2021 tillsynsbegäran mail.docx", "A 33758-2021")</f>
        <v/>
      </c>
    </row>
    <row r="67" ht="15" customHeight="1">
      <c r="A67" t="inlineStr">
        <is>
          <t>A 37342-2021</t>
        </is>
      </c>
      <c r="B67" s="1" t="n">
        <v>44397</v>
      </c>
      <c r="C67" s="1" t="n">
        <v>45844</v>
      </c>
      <c r="D67" t="inlineStr">
        <is>
          <t>VÄRMLANDS LÄN</t>
        </is>
      </c>
      <c r="E67" t="inlineStr">
        <is>
          <t>ARVIKA</t>
        </is>
      </c>
      <c r="G67" t="n">
        <v>3.5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37342-2021 artfynd.xlsx", "A 37342-2021")</f>
        <v/>
      </c>
      <c r="T67">
        <f>HYPERLINK("https://klasma.github.io/Logging_1784/kartor/A 37342-2021 karta.png", "A 37342-2021")</f>
        <v/>
      </c>
      <c r="U67">
        <f>HYPERLINK("https://klasma.github.io/Logging_1784/knärot/A 37342-2021 karta knärot.png", "A 37342-2021")</f>
        <v/>
      </c>
      <c r="V67">
        <f>HYPERLINK("https://klasma.github.io/Logging_1784/klagomål/A 37342-2021 FSC-klagomål.docx", "A 37342-2021")</f>
        <v/>
      </c>
      <c r="W67">
        <f>HYPERLINK("https://klasma.github.io/Logging_1784/klagomålsmail/A 37342-2021 FSC-klagomål mail.docx", "A 37342-2021")</f>
        <v/>
      </c>
      <c r="X67">
        <f>HYPERLINK("https://klasma.github.io/Logging_1784/tillsyn/A 37342-2021 tillsynsbegäran.docx", "A 37342-2021")</f>
        <v/>
      </c>
      <c r="Y67">
        <f>HYPERLINK("https://klasma.github.io/Logging_1784/tillsynsmail/A 37342-2021 tillsynsbegäran mail.docx", "A 37342-2021")</f>
        <v/>
      </c>
    </row>
    <row r="68" ht="15" customHeight="1">
      <c r="A68" t="inlineStr">
        <is>
          <t>A 56872-2021</t>
        </is>
      </c>
      <c r="B68" s="1" t="n">
        <v>44481</v>
      </c>
      <c r="C68" s="1" t="n">
        <v>45844</v>
      </c>
      <c r="D68" t="inlineStr">
        <is>
          <t>VÄRMLANDS LÄN</t>
        </is>
      </c>
      <c r="E68" t="inlineStr">
        <is>
          <t>ARVIKA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56872-2021 artfynd.xlsx", "A 56872-2021")</f>
        <v/>
      </c>
      <c r="T68">
        <f>HYPERLINK("https://klasma.github.io/Logging_1784/kartor/A 56872-2021 karta.png", "A 56872-2021")</f>
        <v/>
      </c>
      <c r="U68">
        <f>HYPERLINK("https://klasma.github.io/Logging_1784/knärot/A 56872-2021 karta knärot.png", "A 56872-2021")</f>
        <v/>
      </c>
      <c r="V68">
        <f>HYPERLINK("https://klasma.github.io/Logging_1784/klagomål/A 56872-2021 FSC-klagomål.docx", "A 56872-2021")</f>
        <v/>
      </c>
      <c r="W68">
        <f>HYPERLINK("https://klasma.github.io/Logging_1784/klagomålsmail/A 56872-2021 FSC-klagomål mail.docx", "A 56872-2021")</f>
        <v/>
      </c>
      <c r="X68">
        <f>HYPERLINK("https://klasma.github.io/Logging_1784/tillsyn/A 56872-2021 tillsynsbegäran.docx", "A 56872-2021")</f>
        <v/>
      </c>
      <c r="Y68">
        <f>HYPERLINK("https://klasma.github.io/Logging_1784/tillsynsmail/A 56872-2021 tillsynsbegäran mail.docx", "A 56872-2021")</f>
        <v/>
      </c>
    </row>
    <row r="69" ht="15" customHeight="1">
      <c r="A69" t="inlineStr">
        <is>
          <t>A 62619-2021</t>
        </is>
      </c>
      <c r="B69" s="1" t="n">
        <v>44503</v>
      </c>
      <c r="C69" s="1" t="n">
        <v>45844</v>
      </c>
      <c r="D69" t="inlineStr">
        <is>
          <t>VÄRMLANDS LÄN</t>
        </is>
      </c>
      <c r="E69" t="inlineStr">
        <is>
          <t>ARVIKA</t>
        </is>
      </c>
      <c r="G69" t="n">
        <v>6.5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Smålom</t>
        </is>
      </c>
      <c r="S69">
        <f>HYPERLINK("https://klasma.github.io/Logging_1784/artfynd/A 62619-2021 artfynd.xlsx", "A 62619-2021")</f>
        <v/>
      </c>
      <c r="T69">
        <f>HYPERLINK("https://klasma.github.io/Logging_1784/kartor/A 62619-2021 karta.png", "A 62619-2021")</f>
        <v/>
      </c>
      <c r="V69">
        <f>HYPERLINK("https://klasma.github.io/Logging_1784/klagomål/A 62619-2021 FSC-klagomål.docx", "A 62619-2021")</f>
        <v/>
      </c>
      <c r="W69">
        <f>HYPERLINK("https://klasma.github.io/Logging_1784/klagomålsmail/A 62619-2021 FSC-klagomål mail.docx", "A 62619-2021")</f>
        <v/>
      </c>
      <c r="X69">
        <f>HYPERLINK("https://klasma.github.io/Logging_1784/tillsyn/A 62619-2021 tillsynsbegäran.docx", "A 62619-2021")</f>
        <v/>
      </c>
      <c r="Y69">
        <f>HYPERLINK("https://klasma.github.io/Logging_1784/tillsynsmail/A 62619-2021 tillsynsbegäran mail.docx", "A 62619-2021")</f>
        <v/>
      </c>
      <c r="Z69">
        <f>HYPERLINK("https://klasma.github.io/Logging_1784/fåglar/A 62619-2021 prioriterade fågelarter.docx", "A 62619-2021")</f>
        <v/>
      </c>
    </row>
    <row r="70" ht="15" customHeight="1">
      <c r="A70" t="inlineStr">
        <is>
          <t>A 64590-2021</t>
        </is>
      </c>
      <c r="B70" s="1" t="n">
        <v>44511</v>
      </c>
      <c r="C70" s="1" t="n">
        <v>45844</v>
      </c>
      <c r="D70" t="inlineStr">
        <is>
          <t>VÄRMLANDS LÄN</t>
        </is>
      </c>
      <c r="E70" t="inlineStr">
        <is>
          <t>ARVIKA</t>
        </is>
      </c>
      <c r="G70" t="n">
        <v>4.1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HYPERLINK("https://klasma.github.io/Logging_1784/artfynd/A 64590-2021 artfynd.xlsx", "A 64590-2021")</f>
        <v/>
      </c>
      <c r="T70">
        <f>HYPERLINK("https://klasma.github.io/Logging_1784/kartor/A 64590-2021 karta.png", "A 64590-2021")</f>
        <v/>
      </c>
      <c r="V70">
        <f>HYPERLINK("https://klasma.github.io/Logging_1784/klagomål/A 64590-2021 FSC-klagomål.docx", "A 64590-2021")</f>
        <v/>
      </c>
      <c r="W70">
        <f>HYPERLINK("https://klasma.github.io/Logging_1784/klagomålsmail/A 64590-2021 FSC-klagomål mail.docx", "A 64590-2021")</f>
        <v/>
      </c>
      <c r="X70">
        <f>HYPERLINK("https://klasma.github.io/Logging_1784/tillsyn/A 64590-2021 tillsynsbegäran.docx", "A 64590-2021")</f>
        <v/>
      </c>
      <c r="Y70">
        <f>HYPERLINK("https://klasma.github.io/Logging_1784/tillsynsmail/A 64590-2021 tillsynsbegäran mail.docx", "A 64590-2021")</f>
        <v/>
      </c>
      <c r="Z70">
        <f>HYPERLINK("https://klasma.github.io/Logging_1784/fåglar/A 64590-2021 prioriterade fågelarter.docx", "A 64590-2021")</f>
        <v/>
      </c>
    </row>
    <row r="71" ht="15" customHeight="1">
      <c r="A71" t="inlineStr">
        <is>
          <t>A 72222-2021</t>
        </is>
      </c>
      <c r="B71" s="1" t="n">
        <v>44544</v>
      </c>
      <c r="C71" s="1" t="n">
        <v>45844</v>
      </c>
      <c r="D71" t="inlineStr">
        <is>
          <t>VÄRMLANDS LÄN</t>
        </is>
      </c>
      <c r="E71" t="inlineStr">
        <is>
          <t>ARVIKA</t>
        </is>
      </c>
      <c r="G71" t="n">
        <v>2.1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72222-2021 artfynd.xlsx", "A 72222-2021")</f>
        <v/>
      </c>
      <c r="T71">
        <f>HYPERLINK("https://klasma.github.io/Logging_1784/kartor/A 72222-2021 karta.png", "A 72222-2021")</f>
        <v/>
      </c>
      <c r="U71">
        <f>HYPERLINK("https://klasma.github.io/Logging_1784/knärot/A 72222-2021 karta knärot.png", "A 72222-2021")</f>
        <v/>
      </c>
      <c r="V71">
        <f>HYPERLINK("https://klasma.github.io/Logging_1784/klagomål/A 72222-2021 FSC-klagomål.docx", "A 72222-2021")</f>
        <v/>
      </c>
      <c r="W71">
        <f>HYPERLINK("https://klasma.github.io/Logging_1784/klagomålsmail/A 72222-2021 FSC-klagomål mail.docx", "A 72222-2021")</f>
        <v/>
      </c>
      <c r="X71">
        <f>HYPERLINK("https://klasma.github.io/Logging_1784/tillsyn/A 72222-2021 tillsynsbegäran.docx", "A 72222-2021")</f>
        <v/>
      </c>
      <c r="Y71">
        <f>HYPERLINK("https://klasma.github.io/Logging_1784/tillsynsmail/A 72222-2021 tillsynsbegäran mail.docx", "A 72222-2021")</f>
        <v/>
      </c>
    </row>
    <row r="72" ht="15" customHeight="1">
      <c r="A72" t="inlineStr">
        <is>
          <t>A 72829-2021</t>
        </is>
      </c>
      <c r="B72" s="1" t="n">
        <v>44547</v>
      </c>
      <c r="C72" s="1" t="n">
        <v>45844</v>
      </c>
      <c r="D72" t="inlineStr">
        <is>
          <t>VÄRMLANDS LÄN</t>
        </is>
      </c>
      <c r="E72" t="inlineStr">
        <is>
          <t>ARVIKA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72829-2021 artfynd.xlsx", "A 72829-2021")</f>
        <v/>
      </c>
      <c r="T72">
        <f>HYPERLINK("https://klasma.github.io/Logging_1784/kartor/A 72829-2021 karta.png", "A 72829-2021")</f>
        <v/>
      </c>
      <c r="U72">
        <f>HYPERLINK("https://klasma.github.io/Logging_1784/knärot/A 72829-2021 karta knärot.png", "A 72829-2021")</f>
        <v/>
      </c>
      <c r="V72">
        <f>HYPERLINK("https://klasma.github.io/Logging_1784/klagomål/A 72829-2021 FSC-klagomål.docx", "A 72829-2021")</f>
        <v/>
      </c>
      <c r="W72">
        <f>HYPERLINK("https://klasma.github.io/Logging_1784/klagomålsmail/A 72829-2021 FSC-klagomål mail.docx", "A 72829-2021")</f>
        <v/>
      </c>
      <c r="X72">
        <f>HYPERLINK("https://klasma.github.io/Logging_1784/tillsyn/A 72829-2021 tillsynsbegäran.docx", "A 72829-2021")</f>
        <v/>
      </c>
      <c r="Y72">
        <f>HYPERLINK("https://klasma.github.io/Logging_1784/tillsynsmail/A 72829-2021 tillsynsbegäran mail.docx", "A 72829-2021")</f>
        <v/>
      </c>
    </row>
    <row r="73" ht="15" customHeight="1">
      <c r="A73" t="inlineStr">
        <is>
          <t>A 73999-2021</t>
        </is>
      </c>
      <c r="B73" s="1" t="n">
        <v>44557</v>
      </c>
      <c r="C73" s="1" t="n">
        <v>45844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73999-2021 artfynd.xlsx", "A 73999-2021")</f>
        <v/>
      </c>
      <c r="T73">
        <f>HYPERLINK("https://klasma.github.io/Logging_1784/kartor/A 73999-2021 karta.png", "A 73999-2021")</f>
        <v/>
      </c>
      <c r="U73">
        <f>HYPERLINK("https://klasma.github.io/Logging_1784/knärot/A 73999-2021 karta knärot.png", "A 73999-2021")</f>
        <v/>
      </c>
      <c r="V73">
        <f>HYPERLINK("https://klasma.github.io/Logging_1784/klagomål/A 73999-2021 FSC-klagomål.docx", "A 73999-2021")</f>
        <v/>
      </c>
      <c r="W73">
        <f>HYPERLINK("https://klasma.github.io/Logging_1784/klagomålsmail/A 73999-2021 FSC-klagomål mail.docx", "A 73999-2021")</f>
        <v/>
      </c>
      <c r="X73">
        <f>HYPERLINK("https://klasma.github.io/Logging_1784/tillsyn/A 73999-2021 tillsynsbegäran.docx", "A 73999-2021")</f>
        <v/>
      </c>
      <c r="Y73">
        <f>HYPERLINK("https://klasma.github.io/Logging_1784/tillsynsmail/A 73999-2021 tillsynsbegäran mail.docx", "A 73999-2021")</f>
        <v/>
      </c>
    </row>
    <row r="74" ht="15" customHeight="1">
      <c r="A74" t="inlineStr">
        <is>
          <t>A 74218-2021</t>
        </is>
      </c>
      <c r="B74" s="1" t="n">
        <v>44558</v>
      </c>
      <c r="C74" s="1" t="n">
        <v>45844</v>
      </c>
      <c r="D74" t="inlineStr">
        <is>
          <t>VÄRMLANDS LÄN</t>
        </is>
      </c>
      <c r="E74" t="inlineStr">
        <is>
          <t>ARVIKA</t>
        </is>
      </c>
      <c r="G74" t="n">
        <v>10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HYPERLINK("https://klasma.github.io/Logging_1784/artfynd/A 74218-2021 artfynd.xlsx", "A 74218-2021")</f>
        <v/>
      </c>
      <c r="T74">
        <f>HYPERLINK("https://klasma.github.io/Logging_1784/kartor/A 74218-2021 karta.png", "A 74218-2021")</f>
        <v/>
      </c>
      <c r="V74">
        <f>HYPERLINK("https://klasma.github.io/Logging_1784/klagomål/A 74218-2021 FSC-klagomål.docx", "A 74218-2021")</f>
        <v/>
      </c>
      <c r="W74">
        <f>HYPERLINK("https://klasma.github.io/Logging_1784/klagomålsmail/A 74218-2021 FSC-klagomål mail.docx", "A 74218-2021")</f>
        <v/>
      </c>
      <c r="X74">
        <f>HYPERLINK("https://klasma.github.io/Logging_1784/tillsyn/A 74218-2021 tillsynsbegäran.docx", "A 74218-2021")</f>
        <v/>
      </c>
      <c r="Y74">
        <f>HYPERLINK("https://klasma.github.io/Logging_1784/tillsynsmail/A 74218-2021 tillsynsbegäran mail.docx", "A 74218-2021")</f>
        <v/>
      </c>
      <c r="Z74">
        <f>HYPERLINK("https://klasma.github.io/Logging_1784/fåglar/A 74218-2021 prioriterade fågelarter.docx", "A 74218-2021")</f>
        <v/>
      </c>
    </row>
    <row r="75" ht="15" customHeight="1">
      <c r="A75" t="inlineStr">
        <is>
          <t>A 6814-2022</t>
        </is>
      </c>
      <c r="B75" s="1" t="n">
        <v>44602</v>
      </c>
      <c r="C75" s="1" t="n">
        <v>45844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6814-2022 artfynd.xlsx", "A 6814-2022")</f>
        <v/>
      </c>
      <c r="T75">
        <f>HYPERLINK("https://klasma.github.io/Logging_1784/kartor/A 6814-2022 karta.png", "A 6814-2022")</f>
        <v/>
      </c>
      <c r="V75">
        <f>HYPERLINK("https://klasma.github.io/Logging_1784/klagomål/A 6814-2022 FSC-klagomål.docx", "A 6814-2022")</f>
        <v/>
      </c>
      <c r="W75">
        <f>HYPERLINK("https://klasma.github.io/Logging_1784/klagomålsmail/A 6814-2022 FSC-klagomål mail.docx", "A 6814-2022")</f>
        <v/>
      </c>
      <c r="X75">
        <f>HYPERLINK("https://klasma.github.io/Logging_1784/tillsyn/A 6814-2022 tillsynsbegäran.docx", "A 6814-2022")</f>
        <v/>
      </c>
      <c r="Y75">
        <f>HYPERLINK("https://klasma.github.io/Logging_1784/tillsynsmail/A 6814-2022 tillsynsbegäran mail.docx", "A 6814-2022")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45844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24756-2022</t>
        </is>
      </c>
      <c r="B77" s="1" t="n">
        <v>44728</v>
      </c>
      <c r="C77" s="1" t="n">
        <v>45844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18.2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HYPERLINK("https://klasma.github.io/Logging_1784/artfynd/A 24756-2022 artfynd.xlsx", "A 24756-2022")</f>
        <v/>
      </c>
      <c r="T77">
        <f>HYPERLINK("https://klasma.github.io/Logging_1784/kartor/A 24756-2022 karta.png", "A 24756-2022")</f>
        <v/>
      </c>
      <c r="V77">
        <f>HYPERLINK("https://klasma.github.io/Logging_1784/klagomål/A 24756-2022 FSC-klagomål.docx", "A 24756-2022")</f>
        <v/>
      </c>
      <c r="W77">
        <f>HYPERLINK("https://klasma.github.io/Logging_1784/klagomålsmail/A 24756-2022 FSC-klagomål mail.docx", "A 24756-2022")</f>
        <v/>
      </c>
      <c r="X77">
        <f>HYPERLINK("https://klasma.github.io/Logging_1784/tillsyn/A 24756-2022 tillsynsbegäran.docx", "A 24756-2022")</f>
        <v/>
      </c>
      <c r="Y77">
        <f>HYPERLINK("https://klasma.github.io/Logging_1784/tillsynsmail/A 24756-2022 tillsynsbegäran mail.docx", "A 24756-2022")</f>
        <v/>
      </c>
      <c r="Z77">
        <f>HYPERLINK("https://klasma.github.io/Logging_1784/fåglar/A 24756-2022 prioriterade fågelarter.docx", "A 24756-2022")</f>
        <v/>
      </c>
    </row>
    <row r="78" ht="15" customHeight="1">
      <c r="A78" t="inlineStr">
        <is>
          <t>A 46927-2022</t>
        </is>
      </c>
      <c r="B78" s="1" t="n">
        <v>44851</v>
      </c>
      <c r="C78" s="1" t="n">
        <v>45844</v>
      </c>
      <c r="D78" t="inlineStr">
        <is>
          <t>VÄRMLANDS LÄN</t>
        </is>
      </c>
      <c r="E78" t="inlineStr">
        <is>
          <t>ARVIKA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46927-2022 artfynd.xlsx", "A 46927-2022")</f>
        <v/>
      </c>
      <c r="T78">
        <f>HYPERLINK("https://klasma.github.io/Logging_1784/kartor/A 46927-2022 karta.png", "A 46927-2022")</f>
        <v/>
      </c>
      <c r="U78">
        <f>HYPERLINK("https://klasma.github.io/Logging_1784/knärot/A 46927-2022 karta knärot.png", "A 46927-2022")</f>
        <v/>
      </c>
      <c r="V78">
        <f>HYPERLINK("https://klasma.github.io/Logging_1784/klagomål/A 46927-2022 FSC-klagomål.docx", "A 46927-2022")</f>
        <v/>
      </c>
      <c r="W78">
        <f>HYPERLINK("https://klasma.github.io/Logging_1784/klagomålsmail/A 46927-2022 FSC-klagomål mail.docx", "A 46927-2022")</f>
        <v/>
      </c>
      <c r="X78">
        <f>HYPERLINK("https://klasma.github.io/Logging_1784/tillsyn/A 46927-2022 tillsynsbegäran.docx", "A 46927-2022")</f>
        <v/>
      </c>
      <c r="Y78">
        <f>HYPERLINK("https://klasma.github.io/Logging_1784/tillsynsmail/A 46927-2022 tillsynsbegäran mail.docx", "A 46927-2022")</f>
        <v/>
      </c>
    </row>
    <row r="79" ht="15" customHeight="1">
      <c r="A79" t="inlineStr">
        <is>
          <t>A 47699-2022</t>
        </is>
      </c>
      <c r="B79" s="1" t="n">
        <v>44854</v>
      </c>
      <c r="C79" s="1" t="n">
        <v>45844</v>
      </c>
      <c r="D79" t="inlineStr">
        <is>
          <t>VÄRMLANDS LÄN</t>
        </is>
      </c>
      <c r="E79" t="inlineStr">
        <is>
          <t>ARVIKA</t>
        </is>
      </c>
      <c r="G79" t="n">
        <v>20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HYPERLINK("https://klasma.github.io/Logging_1784/artfynd/A 47699-2022 artfynd.xlsx", "A 47699-2022")</f>
        <v/>
      </c>
      <c r="T79">
        <f>HYPERLINK("https://klasma.github.io/Logging_1784/kartor/A 47699-2022 karta.png", "A 47699-2022")</f>
        <v/>
      </c>
      <c r="V79">
        <f>HYPERLINK("https://klasma.github.io/Logging_1784/klagomål/A 47699-2022 FSC-klagomål.docx", "A 47699-2022")</f>
        <v/>
      </c>
      <c r="W79">
        <f>HYPERLINK("https://klasma.github.io/Logging_1784/klagomålsmail/A 47699-2022 FSC-klagomål mail.docx", "A 47699-2022")</f>
        <v/>
      </c>
      <c r="X79">
        <f>HYPERLINK("https://klasma.github.io/Logging_1784/tillsyn/A 47699-2022 tillsynsbegäran.docx", "A 47699-2022")</f>
        <v/>
      </c>
      <c r="Y79">
        <f>HYPERLINK("https://klasma.github.io/Logging_1784/tillsynsmail/A 47699-2022 tillsynsbegäran mail.docx", "A 47699-2022")</f>
        <v/>
      </c>
    </row>
    <row r="80" ht="15" customHeight="1">
      <c r="A80" t="inlineStr">
        <is>
          <t>A 56676-2022</t>
        </is>
      </c>
      <c r="B80" s="1" t="n">
        <v>44893</v>
      </c>
      <c r="C80" s="1" t="n">
        <v>45844</v>
      </c>
      <c r="D80" t="inlineStr">
        <is>
          <t>VÄRMLANDS LÄN</t>
        </is>
      </c>
      <c r="E80" t="inlineStr">
        <is>
          <t>ARVIKA</t>
        </is>
      </c>
      <c r="F80" t="inlineStr">
        <is>
          <t>Övriga Aktiebolag</t>
        </is>
      </c>
      <c r="G80" t="n">
        <v>5.2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56676-2022 artfynd.xlsx", "A 56676-2022")</f>
        <v/>
      </c>
      <c r="T80">
        <f>HYPERLINK("https://klasma.github.io/Logging_1784/kartor/A 56676-2022 karta.png", "A 56676-2022")</f>
        <v/>
      </c>
      <c r="U80">
        <f>HYPERLINK("https://klasma.github.io/Logging_1784/knärot/A 56676-2022 karta knärot.png", "A 56676-2022")</f>
        <v/>
      </c>
      <c r="V80">
        <f>HYPERLINK("https://klasma.github.io/Logging_1784/klagomål/A 56676-2022 FSC-klagomål.docx", "A 56676-2022")</f>
        <v/>
      </c>
      <c r="W80">
        <f>HYPERLINK("https://klasma.github.io/Logging_1784/klagomålsmail/A 56676-2022 FSC-klagomål mail.docx", "A 56676-2022")</f>
        <v/>
      </c>
      <c r="X80">
        <f>HYPERLINK("https://klasma.github.io/Logging_1784/tillsyn/A 56676-2022 tillsynsbegäran.docx", "A 56676-2022")</f>
        <v/>
      </c>
      <c r="Y80">
        <f>HYPERLINK("https://klasma.github.io/Logging_1784/tillsynsmail/A 56676-2022 tillsynsbegäran mail.docx", "A 56676-2022")</f>
        <v/>
      </c>
    </row>
    <row r="81" ht="15" customHeight="1">
      <c r="A81" t="inlineStr">
        <is>
          <t>A 60602-2022</t>
        </is>
      </c>
      <c r="B81" s="1" t="n">
        <v>44911</v>
      </c>
      <c r="C81" s="1" t="n">
        <v>45844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23.3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60602-2022 artfynd.xlsx", "A 60602-2022")</f>
        <v/>
      </c>
      <c r="T81">
        <f>HYPERLINK("https://klasma.github.io/Logging_1784/kartor/A 60602-2022 karta.png", "A 60602-2022")</f>
        <v/>
      </c>
      <c r="V81">
        <f>HYPERLINK("https://klasma.github.io/Logging_1784/klagomål/A 60602-2022 FSC-klagomål.docx", "A 60602-2022")</f>
        <v/>
      </c>
      <c r="W81">
        <f>HYPERLINK("https://klasma.github.io/Logging_1784/klagomålsmail/A 60602-2022 FSC-klagomål mail.docx", "A 60602-2022")</f>
        <v/>
      </c>
      <c r="X81">
        <f>HYPERLINK("https://klasma.github.io/Logging_1784/tillsyn/A 60602-2022 tillsynsbegäran.docx", "A 60602-2022")</f>
        <v/>
      </c>
      <c r="Y81">
        <f>HYPERLINK("https://klasma.github.io/Logging_1784/tillsynsmail/A 60602-2022 tillsynsbegäran mail.docx", "A 60602-2022")</f>
        <v/>
      </c>
      <c r="Z81">
        <f>HYPERLINK("https://klasma.github.io/Logging_1784/fåglar/A 60602-2022 prioriterade fågelarter.docx", "A 60602-2022")</f>
        <v/>
      </c>
    </row>
    <row r="82" ht="15" customHeight="1">
      <c r="A82" t="inlineStr">
        <is>
          <t>A 8525-2023</t>
        </is>
      </c>
      <c r="B82" s="1" t="n">
        <v>44977</v>
      </c>
      <c r="C82" s="1" t="n">
        <v>45844</v>
      </c>
      <c r="D82" t="inlineStr">
        <is>
          <t>VÄRMLANDS LÄN</t>
        </is>
      </c>
      <c r="E82" t="inlineStr">
        <is>
          <t>ARVIKA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8525-2023 artfynd.xlsx", "A 8525-2023")</f>
        <v/>
      </c>
      <c r="T82">
        <f>HYPERLINK("https://klasma.github.io/Logging_1784/kartor/A 8525-2023 karta.png", "A 8525-2023")</f>
        <v/>
      </c>
      <c r="U82">
        <f>HYPERLINK("https://klasma.github.io/Logging_1784/knärot/A 8525-2023 karta knärot.png", "A 8525-2023")</f>
        <v/>
      </c>
      <c r="V82">
        <f>HYPERLINK("https://klasma.github.io/Logging_1784/klagomål/A 8525-2023 FSC-klagomål.docx", "A 8525-2023")</f>
        <v/>
      </c>
      <c r="W82">
        <f>HYPERLINK("https://klasma.github.io/Logging_1784/klagomålsmail/A 8525-2023 FSC-klagomål mail.docx", "A 8525-2023")</f>
        <v/>
      </c>
      <c r="X82">
        <f>HYPERLINK("https://klasma.github.io/Logging_1784/tillsyn/A 8525-2023 tillsynsbegäran.docx", "A 8525-2023")</f>
        <v/>
      </c>
      <c r="Y82">
        <f>HYPERLINK("https://klasma.github.io/Logging_1784/tillsynsmail/A 8525-2023 tillsynsbegäran mail.docx", "A 8525-2023")</f>
        <v/>
      </c>
    </row>
    <row r="83" ht="15" customHeight="1">
      <c r="A83" t="inlineStr">
        <is>
          <t>A 10814-2023</t>
        </is>
      </c>
      <c r="B83" s="1" t="n">
        <v>44990</v>
      </c>
      <c r="C83" s="1" t="n">
        <v>45844</v>
      </c>
      <c r="D83" t="inlineStr">
        <is>
          <t>VÄRMLANDS LÄN</t>
        </is>
      </c>
      <c r="E83" t="inlineStr">
        <is>
          <t>ARVIKA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Ryl</t>
        </is>
      </c>
      <c r="S83">
        <f>HYPERLINK("https://klasma.github.io/Logging_1784/artfynd/A 10814-2023 artfynd.xlsx", "A 10814-2023")</f>
        <v/>
      </c>
      <c r="T83">
        <f>HYPERLINK("https://klasma.github.io/Logging_1784/kartor/A 10814-2023 karta.png", "A 10814-2023")</f>
        <v/>
      </c>
      <c r="V83">
        <f>HYPERLINK("https://klasma.github.io/Logging_1784/klagomål/A 10814-2023 FSC-klagomål.docx", "A 10814-2023")</f>
        <v/>
      </c>
      <c r="W83">
        <f>HYPERLINK("https://klasma.github.io/Logging_1784/klagomålsmail/A 10814-2023 FSC-klagomål mail.docx", "A 10814-2023")</f>
        <v/>
      </c>
      <c r="X83">
        <f>HYPERLINK("https://klasma.github.io/Logging_1784/tillsyn/A 10814-2023 tillsynsbegäran.docx", "A 10814-2023")</f>
        <v/>
      </c>
      <c r="Y83">
        <f>HYPERLINK("https://klasma.github.io/Logging_1784/tillsynsmail/A 10814-2023 tillsynsbegäran mail.docx", "A 10814-2023")</f>
        <v/>
      </c>
    </row>
    <row r="84" ht="15" customHeight="1">
      <c r="A84" t="inlineStr">
        <is>
          <t>A 15145-2023</t>
        </is>
      </c>
      <c r="B84" s="1" t="n">
        <v>45016</v>
      </c>
      <c r="C84" s="1" t="n">
        <v>45844</v>
      </c>
      <c r="D84" t="inlineStr">
        <is>
          <t>VÄRMLANDS LÄN</t>
        </is>
      </c>
      <c r="E84" t="inlineStr">
        <is>
          <t>ARVIKA</t>
        </is>
      </c>
      <c r="G84" t="n">
        <v>2.9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15145-2023 artfynd.xlsx", "A 15145-2023")</f>
        <v/>
      </c>
      <c r="T84">
        <f>HYPERLINK("https://klasma.github.io/Logging_1784/kartor/A 15145-2023 karta.png", "A 15145-2023")</f>
        <v/>
      </c>
      <c r="U84">
        <f>HYPERLINK("https://klasma.github.io/Logging_1784/knärot/A 15145-2023 karta knärot.png", "A 15145-2023")</f>
        <v/>
      </c>
      <c r="V84">
        <f>HYPERLINK("https://klasma.github.io/Logging_1784/klagomål/A 15145-2023 FSC-klagomål.docx", "A 15145-2023")</f>
        <v/>
      </c>
      <c r="W84">
        <f>HYPERLINK("https://klasma.github.io/Logging_1784/klagomålsmail/A 15145-2023 FSC-klagomål mail.docx", "A 15145-2023")</f>
        <v/>
      </c>
      <c r="X84">
        <f>HYPERLINK("https://klasma.github.io/Logging_1784/tillsyn/A 15145-2023 tillsynsbegäran.docx", "A 15145-2023")</f>
        <v/>
      </c>
      <c r="Y84">
        <f>HYPERLINK("https://klasma.github.io/Logging_1784/tillsynsmail/A 15145-2023 tillsynsbegäran mail.docx", "A 15145-2023")</f>
        <v/>
      </c>
    </row>
    <row r="85" ht="15" customHeight="1">
      <c r="A85" t="inlineStr">
        <is>
          <t>A 16391-2023</t>
        </is>
      </c>
      <c r="B85" s="1" t="n">
        <v>45029</v>
      </c>
      <c r="C85" s="1" t="n">
        <v>45844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Kulfibbla</t>
        </is>
      </c>
      <c r="S85">
        <f>HYPERLINK("https://klasma.github.io/Logging_1784/artfynd/A 16391-2023 artfynd.xlsx", "A 16391-2023")</f>
        <v/>
      </c>
      <c r="T85">
        <f>HYPERLINK("https://klasma.github.io/Logging_1784/kartor/A 16391-2023 karta.png", "A 16391-2023")</f>
        <v/>
      </c>
      <c r="V85">
        <f>HYPERLINK("https://klasma.github.io/Logging_1784/klagomål/A 16391-2023 FSC-klagomål.docx", "A 16391-2023")</f>
        <v/>
      </c>
      <c r="W85">
        <f>HYPERLINK("https://klasma.github.io/Logging_1784/klagomålsmail/A 16391-2023 FSC-klagomål mail.docx", "A 16391-2023")</f>
        <v/>
      </c>
      <c r="X85">
        <f>HYPERLINK("https://klasma.github.io/Logging_1784/tillsyn/A 16391-2023 tillsynsbegäran.docx", "A 16391-2023")</f>
        <v/>
      </c>
      <c r="Y85">
        <f>HYPERLINK("https://klasma.github.io/Logging_1784/tillsynsmail/A 16391-2023 tillsynsbegäran mail.docx", "A 16391-2023")</f>
        <v/>
      </c>
    </row>
    <row r="86" ht="15" customHeight="1">
      <c r="A86" t="inlineStr">
        <is>
          <t>A 17398-2023</t>
        </is>
      </c>
      <c r="B86" s="1" t="n">
        <v>45035</v>
      </c>
      <c r="C86" s="1" t="n">
        <v>45844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HYPERLINK("https://klasma.github.io/Logging_1784/artfynd/A 17398-2023 artfynd.xlsx", "A 17398-2023")</f>
        <v/>
      </c>
      <c r="T86">
        <f>HYPERLINK("https://klasma.github.io/Logging_1784/kartor/A 17398-2023 karta.png", "A 17398-2023")</f>
        <v/>
      </c>
      <c r="V86">
        <f>HYPERLINK("https://klasma.github.io/Logging_1784/klagomål/A 17398-2023 FSC-klagomål.docx", "A 17398-2023")</f>
        <v/>
      </c>
      <c r="W86">
        <f>HYPERLINK("https://klasma.github.io/Logging_1784/klagomålsmail/A 17398-2023 FSC-klagomål mail.docx", "A 17398-2023")</f>
        <v/>
      </c>
      <c r="X86">
        <f>HYPERLINK("https://klasma.github.io/Logging_1784/tillsyn/A 17398-2023 tillsynsbegäran.docx", "A 17398-2023")</f>
        <v/>
      </c>
      <c r="Y86">
        <f>HYPERLINK("https://klasma.github.io/Logging_1784/tillsynsmail/A 17398-2023 tillsynsbegäran mail.docx", "A 17398-2023")</f>
        <v/>
      </c>
    </row>
    <row r="87" ht="15" customHeight="1">
      <c r="A87" t="inlineStr">
        <is>
          <t>A 24239-2023</t>
        </is>
      </c>
      <c r="B87" s="1" t="n">
        <v>45079</v>
      </c>
      <c r="C87" s="1" t="n">
        <v>45844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24239-2023 artfynd.xlsx", "A 24239-2023")</f>
        <v/>
      </c>
      <c r="T87">
        <f>HYPERLINK("https://klasma.github.io/Logging_1784/kartor/A 24239-2023 karta.png", "A 24239-2023")</f>
        <v/>
      </c>
      <c r="U87">
        <f>HYPERLINK("https://klasma.github.io/Logging_1784/knärot/A 24239-2023 karta knärot.png", "A 24239-2023")</f>
        <v/>
      </c>
      <c r="V87">
        <f>HYPERLINK("https://klasma.github.io/Logging_1784/klagomål/A 24239-2023 FSC-klagomål.docx", "A 24239-2023")</f>
        <v/>
      </c>
      <c r="W87">
        <f>HYPERLINK("https://klasma.github.io/Logging_1784/klagomålsmail/A 24239-2023 FSC-klagomål mail.docx", "A 24239-2023")</f>
        <v/>
      </c>
      <c r="X87">
        <f>HYPERLINK("https://klasma.github.io/Logging_1784/tillsyn/A 24239-2023 tillsynsbegäran.docx", "A 24239-2023")</f>
        <v/>
      </c>
      <c r="Y87">
        <f>HYPERLINK("https://klasma.github.io/Logging_1784/tillsynsmail/A 24239-2023 tillsynsbegäran mail.docx", "A 24239-2023")</f>
        <v/>
      </c>
    </row>
    <row r="88" ht="15" customHeight="1">
      <c r="A88" t="inlineStr">
        <is>
          <t>A 25913-2023</t>
        </is>
      </c>
      <c r="B88" s="1" t="n">
        <v>45090</v>
      </c>
      <c r="C88" s="1" t="n">
        <v>45844</v>
      </c>
      <c r="D88" t="inlineStr">
        <is>
          <t>VÄRMLANDS LÄN</t>
        </is>
      </c>
      <c r="E88" t="inlineStr">
        <is>
          <t>ARVIKA</t>
        </is>
      </c>
      <c r="G88" t="n">
        <v>4.3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Gråspett</t>
        </is>
      </c>
      <c r="S88">
        <f>HYPERLINK("https://klasma.github.io/Logging_1784/artfynd/A 25913-2023 artfynd.xlsx", "A 25913-2023")</f>
        <v/>
      </c>
      <c r="T88">
        <f>HYPERLINK("https://klasma.github.io/Logging_1784/kartor/A 25913-2023 karta.png", "A 25913-2023")</f>
        <v/>
      </c>
      <c r="V88">
        <f>HYPERLINK("https://klasma.github.io/Logging_1784/klagomål/A 25913-2023 FSC-klagomål.docx", "A 25913-2023")</f>
        <v/>
      </c>
      <c r="W88">
        <f>HYPERLINK("https://klasma.github.io/Logging_1784/klagomålsmail/A 25913-2023 FSC-klagomål mail.docx", "A 25913-2023")</f>
        <v/>
      </c>
      <c r="X88">
        <f>HYPERLINK("https://klasma.github.io/Logging_1784/tillsyn/A 25913-2023 tillsynsbegäran.docx", "A 25913-2023")</f>
        <v/>
      </c>
      <c r="Y88">
        <f>HYPERLINK("https://klasma.github.io/Logging_1784/tillsynsmail/A 25913-2023 tillsynsbegäran mail.docx", "A 25913-2023")</f>
        <v/>
      </c>
      <c r="Z88">
        <f>HYPERLINK("https://klasma.github.io/Logging_1784/fåglar/A 25913-2023 prioriterade fågelarter.docx", "A 25913-2023")</f>
        <v/>
      </c>
    </row>
    <row r="89" ht="15" customHeight="1">
      <c r="A89" t="inlineStr">
        <is>
          <t>A 32877-2023</t>
        </is>
      </c>
      <c r="B89" s="1" t="n">
        <v>45124</v>
      </c>
      <c r="C89" s="1" t="n">
        <v>45844</v>
      </c>
      <c r="D89" t="inlineStr">
        <is>
          <t>VÄRMLANDS LÄN</t>
        </is>
      </c>
      <c r="E89" t="inlineStr">
        <is>
          <t>ARVIKA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Gultoppig fingersvamp</t>
        </is>
      </c>
      <c r="S89">
        <f>HYPERLINK("https://klasma.github.io/Logging_1784/artfynd/A 32877-2023 artfynd.xlsx", "A 32877-2023")</f>
        <v/>
      </c>
      <c r="T89">
        <f>HYPERLINK("https://klasma.github.io/Logging_1784/kartor/A 32877-2023 karta.png", "A 32877-2023")</f>
        <v/>
      </c>
      <c r="U89">
        <f>HYPERLINK("https://klasma.github.io/Logging_1784/knärot/A 32877-2023 karta knärot.png", "A 32877-2023")</f>
        <v/>
      </c>
      <c r="V89">
        <f>HYPERLINK("https://klasma.github.io/Logging_1784/klagomål/A 32877-2023 FSC-klagomål.docx", "A 32877-2023")</f>
        <v/>
      </c>
      <c r="W89">
        <f>HYPERLINK("https://klasma.github.io/Logging_1784/klagomålsmail/A 32877-2023 FSC-klagomål mail.docx", "A 32877-2023")</f>
        <v/>
      </c>
      <c r="X89">
        <f>HYPERLINK("https://klasma.github.io/Logging_1784/tillsyn/A 32877-2023 tillsynsbegäran.docx", "A 32877-2023")</f>
        <v/>
      </c>
      <c r="Y89">
        <f>HYPERLINK("https://klasma.github.io/Logging_1784/tillsynsmail/A 32877-2023 tillsynsbegäran mail.docx", "A 32877-2023")</f>
        <v/>
      </c>
    </row>
    <row r="90" ht="15" customHeight="1">
      <c r="A90" t="inlineStr">
        <is>
          <t>A 43388-2023</t>
        </is>
      </c>
      <c r="B90" s="1" t="n">
        <v>45183</v>
      </c>
      <c r="C90" s="1" t="n">
        <v>45844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43388-2023 artfynd.xlsx", "A 43388-2023")</f>
        <v/>
      </c>
      <c r="T90">
        <f>HYPERLINK("https://klasma.github.io/Logging_1784/kartor/A 43388-2023 karta.png", "A 43388-2023")</f>
        <v/>
      </c>
      <c r="U90">
        <f>HYPERLINK("https://klasma.github.io/Logging_1784/knärot/A 43388-2023 karta knärot.png", "A 43388-2023")</f>
        <v/>
      </c>
      <c r="V90">
        <f>HYPERLINK("https://klasma.github.io/Logging_1784/klagomål/A 43388-2023 FSC-klagomål.docx", "A 43388-2023")</f>
        <v/>
      </c>
      <c r="W90">
        <f>HYPERLINK("https://klasma.github.io/Logging_1784/klagomålsmail/A 43388-2023 FSC-klagomål mail.docx", "A 43388-2023")</f>
        <v/>
      </c>
      <c r="X90">
        <f>HYPERLINK("https://klasma.github.io/Logging_1784/tillsyn/A 43388-2023 tillsynsbegäran.docx", "A 43388-2023")</f>
        <v/>
      </c>
      <c r="Y90">
        <f>HYPERLINK("https://klasma.github.io/Logging_1784/tillsynsmail/A 43388-2023 tillsynsbegäran mail.docx", "A 43388-2023")</f>
        <v/>
      </c>
    </row>
    <row r="91" ht="15" customHeight="1">
      <c r="A91" t="inlineStr">
        <is>
          <t>A 47141-2023</t>
        </is>
      </c>
      <c r="B91" s="1" t="n">
        <v>45201</v>
      </c>
      <c r="C91" s="1" t="n">
        <v>45844</v>
      </c>
      <c r="D91" t="inlineStr">
        <is>
          <t>VÄRMLANDS LÄN</t>
        </is>
      </c>
      <c r="E91" t="inlineStr">
        <is>
          <t>ARVIKA</t>
        </is>
      </c>
      <c r="G91" t="n">
        <v>3.7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47141-2023 artfynd.xlsx", "A 47141-2023")</f>
        <v/>
      </c>
      <c r="T91">
        <f>HYPERLINK("https://klasma.github.io/Logging_1784/kartor/A 47141-2023 karta.png", "A 47141-2023")</f>
        <v/>
      </c>
      <c r="U91">
        <f>HYPERLINK("https://klasma.github.io/Logging_1784/knärot/A 47141-2023 karta knärot.png", "A 47141-2023")</f>
        <v/>
      </c>
      <c r="V91">
        <f>HYPERLINK("https://klasma.github.io/Logging_1784/klagomål/A 47141-2023 FSC-klagomål.docx", "A 47141-2023")</f>
        <v/>
      </c>
      <c r="W91">
        <f>HYPERLINK("https://klasma.github.io/Logging_1784/klagomålsmail/A 47141-2023 FSC-klagomål mail.docx", "A 47141-2023")</f>
        <v/>
      </c>
      <c r="X91">
        <f>HYPERLINK("https://klasma.github.io/Logging_1784/tillsyn/A 47141-2023 tillsynsbegäran.docx", "A 47141-2023")</f>
        <v/>
      </c>
      <c r="Y91">
        <f>HYPERLINK("https://klasma.github.io/Logging_1784/tillsynsmail/A 47141-2023 tillsynsbegäran mail.docx", "A 47141-2023")</f>
        <v/>
      </c>
    </row>
    <row r="92" ht="15" customHeight="1">
      <c r="A92" t="inlineStr">
        <is>
          <t>A 48464-2023</t>
        </is>
      </c>
      <c r="B92" s="1" t="n">
        <v>45206</v>
      </c>
      <c r="C92" s="1" t="n">
        <v>45844</v>
      </c>
      <c r="D92" t="inlineStr">
        <is>
          <t>VÄRMLANDS LÄN</t>
        </is>
      </c>
      <c r="E92" t="inlineStr">
        <is>
          <t>ARVIKA</t>
        </is>
      </c>
      <c r="G92" t="n">
        <v>7.9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48464-2023 artfynd.xlsx", "A 48464-2023")</f>
        <v/>
      </c>
      <c r="T92">
        <f>HYPERLINK("https://klasma.github.io/Logging_1784/kartor/A 48464-2023 karta.png", "A 48464-2023")</f>
        <v/>
      </c>
      <c r="U92">
        <f>HYPERLINK("https://klasma.github.io/Logging_1784/knärot/A 48464-2023 karta knärot.png", "A 48464-2023")</f>
        <v/>
      </c>
      <c r="V92">
        <f>HYPERLINK("https://klasma.github.io/Logging_1784/klagomål/A 48464-2023 FSC-klagomål.docx", "A 48464-2023")</f>
        <v/>
      </c>
      <c r="W92">
        <f>HYPERLINK("https://klasma.github.io/Logging_1784/klagomålsmail/A 48464-2023 FSC-klagomål mail.docx", "A 48464-2023")</f>
        <v/>
      </c>
      <c r="X92">
        <f>HYPERLINK("https://klasma.github.io/Logging_1784/tillsyn/A 48464-2023 tillsynsbegäran.docx", "A 48464-2023")</f>
        <v/>
      </c>
      <c r="Y92">
        <f>HYPERLINK("https://klasma.github.io/Logging_1784/tillsynsmail/A 48464-2023 tillsynsbegäran mail.docx", "A 48464-2023")</f>
        <v/>
      </c>
    </row>
    <row r="93" ht="15" customHeight="1">
      <c r="A93" t="inlineStr">
        <is>
          <t>A 53630-2023</t>
        </is>
      </c>
      <c r="B93" s="1" t="n">
        <v>45230</v>
      </c>
      <c r="C93" s="1" t="n">
        <v>45844</v>
      </c>
      <c r="D93" t="inlineStr">
        <is>
          <t>VÄRMLANDS LÄN</t>
        </is>
      </c>
      <c r="E93" t="inlineStr">
        <is>
          <t>ARVIKA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HYPERLINK("https://klasma.github.io/Logging_1784/artfynd/A 53630-2023 artfynd.xlsx", "A 53630-2023")</f>
        <v/>
      </c>
      <c r="T93">
        <f>HYPERLINK("https://klasma.github.io/Logging_1784/kartor/A 53630-2023 karta.png", "A 53630-2023")</f>
        <v/>
      </c>
      <c r="V93">
        <f>HYPERLINK("https://klasma.github.io/Logging_1784/klagomål/A 53630-2023 FSC-klagomål.docx", "A 53630-2023")</f>
        <v/>
      </c>
      <c r="W93">
        <f>HYPERLINK("https://klasma.github.io/Logging_1784/klagomålsmail/A 53630-2023 FSC-klagomål mail.docx", "A 53630-2023")</f>
        <v/>
      </c>
      <c r="X93">
        <f>HYPERLINK("https://klasma.github.io/Logging_1784/tillsyn/A 53630-2023 tillsynsbegäran.docx", "A 53630-2023")</f>
        <v/>
      </c>
      <c r="Y93">
        <f>HYPERLINK("https://klasma.github.io/Logging_1784/tillsynsmail/A 53630-2023 tillsynsbegäran mail.docx", "A 53630-2023")</f>
        <v/>
      </c>
    </row>
    <row r="94" ht="15" customHeight="1">
      <c r="A94" t="inlineStr">
        <is>
          <t>A 61004-2023</t>
        </is>
      </c>
      <c r="B94" s="1" t="n">
        <v>45261</v>
      </c>
      <c r="C94" s="1" t="n">
        <v>45844</v>
      </c>
      <c r="D94" t="inlineStr">
        <is>
          <t>VÄRMLANDS LÄN</t>
        </is>
      </c>
      <c r="E94" t="inlineStr">
        <is>
          <t>ARVIKA</t>
        </is>
      </c>
      <c r="G94" t="n">
        <v>3.6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61004-2023 artfynd.xlsx", "A 61004-2023")</f>
        <v/>
      </c>
      <c r="T94">
        <f>HYPERLINK("https://klasma.github.io/Logging_1784/kartor/A 61004-2023 karta.png", "A 61004-2023")</f>
        <v/>
      </c>
      <c r="U94">
        <f>HYPERLINK("https://klasma.github.io/Logging_1784/knärot/A 61004-2023 karta knärot.png", "A 61004-2023")</f>
        <v/>
      </c>
      <c r="V94">
        <f>HYPERLINK("https://klasma.github.io/Logging_1784/klagomål/A 61004-2023 FSC-klagomål.docx", "A 61004-2023")</f>
        <v/>
      </c>
      <c r="W94">
        <f>HYPERLINK("https://klasma.github.io/Logging_1784/klagomålsmail/A 61004-2023 FSC-klagomål mail.docx", "A 61004-2023")</f>
        <v/>
      </c>
      <c r="X94">
        <f>HYPERLINK("https://klasma.github.io/Logging_1784/tillsyn/A 61004-2023 tillsynsbegäran.docx", "A 61004-2023")</f>
        <v/>
      </c>
      <c r="Y94">
        <f>HYPERLINK("https://klasma.github.io/Logging_1784/tillsynsmail/A 61004-2023 tillsynsbegäran mail.docx", "A 61004-2023")</f>
        <v/>
      </c>
    </row>
    <row r="95" ht="15" customHeight="1">
      <c r="A95" t="inlineStr">
        <is>
          <t>A 9629-2024</t>
        </is>
      </c>
      <c r="B95" s="1" t="n">
        <v>45362</v>
      </c>
      <c r="C95" s="1" t="n">
        <v>45844</v>
      </c>
      <c r="D95" t="inlineStr">
        <is>
          <t>VÄRMLANDS LÄN</t>
        </is>
      </c>
      <c r="E95" t="inlineStr">
        <is>
          <t>ARVIKA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9629-2024 artfynd.xlsx", "A 9629-2024")</f>
        <v/>
      </c>
      <c r="T95">
        <f>HYPERLINK("https://klasma.github.io/Logging_1784/kartor/A 9629-2024 karta.png", "A 9629-2024")</f>
        <v/>
      </c>
      <c r="V95">
        <f>HYPERLINK("https://klasma.github.io/Logging_1784/klagomål/A 9629-2024 FSC-klagomål.docx", "A 9629-2024")</f>
        <v/>
      </c>
      <c r="W95">
        <f>HYPERLINK("https://klasma.github.io/Logging_1784/klagomålsmail/A 9629-2024 FSC-klagomål mail.docx", "A 9629-2024")</f>
        <v/>
      </c>
      <c r="X95">
        <f>HYPERLINK("https://klasma.github.io/Logging_1784/tillsyn/A 9629-2024 tillsynsbegäran.docx", "A 9629-2024")</f>
        <v/>
      </c>
      <c r="Y95">
        <f>HYPERLINK("https://klasma.github.io/Logging_1784/tillsynsmail/A 9629-2024 tillsynsbegäran mail.docx", "A 9629-2024")</f>
        <v/>
      </c>
      <c r="Z95">
        <f>HYPERLINK("https://klasma.github.io/Logging_1784/fåglar/A 9629-2024 prioriterade fågelarter.docx", "A 9629-2024")</f>
        <v/>
      </c>
    </row>
    <row r="96" ht="15" customHeight="1">
      <c r="A96" t="inlineStr">
        <is>
          <t>A 9628-2024</t>
        </is>
      </c>
      <c r="B96" s="1" t="n">
        <v>45362</v>
      </c>
      <c r="C96" s="1" t="n">
        <v>45844</v>
      </c>
      <c r="D96" t="inlineStr">
        <is>
          <t>VÄRMLANDS LÄN</t>
        </is>
      </c>
      <c r="E96" t="inlineStr">
        <is>
          <t>ARVIKA</t>
        </is>
      </c>
      <c r="G96" t="n">
        <v>2.1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9628-2024 artfynd.xlsx", "A 9628-2024")</f>
        <v/>
      </c>
      <c r="T96">
        <f>HYPERLINK("https://klasma.github.io/Logging_1784/kartor/A 9628-2024 karta.png", "A 9628-2024")</f>
        <v/>
      </c>
      <c r="V96">
        <f>HYPERLINK("https://klasma.github.io/Logging_1784/klagomål/A 9628-2024 FSC-klagomål.docx", "A 9628-2024")</f>
        <v/>
      </c>
      <c r="W96">
        <f>HYPERLINK("https://klasma.github.io/Logging_1784/klagomålsmail/A 9628-2024 FSC-klagomål mail.docx", "A 9628-2024")</f>
        <v/>
      </c>
      <c r="X96">
        <f>HYPERLINK("https://klasma.github.io/Logging_1784/tillsyn/A 9628-2024 tillsynsbegäran.docx", "A 9628-2024")</f>
        <v/>
      </c>
      <c r="Y96">
        <f>HYPERLINK("https://klasma.github.io/Logging_1784/tillsynsmail/A 9628-2024 tillsynsbegäran mail.docx", "A 9628-2024")</f>
        <v/>
      </c>
      <c r="Z96">
        <f>HYPERLINK("https://klasma.github.io/Logging_1784/fåglar/A 9628-2024 prioriterade fågelarter.docx", "A 9628-2024")</f>
        <v/>
      </c>
    </row>
    <row r="97" ht="15" customHeight="1">
      <c r="A97" t="inlineStr">
        <is>
          <t>A 14030-2024</t>
        </is>
      </c>
      <c r="B97" s="1" t="n">
        <v>45392</v>
      </c>
      <c r="C97" s="1" t="n">
        <v>45844</v>
      </c>
      <c r="D97" t="inlineStr">
        <is>
          <t>VÄRMLANDS LÄN</t>
        </is>
      </c>
      <c r="E97" t="inlineStr">
        <is>
          <t>ARVIKA</t>
        </is>
      </c>
      <c r="F97" t="inlineStr">
        <is>
          <t>Kyrkan</t>
        </is>
      </c>
      <c r="G97" t="n">
        <v>32.2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14030-2024 artfynd.xlsx", "A 14030-2024")</f>
        <v/>
      </c>
      <c r="T97">
        <f>HYPERLINK("https://klasma.github.io/Logging_1784/kartor/A 14030-2024 karta.png", "A 14030-2024")</f>
        <v/>
      </c>
      <c r="U97">
        <f>HYPERLINK("https://klasma.github.io/Logging_1784/knärot/A 14030-2024 karta knärot.png", "A 14030-2024")</f>
        <v/>
      </c>
      <c r="V97">
        <f>HYPERLINK("https://klasma.github.io/Logging_1784/klagomål/A 14030-2024 FSC-klagomål.docx", "A 14030-2024")</f>
        <v/>
      </c>
      <c r="W97">
        <f>HYPERLINK("https://klasma.github.io/Logging_1784/klagomålsmail/A 14030-2024 FSC-klagomål mail.docx", "A 14030-2024")</f>
        <v/>
      </c>
      <c r="X97">
        <f>HYPERLINK("https://klasma.github.io/Logging_1784/tillsyn/A 14030-2024 tillsynsbegäran.docx", "A 14030-2024")</f>
        <v/>
      </c>
      <c r="Y97">
        <f>HYPERLINK("https://klasma.github.io/Logging_1784/tillsynsmail/A 14030-2024 tillsynsbegäran mail.docx", "A 14030-2024")</f>
        <v/>
      </c>
    </row>
    <row r="98" ht="15" customHeight="1">
      <c r="A98" t="inlineStr">
        <is>
          <t>A 17928-2024</t>
        </is>
      </c>
      <c r="B98" s="1" t="n">
        <v>45419</v>
      </c>
      <c r="C98" s="1" t="n">
        <v>45844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Bårdlav</t>
        </is>
      </c>
      <c r="S98">
        <f>HYPERLINK("https://klasma.github.io/Logging_1784/artfynd/A 17928-2024 artfynd.xlsx", "A 17928-2024")</f>
        <v/>
      </c>
      <c r="T98">
        <f>HYPERLINK("https://klasma.github.io/Logging_1784/kartor/A 17928-2024 karta.png", "A 17928-2024")</f>
        <v/>
      </c>
      <c r="V98">
        <f>HYPERLINK("https://klasma.github.io/Logging_1784/klagomål/A 17928-2024 FSC-klagomål.docx", "A 17928-2024")</f>
        <v/>
      </c>
      <c r="W98">
        <f>HYPERLINK("https://klasma.github.io/Logging_1784/klagomålsmail/A 17928-2024 FSC-klagomål mail.docx", "A 17928-2024")</f>
        <v/>
      </c>
      <c r="X98">
        <f>HYPERLINK("https://klasma.github.io/Logging_1784/tillsyn/A 17928-2024 tillsynsbegäran.docx", "A 17928-2024")</f>
        <v/>
      </c>
      <c r="Y98">
        <f>HYPERLINK("https://klasma.github.io/Logging_1784/tillsynsmail/A 17928-2024 tillsynsbegäran mail.docx", "A 17928-2024")</f>
        <v/>
      </c>
    </row>
    <row r="99" ht="15" customHeight="1">
      <c r="A99" t="inlineStr">
        <is>
          <t>A 19026-2024</t>
        </is>
      </c>
      <c r="B99" s="1" t="n">
        <v>45427</v>
      </c>
      <c r="C99" s="1" t="n">
        <v>45844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Blomkålssvamp</t>
        </is>
      </c>
      <c r="S99">
        <f>HYPERLINK("https://klasma.github.io/Logging_1784/artfynd/A 19026-2024 artfynd.xlsx", "A 19026-2024")</f>
        <v/>
      </c>
      <c r="T99">
        <f>HYPERLINK("https://klasma.github.io/Logging_1784/kartor/A 19026-2024 karta.png", "A 19026-2024")</f>
        <v/>
      </c>
      <c r="V99">
        <f>HYPERLINK("https://klasma.github.io/Logging_1784/klagomål/A 19026-2024 FSC-klagomål.docx", "A 19026-2024")</f>
        <v/>
      </c>
      <c r="W99">
        <f>HYPERLINK("https://klasma.github.io/Logging_1784/klagomålsmail/A 19026-2024 FSC-klagomål mail.docx", "A 19026-2024")</f>
        <v/>
      </c>
      <c r="X99">
        <f>HYPERLINK("https://klasma.github.io/Logging_1784/tillsyn/A 19026-2024 tillsynsbegäran.docx", "A 19026-2024")</f>
        <v/>
      </c>
      <c r="Y99">
        <f>HYPERLINK("https://klasma.github.io/Logging_1784/tillsynsmail/A 19026-2024 tillsynsbegäran mail.docx", "A 19026-2024")</f>
        <v/>
      </c>
    </row>
    <row r="100" ht="15" customHeight="1">
      <c r="A100" t="inlineStr">
        <is>
          <t>A 21252-2024</t>
        </is>
      </c>
      <c r="B100" s="1" t="n">
        <v>45440</v>
      </c>
      <c r="C100" s="1" t="n">
        <v>45844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21252-2024 artfynd.xlsx", "A 21252-2024")</f>
        <v/>
      </c>
      <c r="T100">
        <f>HYPERLINK("https://klasma.github.io/Logging_1784/kartor/A 21252-2024 karta.png", "A 21252-2024")</f>
        <v/>
      </c>
      <c r="U100">
        <f>HYPERLINK("https://klasma.github.io/Logging_1784/knärot/A 21252-2024 karta knärot.png", "A 21252-2024")</f>
        <v/>
      </c>
      <c r="V100">
        <f>HYPERLINK("https://klasma.github.io/Logging_1784/klagomål/A 21252-2024 FSC-klagomål.docx", "A 21252-2024")</f>
        <v/>
      </c>
      <c r="W100">
        <f>HYPERLINK("https://klasma.github.io/Logging_1784/klagomålsmail/A 21252-2024 FSC-klagomål mail.docx", "A 21252-2024")</f>
        <v/>
      </c>
      <c r="X100">
        <f>HYPERLINK("https://klasma.github.io/Logging_1784/tillsyn/A 21252-2024 tillsynsbegäran.docx", "A 21252-2024")</f>
        <v/>
      </c>
      <c r="Y100">
        <f>HYPERLINK("https://klasma.github.io/Logging_1784/tillsynsmail/A 21252-2024 tillsynsbegäran mail.docx", "A 21252-2024")</f>
        <v/>
      </c>
    </row>
    <row r="101" ht="15" customHeight="1">
      <c r="A101" t="inlineStr">
        <is>
          <t>A 36475-2024</t>
        </is>
      </c>
      <c r="B101" s="1" t="n">
        <v>45537</v>
      </c>
      <c r="C101" s="1" t="n">
        <v>45844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Slåttergubbemal</t>
        </is>
      </c>
      <c r="S101">
        <f>HYPERLINK("https://klasma.github.io/Logging_1784/artfynd/A 36475-2024 artfynd.xlsx", "A 36475-2024")</f>
        <v/>
      </c>
      <c r="T101">
        <f>HYPERLINK("https://klasma.github.io/Logging_1784/kartor/A 36475-2024 karta.png", "A 36475-2024")</f>
        <v/>
      </c>
      <c r="V101">
        <f>HYPERLINK("https://klasma.github.io/Logging_1784/klagomål/A 36475-2024 FSC-klagomål.docx", "A 36475-2024")</f>
        <v/>
      </c>
      <c r="W101">
        <f>HYPERLINK("https://klasma.github.io/Logging_1784/klagomålsmail/A 36475-2024 FSC-klagomål mail.docx", "A 36475-2024")</f>
        <v/>
      </c>
      <c r="X101">
        <f>HYPERLINK("https://klasma.github.io/Logging_1784/tillsyn/A 36475-2024 tillsynsbegäran.docx", "A 36475-2024")</f>
        <v/>
      </c>
      <c r="Y101">
        <f>HYPERLINK("https://klasma.github.io/Logging_1784/tillsynsmail/A 36475-2024 tillsynsbegäran mail.docx", "A 36475-2024")</f>
        <v/>
      </c>
    </row>
    <row r="102" ht="15" customHeight="1">
      <c r="A102" t="inlineStr">
        <is>
          <t>A 47217-2024</t>
        </is>
      </c>
      <c r="B102" s="1" t="n">
        <v>45586</v>
      </c>
      <c r="C102" s="1" t="n">
        <v>45844</v>
      </c>
      <c r="D102" t="inlineStr">
        <is>
          <t>VÄRMLANDS LÄN</t>
        </is>
      </c>
      <c r="E102" t="inlineStr">
        <is>
          <t>ARVIKA</t>
        </is>
      </c>
      <c r="G102" t="n">
        <v>5.6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47217-2024 artfynd.xlsx", "A 47217-2024")</f>
        <v/>
      </c>
      <c r="T102">
        <f>HYPERLINK("https://klasma.github.io/Logging_1784/kartor/A 47217-2024 karta.png", "A 47217-2024")</f>
        <v/>
      </c>
      <c r="U102">
        <f>HYPERLINK("https://klasma.github.io/Logging_1784/knärot/A 47217-2024 karta knärot.png", "A 47217-2024")</f>
        <v/>
      </c>
      <c r="V102">
        <f>HYPERLINK("https://klasma.github.io/Logging_1784/klagomål/A 47217-2024 FSC-klagomål.docx", "A 47217-2024")</f>
        <v/>
      </c>
      <c r="W102">
        <f>HYPERLINK("https://klasma.github.io/Logging_1784/klagomålsmail/A 47217-2024 FSC-klagomål mail.docx", "A 47217-2024")</f>
        <v/>
      </c>
      <c r="X102">
        <f>HYPERLINK("https://klasma.github.io/Logging_1784/tillsyn/A 47217-2024 tillsynsbegäran.docx", "A 47217-2024")</f>
        <v/>
      </c>
      <c r="Y102">
        <f>HYPERLINK("https://klasma.github.io/Logging_1784/tillsynsmail/A 47217-2024 tillsynsbegäran mail.docx", "A 47217-2024")</f>
        <v/>
      </c>
    </row>
    <row r="103" ht="15" customHeight="1">
      <c r="A103" t="inlineStr">
        <is>
          <t>A 48010-2024</t>
        </is>
      </c>
      <c r="B103" s="1" t="n">
        <v>45589</v>
      </c>
      <c r="C103" s="1" t="n">
        <v>45844</v>
      </c>
      <c r="D103" t="inlineStr">
        <is>
          <t>VÄRMLANDS LÄN</t>
        </is>
      </c>
      <c r="E103" t="inlineStr">
        <is>
          <t>ARVIKA</t>
        </is>
      </c>
      <c r="G103" t="n">
        <v>6.7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48010-2024 artfynd.xlsx", "A 48010-2024")</f>
        <v/>
      </c>
      <c r="T103">
        <f>HYPERLINK("https://klasma.github.io/Logging_1784/kartor/A 48010-2024 karta.png", "A 48010-2024")</f>
        <v/>
      </c>
      <c r="U103">
        <f>HYPERLINK("https://klasma.github.io/Logging_1784/knärot/A 48010-2024 karta knärot.png", "A 48010-2024")</f>
        <v/>
      </c>
      <c r="V103">
        <f>HYPERLINK("https://klasma.github.io/Logging_1784/klagomål/A 48010-2024 FSC-klagomål.docx", "A 48010-2024")</f>
        <v/>
      </c>
      <c r="W103">
        <f>HYPERLINK("https://klasma.github.io/Logging_1784/klagomålsmail/A 48010-2024 FSC-klagomål mail.docx", "A 48010-2024")</f>
        <v/>
      </c>
      <c r="X103">
        <f>HYPERLINK("https://klasma.github.io/Logging_1784/tillsyn/A 48010-2024 tillsynsbegäran.docx", "A 48010-2024")</f>
        <v/>
      </c>
      <c r="Y103">
        <f>HYPERLINK("https://klasma.github.io/Logging_1784/tillsynsmail/A 48010-2024 tillsynsbegäran mail.docx", "A 48010-2024")</f>
        <v/>
      </c>
    </row>
    <row r="104" ht="15" customHeight="1">
      <c r="A104" t="inlineStr">
        <is>
          <t>A 58108-2024</t>
        </is>
      </c>
      <c r="B104" s="1" t="n">
        <v>45632</v>
      </c>
      <c r="C104" s="1" t="n">
        <v>45844</v>
      </c>
      <c r="D104" t="inlineStr">
        <is>
          <t>VÄRMLANDS LÄN</t>
        </is>
      </c>
      <c r="E104" t="inlineStr">
        <is>
          <t>ARVIKA</t>
        </is>
      </c>
      <c r="G104" t="n">
        <v>10.5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58108-2024 artfynd.xlsx", "A 58108-2024")</f>
        <v/>
      </c>
      <c r="T104">
        <f>HYPERLINK("https://klasma.github.io/Logging_1784/kartor/A 58108-2024 karta.png", "A 58108-2024")</f>
        <v/>
      </c>
      <c r="U104">
        <f>HYPERLINK("https://klasma.github.io/Logging_1784/knärot/A 58108-2024 karta knärot.png", "A 58108-2024")</f>
        <v/>
      </c>
      <c r="V104">
        <f>HYPERLINK("https://klasma.github.io/Logging_1784/klagomål/A 58108-2024 FSC-klagomål.docx", "A 58108-2024")</f>
        <v/>
      </c>
      <c r="W104">
        <f>HYPERLINK("https://klasma.github.io/Logging_1784/klagomålsmail/A 58108-2024 FSC-klagomål mail.docx", "A 58108-2024")</f>
        <v/>
      </c>
      <c r="X104">
        <f>HYPERLINK("https://klasma.github.io/Logging_1784/tillsyn/A 58108-2024 tillsynsbegäran.docx", "A 58108-2024")</f>
        <v/>
      </c>
      <c r="Y104">
        <f>HYPERLINK("https://klasma.github.io/Logging_1784/tillsynsmail/A 58108-2024 tillsynsbegäran mail.docx", "A 58108-2024")</f>
        <v/>
      </c>
    </row>
    <row r="105" ht="15" customHeight="1">
      <c r="A105" t="inlineStr">
        <is>
          <t>A 865-2025</t>
        </is>
      </c>
      <c r="B105" s="1" t="n">
        <v>45665</v>
      </c>
      <c r="C105" s="1" t="n">
        <v>45844</v>
      </c>
      <c r="D105" t="inlineStr">
        <is>
          <t>VÄRMLANDS LÄN</t>
        </is>
      </c>
      <c r="E105" t="inlineStr">
        <is>
          <t>ARVIKA</t>
        </is>
      </c>
      <c r="G105" t="n">
        <v>7.7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HYPERLINK("https://klasma.github.io/Logging_1784/artfynd/A 865-2025 artfynd.xlsx", "A 865-2025")</f>
        <v/>
      </c>
      <c r="T105">
        <f>HYPERLINK("https://klasma.github.io/Logging_1784/kartor/A 865-2025 karta.png", "A 865-2025")</f>
        <v/>
      </c>
      <c r="V105">
        <f>HYPERLINK("https://klasma.github.io/Logging_1784/klagomål/A 865-2025 FSC-klagomål.docx", "A 865-2025")</f>
        <v/>
      </c>
      <c r="W105">
        <f>HYPERLINK("https://klasma.github.io/Logging_1784/klagomålsmail/A 865-2025 FSC-klagomål mail.docx", "A 865-2025")</f>
        <v/>
      </c>
      <c r="X105">
        <f>HYPERLINK("https://klasma.github.io/Logging_1784/tillsyn/A 865-2025 tillsynsbegäran.docx", "A 865-2025")</f>
        <v/>
      </c>
      <c r="Y105">
        <f>HYPERLINK("https://klasma.github.io/Logging_1784/tillsynsmail/A 865-2025 tillsynsbegäran mail.docx", "A 865-2025")</f>
        <v/>
      </c>
    </row>
    <row r="106" ht="15" customHeight="1">
      <c r="A106" t="inlineStr">
        <is>
          <t>A 5779-2025</t>
        </is>
      </c>
      <c r="B106" s="1" t="n">
        <v>45694</v>
      </c>
      <c r="C106" s="1" t="n">
        <v>45844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10.8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HYPERLINK("https://klasma.github.io/Logging_1784/artfynd/A 5779-2025 artfynd.xlsx", "A 5779-2025")</f>
        <v/>
      </c>
      <c r="T106">
        <f>HYPERLINK("https://klasma.github.io/Logging_1784/kartor/A 5779-2025 karta.png", "A 5779-2025")</f>
        <v/>
      </c>
      <c r="V106">
        <f>HYPERLINK("https://klasma.github.io/Logging_1784/klagomål/A 5779-2025 FSC-klagomål.docx", "A 5779-2025")</f>
        <v/>
      </c>
      <c r="W106">
        <f>HYPERLINK("https://klasma.github.io/Logging_1784/klagomålsmail/A 5779-2025 FSC-klagomål mail.docx", "A 5779-2025")</f>
        <v/>
      </c>
      <c r="X106">
        <f>HYPERLINK("https://klasma.github.io/Logging_1784/tillsyn/A 5779-2025 tillsynsbegäran.docx", "A 5779-2025")</f>
        <v/>
      </c>
      <c r="Y106">
        <f>HYPERLINK("https://klasma.github.io/Logging_1784/tillsynsmail/A 5779-2025 tillsynsbegäran mail.docx", "A 5779-2025")</f>
        <v/>
      </c>
    </row>
    <row r="107" ht="15" customHeight="1">
      <c r="A107" t="inlineStr">
        <is>
          <t>A 6966-2025</t>
        </is>
      </c>
      <c r="B107" s="1" t="n">
        <v>45701</v>
      </c>
      <c r="C107" s="1" t="n">
        <v>45844</v>
      </c>
      <c r="D107" t="inlineStr">
        <is>
          <t>VÄRMLANDS LÄN</t>
        </is>
      </c>
      <c r="E107" t="inlineStr">
        <is>
          <t>ARVIKA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6966-2025 artfynd.xlsx", "A 6966-2025")</f>
        <v/>
      </c>
      <c r="T107">
        <f>HYPERLINK("https://klasma.github.io/Logging_1784/kartor/A 6966-2025 karta.png", "A 6966-2025")</f>
        <v/>
      </c>
      <c r="U107">
        <f>HYPERLINK("https://klasma.github.io/Logging_1784/knärot/A 6966-2025 karta knärot.png", "A 6966-2025")</f>
        <v/>
      </c>
      <c r="V107">
        <f>HYPERLINK("https://klasma.github.io/Logging_1784/klagomål/A 6966-2025 FSC-klagomål.docx", "A 6966-2025")</f>
        <v/>
      </c>
      <c r="W107">
        <f>HYPERLINK("https://klasma.github.io/Logging_1784/klagomålsmail/A 6966-2025 FSC-klagomål mail.docx", "A 6966-2025")</f>
        <v/>
      </c>
      <c r="X107">
        <f>HYPERLINK("https://klasma.github.io/Logging_1784/tillsyn/A 6966-2025 tillsynsbegäran.docx", "A 6966-2025")</f>
        <v/>
      </c>
      <c r="Y107">
        <f>HYPERLINK("https://klasma.github.io/Logging_1784/tillsynsmail/A 6966-2025 tillsynsbegäran mail.docx", "A 6966-2025")</f>
        <v/>
      </c>
    </row>
    <row r="108" ht="15" customHeight="1">
      <c r="A108" t="inlineStr">
        <is>
          <t>A 8165-2025</t>
        </is>
      </c>
      <c r="B108" s="1" t="n">
        <v>45708</v>
      </c>
      <c r="C108" s="1" t="n">
        <v>45844</v>
      </c>
      <c r="D108" t="inlineStr">
        <is>
          <t>VÄRMLANDS LÄN</t>
        </is>
      </c>
      <c r="E108" t="inlineStr">
        <is>
          <t>ARVIKA</t>
        </is>
      </c>
      <c r="G108" t="n">
        <v>6.3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HYPERLINK("https://klasma.github.io/Logging_1784/artfynd/A 8165-2025 artfynd.xlsx", "A 8165-2025")</f>
        <v/>
      </c>
      <c r="T108">
        <f>HYPERLINK("https://klasma.github.io/Logging_1784/kartor/A 8165-2025 karta.png", "A 8165-2025")</f>
        <v/>
      </c>
      <c r="U108">
        <f>HYPERLINK("https://klasma.github.io/Logging_1784/knärot/A 8165-2025 karta knärot.png", "A 8165-2025")</f>
        <v/>
      </c>
      <c r="V108">
        <f>HYPERLINK("https://klasma.github.io/Logging_1784/klagomål/A 8165-2025 FSC-klagomål.docx", "A 8165-2025")</f>
        <v/>
      </c>
      <c r="W108">
        <f>HYPERLINK("https://klasma.github.io/Logging_1784/klagomålsmail/A 8165-2025 FSC-klagomål mail.docx", "A 8165-2025")</f>
        <v/>
      </c>
      <c r="X108">
        <f>HYPERLINK("https://klasma.github.io/Logging_1784/tillsyn/A 8165-2025 tillsynsbegäran.docx", "A 8165-2025")</f>
        <v/>
      </c>
      <c r="Y108">
        <f>HYPERLINK("https://klasma.github.io/Logging_1784/tillsynsmail/A 8165-2025 tillsynsbegäran mail.docx", "A 8165-2025")</f>
        <v/>
      </c>
    </row>
    <row r="109" ht="15" customHeight="1">
      <c r="A109" t="inlineStr">
        <is>
          <t>A 9055-2025</t>
        </is>
      </c>
      <c r="B109" s="1" t="n">
        <v>45713</v>
      </c>
      <c r="C109" s="1" t="n">
        <v>45844</v>
      </c>
      <c r="D109" t="inlineStr">
        <is>
          <t>VÄRMLANDS LÄN</t>
        </is>
      </c>
      <c r="E109" t="inlineStr">
        <is>
          <t>ARVIKA</t>
        </is>
      </c>
      <c r="G109" t="n">
        <v>2.4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HYPERLINK("https://klasma.github.io/Logging_1784/artfynd/A 9055-2025 artfynd.xlsx", "A 9055-2025")</f>
        <v/>
      </c>
      <c r="T109">
        <f>HYPERLINK("https://klasma.github.io/Logging_1784/kartor/A 9055-2025 karta.png", "A 9055-2025")</f>
        <v/>
      </c>
      <c r="V109">
        <f>HYPERLINK("https://klasma.github.io/Logging_1784/klagomål/A 9055-2025 FSC-klagomål.docx", "A 9055-2025")</f>
        <v/>
      </c>
      <c r="W109">
        <f>HYPERLINK("https://klasma.github.io/Logging_1784/klagomålsmail/A 9055-2025 FSC-klagomål mail.docx", "A 9055-2025")</f>
        <v/>
      </c>
      <c r="X109">
        <f>HYPERLINK("https://klasma.github.io/Logging_1784/tillsyn/A 9055-2025 tillsynsbegäran.docx", "A 9055-2025")</f>
        <v/>
      </c>
      <c r="Y109">
        <f>HYPERLINK("https://klasma.github.io/Logging_1784/tillsynsmail/A 9055-2025 tillsynsbegäran mail.docx", "A 9055-2025")</f>
        <v/>
      </c>
      <c r="Z109">
        <f>HYPERLINK("https://klasma.github.io/Logging_1784/fåglar/A 9055-2025 prioriterade fågelarter.docx", "A 9055-2025")</f>
        <v/>
      </c>
    </row>
    <row r="110" ht="15" customHeight="1">
      <c r="A110" t="inlineStr">
        <is>
          <t>A 9060-2025</t>
        </is>
      </c>
      <c r="B110" s="1" t="n">
        <v>45713</v>
      </c>
      <c r="C110" s="1" t="n">
        <v>45844</v>
      </c>
      <c r="D110" t="inlineStr">
        <is>
          <t>VÄRMLANDS LÄN</t>
        </is>
      </c>
      <c r="E110" t="inlineStr">
        <is>
          <t>ARVIKA</t>
        </is>
      </c>
      <c r="G110" t="n">
        <v>5.8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HYPERLINK("https://klasma.github.io/Logging_1784/artfynd/A 9060-2025 artfynd.xlsx", "A 9060-2025")</f>
        <v/>
      </c>
      <c r="T110">
        <f>HYPERLINK("https://klasma.github.io/Logging_1784/kartor/A 9060-2025 karta.png", "A 9060-2025")</f>
        <v/>
      </c>
      <c r="V110">
        <f>HYPERLINK("https://klasma.github.io/Logging_1784/klagomål/A 9060-2025 FSC-klagomål.docx", "A 9060-2025")</f>
        <v/>
      </c>
      <c r="W110">
        <f>HYPERLINK("https://klasma.github.io/Logging_1784/klagomålsmail/A 9060-2025 FSC-klagomål mail.docx", "A 9060-2025")</f>
        <v/>
      </c>
      <c r="X110">
        <f>HYPERLINK("https://klasma.github.io/Logging_1784/tillsyn/A 9060-2025 tillsynsbegäran.docx", "A 9060-2025")</f>
        <v/>
      </c>
      <c r="Y110">
        <f>HYPERLINK("https://klasma.github.io/Logging_1784/tillsynsmail/A 9060-2025 tillsynsbegäran mail.docx", "A 9060-2025")</f>
        <v/>
      </c>
      <c r="Z110">
        <f>HYPERLINK("https://klasma.github.io/Logging_1784/fåglar/A 9060-2025 prioriterade fågelarter.docx", "A 9060-2025")</f>
        <v/>
      </c>
    </row>
    <row r="111" ht="15" customHeight="1">
      <c r="A111" t="inlineStr">
        <is>
          <t>A 15988-2025</t>
        </is>
      </c>
      <c r="B111" s="1" t="n">
        <v>45749</v>
      </c>
      <c r="C111" s="1" t="n">
        <v>45844</v>
      </c>
      <c r="D111" t="inlineStr">
        <is>
          <t>VÄRMLANDS LÄN</t>
        </is>
      </c>
      <c r="E111" t="inlineStr">
        <is>
          <t>ARVIKA</t>
        </is>
      </c>
      <c r="G111" t="n">
        <v>6.5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Göktyta</t>
        </is>
      </c>
      <c r="S111">
        <f>HYPERLINK("https://klasma.github.io/Logging_171784/artfynd/A 15988-2025 artfynd.xlsx", "A 15988-2025")</f>
        <v/>
      </c>
      <c r="T111">
        <f>HYPERLINK("https://klasma.github.io/Logging_171784/kartor/A 15988-2025 karta.png", "A 15988-2025")</f>
        <v/>
      </c>
      <c r="V111">
        <f>HYPERLINK("https://klasma.github.io/Logging_171784/klagomål/A 15988-2025 FSC-klagomål.docx", "A 15988-2025")</f>
        <v/>
      </c>
      <c r="W111">
        <f>HYPERLINK("https://klasma.github.io/Logging_171784/klagomålsmail/A 15988-2025 FSC-klagomål mail.docx", "A 15988-2025")</f>
        <v/>
      </c>
      <c r="X111">
        <f>HYPERLINK("https://klasma.github.io/Logging_171784/tillsyn/A 15988-2025 tillsynsbegäran.docx", "A 15988-2025")</f>
        <v/>
      </c>
      <c r="Y111">
        <f>HYPERLINK("https://klasma.github.io/Logging_171784/tillsynsmail/A 15988-2025 tillsynsbegäran mail.docx", "A 15988-2025")</f>
        <v/>
      </c>
      <c r="Z111">
        <f>HYPERLINK("https://klasma.github.io/Logging_171784/fåglar/A 15988-2025 prioriterade fågelarter.docx", "A 15988-2025")</f>
        <v/>
      </c>
    </row>
    <row r="112" ht="15" customHeight="1">
      <c r="A112" t="inlineStr">
        <is>
          <t>A 19301-2025</t>
        </is>
      </c>
      <c r="B112" s="1" t="n">
        <v>45769</v>
      </c>
      <c r="C112" s="1" t="n">
        <v>45844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3.1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Lappuggla</t>
        </is>
      </c>
      <c r="S112">
        <f>HYPERLINK("https://klasma.github.io/Logging_171784/artfynd/A 19301-2025 artfynd.xlsx", "A 19301-2025")</f>
        <v/>
      </c>
      <c r="T112">
        <f>HYPERLINK("https://klasma.github.io/Logging_171784/kartor/A 19301-2025 karta.png", "A 19301-2025")</f>
        <v/>
      </c>
      <c r="V112">
        <f>HYPERLINK("https://klasma.github.io/Logging_171784/klagomål/A 19301-2025 FSC-klagomål.docx", "A 19301-2025")</f>
        <v/>
      </c>
      <c r="W112">
        <f>HYPERLINK("https://klasma.github.io/Logging_171784/klagomålsmail/A 19301-2025 FSC-klagomål mail.docx", "A 19301-2025")</f>
        <v/>
      </c>
      <c r="X112">
        <f>HYPERLINK("https://klasma.github.io/Logging_171784/tillsyn/A 19301-2025 tillsynsbegäran.docx", "A 19301-2025")</f>
        <v/>
      </c>
      <c r="Y112">
        <f>HYPERLINK("https://klasma.github.io/Logging_171784/tillsynsmail/A 19301-2025 tillsynsbegäran mail.docx", "A 19301-2025")</f>
        <v/>
      </c>
      <c r="Z112">
        <f>HYPERLINK("https://klasma.github.io/Logging_171784/fåglar/A 19301-2025 prioriterade fågelarter.docx", "A 19301-2025")</f>
        <v/>
      </c>
    </row>
    <row r="113" ht="15" customHeight="1">
      <c r="A113" t="inlineStr">
        <is>
          <t>A 25477-2025</t>
        </is>
      </c>
      <c r="B113" s="1" t="n">
        <v>45802</v>
      </c>
      <c r="C113" s="1" t="n">
        <v>45844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HYPERLINK("https://klasma.github.io/Logging_171784/artfynd/A 25477-2025 artfynd.xlsx", "A 25477-2025")</f>
        <v/>
      </c>
      <c r="T113">
        <f>HYPERLINK("https://klasma.github.io/Logging_171784/kartor/A 25477-2025 karta.png", "A 25477-2025")</f>
        <v/>
      </c>
      <c r="V113">
        <f>HYPERLINK("https://klasma.github.io/Logging_171784/klagomål/A 25477-2025 FSC-klagomål.docx", "A 25477-2025")</f>
        <v/>
      </c>
      <c r="W113">
        <f>HYPERLINK("https://klasma.github.io/Logging_171784/klagomålsmail/A 25477-2025 FSC-klagomål mail.docx", "A 25477-2025")</f>
        <v/>
      </c>
      <c r="X113">
        <f>HYPERLINK("https://klasma.github.io/Logging_171784/tillsyn/A 25477-2025 tillsynsbegäran.docx", "A 25477-2025")</f>
        <v/>
      </c>
      <c r="Y113">
        <f>HYPERLINK("https://klasma.github.io/Logging_171784/tillsynsmail/A 25477-2025 tillsynsbegäran mail.docx", "A 25477-2025")</f>
        <v/>
      </c>
    </row>
    <row r="114" ht="15" customHeight="1">
      <c r="A114" t="inlineStr">
        <is>
          <t>A 29160-2025</t>
        </is>
      </c>
      <c r="B114" s="1" t="n">
        <v>45821</v>
      </c>
      <c r="C114" s="1" t="n">
        <v>45844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HYPERLINK("https://klasma.github.io/Logging_171784/artfynd/A 29160-2025 artfynd.xlsx", "A 29160-2025")</f>
        <v/>
      </c>
      <c r="T114">
        <f>HYPERLINK("https://klasma.github.io/Logging_171784/kartor/A 29160-2025 karta.png", "A 29160-2025")</f>
        <v/>
      </c>
      <c r="V114">
        <f>HYPERLINK("https://klasma.github.io/Logging_171784/klagomål/A 29160-2025 FSC-klagomål.docx", "A 29160-2025")</f>
        <v/>
      </c>
      <c r="W114">
        <f>HYPERLINK("https://klasma.github.io/Logging_171784/klagomålsmail/A 29160-2025 FSC-klagomål mail.docx", "A 29160-2025")</f>
        <v/>
      </c>
      <c r="X114">
        <f>HYPERLINK("https://klasma.github.io/Logging_171784/tillsyn/A 29160-2025 tillsynsbegäran.docx", "A 29160-2025")</f>
        <v/>
      </c>
      <c r="Y114">
        <f>HYPERLINK("https://klasma.github.io/Logging_171784/tillsynsmail/A 29160-2025 tillsynsbegäran mail.docx", "A 29160-2025")</f>
        <v/>
      </c>
      <c r="Z114">
        <f>HYPERLINK("https://klasma.github.io/Logging_171784/fåglar/A 29160-2025 prioriterade fågelarter.docx", "A 29160-2025")</f>
        <v/>
      </c>
    </row>
    <row r="115" ht="15" customHeight="1">
      <c r="A115" t="inlineStr">
        <is>
          <t>A 29432-2025</t>
        </is>
      </c>
      <c r="B115" s="1" t="n">
        <v>45824</v>
      </c>
      <c r="C115" s="1" t="n">
        <v>45844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10.7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HYPERLINK("https://klasma.github.io/Logging_171784/artfynd/A 29432-2025 artfynd.xlsx", "A 29432-2025")</f>
        <v/>
      </c>
      <c r="T115">
        <f>HYPERLINK("https://klasma.github.io/Logging_171784/kartor/A 29432-2025 karta.png", "A 29432-2025")</f>
        <v/>
      </c>
      <c r="V115">
        <f>HYPERLINK("https://klasma.github.io/Logging_171784/klagomål/A 29432-2025 FSC-klagomål.docx", "A 29432-2025")</f>
        <v/>
      </c>
      <c r="W115">
        <f>HYPERLINK("https://klasma.github.io/Logging_171784/klagomålsmail/A 29432-2025 FSC-klagomål mail.docx", "A 29432-2025")</f>
        <v/>
      </c>
      <c r="X115">
        <f>HYPERLINK("https://klasma.github.io/Logging_171784/tillsyn/A 29432-2025 tillsynsbegäran.docx", "A 29432-2025")</f>
        <v/>
      </c>
      <c r="Y115">
        <f>HYPERLINK("https://klasma.github.io/Logging_171784/tillsynsmail/A 29432-2025 tillsynsbegäran mail.docx", "A 29432-2025")</f>
        <v/>
      </c>
    </row>
    <row r="116" ht="15" customHeight="1">
      <c r="A116" t="inlineStr">
        <is>
          <t>A 30071-2025</t>
        </is>
      </c>
      <c r="B116" s="1" t="n">
        <v>45826</v>
      </c>
      <c r="C116" s="1" t="n">
        <v>45844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5.7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HYPERLINK("https://klasma.github.io/Logging_171784/artfynd/A 30071-2025 artfynd.xlsx", "A 30071-2025")</f>
        <v/>
      </c>
      <c r="T116">
        <f>HYPERLINK("https://klasma.github.io/Logging_171784/kartor/A 30071-2025 karta.png", "A 30071-2025")</f>
        <v/>
      </c>
      <c r="V116">
        <f>HYPERLINK("https://klasma.github.io/Logging_171784/klagomål/A 30071-2025 FSC-klagomål.docx", "A 30071-2025")</f>
        <v/>
      </c>
      <c r="W116">
        <f>HYPERLINK("https://klasma.github.io/Logging_171784/klagomålsmail/A 30071-2025 FSC-klagomål mail.docx", "A 30071-2025")</f>
        <v/>
      </c>
      <c r="X116">
        <f>HYPERLINK("https://klasma.github.io/Logging_171784/tillsyn/A 30071-2025 tillsynsbegäran.docx", "A 30071-2025")</f>
        <v/>
      </c>
      <c r="Y116">
        <f>HYPERLINK("https://klasma.github.io/Logging_171784/tillsynsmail/A 30071-2025 tillsynsbegäran mail.docx", "A 30071-2025")</f>
        <v/>
      </c>
    </row>
    <row r="117" ht="15" customHeight="1">
      <c r="A117" t="inlineStr">
        <is>
          <t>A 31588-2025</t>
        </is>
      </c>
      <c r="B117" s="1" t="n">
        <v>45833</v>
      </c>
      <c r="C117" s="1" t="n">
        <v>45844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6.3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HYPERLINK("https://klasma.github.io/Logging_171784/artfynd/A 31588-2025 artfynd.xlsx", "A 31588-2025")</f>
        <v/>
      </c>
      <c r="T117">
        <f>HYPERLINK("https://klasma.github.io/Logging_171784/kartor/A 31588-2025 karta.png", "A 31588-2025")</f>
        <v/>
      </c>
      <c r="V117">
        <f>HYPERLINK("https://klasma.github.io/Logging_171784/klagomål/A 31588-2025 FSC-klagomål.docx", "A 31588-2025")</f>
        <v/>
      </c>
      <c r="W117">
        <f>HYPERLINK("https://klasma.github.io/Logging_171784/klagomålsmail/A 31588-2025 FSC-klagomål mail.docx", "A 31588-2025")</f>
        <v/>
      </c>
      <c r="X117">
        <f>HYPERLINK("https://klasma.github.io/Logging_171784/tillsyn/A 31588-2025 tillsynsbegäran.docx", "A 31588-2025")</f>
        <v/>
      </c>
      <c r="Y117">
        <f>HYPERLINK("https://klasma.github.io/Logging_171784/tillsynsmail/A 31588-2025 tillsynsbegäran mail.docx", "A 31588-2025")</f>
        <v/>
      </c>
    </row>
    <row r="118" ht="15" customHeight="1">
      <c r="A118" t="inlineStr">
        <is>
          <t>A 17779-2019</t>
        </is>
      </c>
      <c r="B118" s="1" t="n">
        <v>43556</v>
      </c>
      <c r="C118" s="1" t="n">
        <v>45844</v>
      </c>
      <c r="D118" t="inlineStr">
        <is>
          <t>VÄRMLANDS LÄN</t>
        </is>
      </c>
      <c r="E118" t="inlineStr">
        <is>
          <t>ARVIKA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18001-2019</t>
        </is>
      </c>
      <c r="B119" s="1" t="n">
        <v>43556</v>
      </c>
      <c r="C119" s="1" t="n">
        <v>45844</v>
      </c>
      <c r="D119" t="inlineStr">
        <is>
          <t>VÄRMLANDS LÄN</t>
        </is>
      </c>
      <c r="E119" t="inlineStr">
        <is>
          <t>ARVIKA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18243-2019</t>
        </is>
      </c>
      <c r="B120" s="1" t="n">
        <v>43557</v>
      </c>
      <c r="C120" s="1" t="n">
        <v>45844</v>
      </c>
      <c r="D120" t="inlineStr">
        <is>
          <t>VÄRMLANDS LÄN</t>
        </is>
      </c>
      <c r="E120" t="inlineStr">
        <is>
          <t>ARVIKA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18249-2019</t>
        </is>
      </c>
      <c r="B121" s="1" t="n">
        <v>43557</v>
      </c>
      <c r="C121" s="1" t="n">
        <v>45844</v>
      </c>
      <c r="D121" t="inlineStr">
        <is>
          <t>VÄRMLANDS LÄN</t>
        </is>
      </c>
      <c r="E121" t="inlineStr">
        <is>
          <t>ARVIKA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18117-2019</t>
        </is>
      </c>
      <c r="B122" s="1" t="n">
        <v>43558</v>
      </c>
      <c r="C122" s="1" t="n">
        <v>45844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18153-2019</t>
        </is>
      </c>
      <c r="B123" s="1" t="n">
        <v>43558</v>
      </c>
      <c r="C123" s="1" t="n">
        <v>45844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18574-2019</t>
        </is>
      </c>
      <c r="B124" s="1" t="n">
        <v>43560</v>
      </c>
      <c r="C124" s="1" t="n">
        <v>45844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19011-2019</t>
        </is>
      </c>
      <c r="B125" s="1" t="n">
        <v>43563</v>
      </c>
      <c r="C125" s="1" t="n">
        <v>45844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19096-2019</t>
        </is>
      </c>
      <c r="B126" s="1" t="n">
        <v>43564</v>
      </c>
      <c r="C126" s="1" t="n">
        <v>45844</v>
      </c>
      <c r="D126" t="inlineStr">
        <is>
          <t>VÄRMLANDS LÄN</t>
        </is>
      </c>
      <c r="E126" t="inlineStr">
        <is>
          <t>ARVIKA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19164-2019</t>
        </is>
      </c>
      <c r="B127" s="1" t="n">
        <v>43564</v>
      </c>
      <c r="C127" s="1" t="n">
        <v>45844</v>
      </c>
      <c r="D127" t="inlineStr">
        <is>
          <t>VÄRMLANDS LÄN</t>
        </is>
      </c>
      <c r="E127" t="inlineStr">
        <is>
          <t>ARVIKA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20364-2019</t>
        </is>
      </c>
      <c r="B128" s="1" t="n">
        <v>43571</v>
      </c>
      <c r="C128" s="1" t="n">
        <v>45844</v>
      </c>
      <c r="D128" t="inlineStr">
        <is>
          <t>VÄRMLANDS LÄN</t>
        </is>
      </c>
      <c r="E128" t="inlineStr">
        <is>
          <t>ARVIKA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20329-2019</t>
        </is>
      </c>
      <c r="B129" s="1" t="n">
        <v>43571</v>
      </c>
      <c r="C129" s="1" t="n">
        <v>45844</v>
      </c>
      <c r="D129" t="inlineStr">
        <is>
          <t>VÄRMLANDS LÄN</t>
        </is>
      </c>
      <c r="E129" t="inlineStr">
        <is>
          <t>ARVIKA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20927-2019</t>
        </is>
      </c>
      <c r="B130" s="1" t="n">
        <v>43578</v>
      </c>
      <c r="C130" s="1" t="n">
        <v>45844</v>
      </c>
      <c r="D130" t="inlineStr">
        <is>
          <t>VÄRMLANDS LÄN</t>
        </is>
      </c>
      <c r="E130" t="inlineStr">
        <is>
          <t>ARVIKA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21299-2019</t>
        </is>
      </c>
      <c r="B131" s="1" t="n">
        <v>43579</v>
      </c>
      <c r="C131" s="1" t="n">
        <v>45844</v>
      </c>
      <c r="D131" t="inlineStr">
        <is>
          <t>VÄRMLANDS LÄN</t>
        </is>
      </c>
      <c r="E131" t="inlineStr">
        <is>
          <t>ARVIKA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21447-2019</t>
        </is>
      </c>
      <c r="B132" s="1" t="n">
        <v>43580</v>
      </c>
      <c r="C132" s="1" t="n">
        <v>45844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21802-2019</t>
        </is>
      </c>
      <c r="B133" s="1" t="n">
        <v>43582</v>
      </c>
      <c r="C133" s="1" t="n">
        <v>45844</v>
      </c>
      <c r="D133" t="inlineStr">
        <is>
          <t>VÄRMLANDS LÄN</t>
        </is>
      </c>
      <c r="E133" t="inlineStr">
        <is>
          <t>ARVIKA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21804-2019</t>
        </is>
      </c>
      <c r="B134" s="1" t="n">
        <v>43582</v>
      </c>
      <c r="C134" s="1" t="n">
        <v>45844</v>
      </c>
      <c r="D134" t="inlineStr">
        <is>
          <t>VÄRMLANDS LÄN</t>
        </is>
      </c>
      <c r="E134" t="inlineStr">
        <is>
          <t>ARVIKA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23122-2019</t>
        </is>
      </c>
      <c r="B135" s="1" t="n">
        <v>43592</v>
      </c>
      <c r="C135" s="1" t="n">
        <v>45844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23646-2019</t>
        </is>
      </c>
      <c r="B136" s="1" t="n">
        <v>43594</v>
      </c>
      <c r="C136" s="1" t="n">
        <v>45844</v>
      </c>
      <c r="D136" t="inlineStr">
        <is>
          <t>VÄRMLANDS LÄN</t>
        </is>
      </c>
      <c r="E136" t="inlineStr">
        <is>
          <t>ARVIKA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24236-2019</t>
        </is>
      </c>
      <c r="B137" s="1" t="n">
        <v>43596</v>
      </c>
      <c r="C137" s="1" t="n">
        <v>45844</v>
      </c>
      <c r="D137" t="inlineStr">
        <is>
          <t>VÄRMLANDS LÄN</t>
        </is>
      </c>
      <c r="E137" t="inlineStr">
        <is>
          <t>ARVIKA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24240-2019</t>
        </is>
      </c>
      <c r="B138" s="1" t="n">
        <v>43596</v>
      </c>
      <c r="C138" s="1" t="n">
        <v>45844</v>
      </c>
      <c r="D138" t="inlineStr">
        <is>
          <t>VÄRMLANDS LÄN</t>
        </is>
      </c>
      <c r="E138" t="inlineStr">
        <is>
          <t>ARVIKA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24235-2019</t>
        </is>
      </c>
      <c r="B139" s="1" t="n">
        <v>43596</v>
      </c>
      <c r="C139" s="1" t="n">
        <v>45844</v>
      </c>
      <c r="D139" t="inlineStr">
        <is>
          <t>VÄRMLANDS LÄN</t>
        </is>
      </c>
      <c r="E139" t="inlineStr">
        <is>
          <t>ARVIKA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24249-2019</t>
        </is>
      </c>
      <c r="B140" s="1" t="n">
        <v>43596</v>
      </c>
      <c r="C140" s="1" t="n">
        <v>45844</v>
      </c>
      <c r="D140" t="inlineStr">
        <is>
          <t>VÄRMLANDS LÄN</t>
        </is>
      </c>
      <c r="E140" t="inlineStr">
        <is>
          <t>ARVIKA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24414-2019</t>
        </is>
      </c>
      <c r="B141" s="1" t="n">
        <v>43600</v>
      </c>
      <c r="C141" s="1" t="n">
        <v>45844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24468-2019</t>
        </is>
      </c>
      <c r="B142" s="1" t="n">
        <v>43600</v>
      </c>
      <c r="C142" s="1" t="n">
        <v>45844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24763-2019</t>
        </is>
      </c>
      <c r="B143" s="1" t="n">
        <v>43601</v>
      </c>
      <c r="C143" s="1" t="n">
        <v>45844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26527-2019</t>
        </is>
      </c>
      <c r="B144" s="1" t="n">
        <v>43612</v>
      </c>
      <c r="C144" s="1" t="n">
        <v>45844</v>
      </c>
      <c r="D144" t="inlineStr">
        <is>
          <t>VÄRMLANDS LÄN</t>
        </is>
      </c>
      <c r="E144" t="inlineStr">
        <is>
          <t>ARVIKA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26372-2019</t>
        </is>
      </c>
      <c r="B145" s="1" t="n">
        <v>43612</v>
      </c>
      <c r="C145" s="1" t="n">
        <v>45844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26653-2019</t>
        </is>
      </c>
      <c r="B146" s="1" t="n">
        <v>43613</v>
      </c>
      <c r="C146" s="1" t="n">
        <v>45844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26719-2019</t>
        </is>
      </c>
      <c r="B147" s="1" t="n">
        <v>43613</v>
      </c>
      <c r="C147" s="1" t="n">
        <v>45844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27076-2019</t>
        </is>
      </c>
      <c r="B148" s="1" t="n">
        <v>43614</v>
      </c>
      <c r="C148" s="1" t="n">
        <v>45844</v>
      </c>
      <c r="D148" t="inlineStr">
        <is>
          <t>VÄRMLANDS LÄN</t>
        </is>
      </c>
      <c r="E148" t="inlineStr">
        <is>
          <t>ARVIKA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29593-2019</t>
        </is>
      </c>
      <c r="B149" s="1" t="n">
        <v>43628</v>
      </c>
      <c r="C149" s="1" t="n">
        <v>45844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29588-2019</t>
        </is>
      </c>
      <c r="B150" s="1" t="n">
        <v>43628</v>
      </c>
      <c r="C150" s="1" t="n">
        <v>45844</v>
      </c>
      <c r="D150" t="inlineStr">
        <is>
          <t>VÄRMLANDS LÄN</t>
        </is>
      </c>
      <c r="E150" t="inlineStr">
        <is>
          <t>ARVIKA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29803-2019</t>
        </is>
      </c>
      <c r="B151" s="1" t="n">
        <v>43629</v>
      </c>
      <c r="C151" s="1" t="n">
        <v>45844</v>
      </c>
      <c r="D151" t="inlineStr">
        <is>
          <t>VÄRMLANDS LÄN</t>
        </is>
      </c>
      <c r="E151" t="inlineStr">
        <is>
          <t>ARVIKA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30328-2019</t>
        </is>
      </c>
      <c r="B152" s="1" t="n">
        <v>43633</v>
      </c>
      <c r="C152" s="1" t="n">
        <v>45844</v>
      </c>
      <c r="D152" t="inlineStr">
        <is>
          <t>VÄRMLANDS LÄN</t>
        </is>
      </c>
      <c r="E152" t="inlineStr">
        <is>
          <t>ARVIKA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30316-2019</t>
        </is>
      </c>
      <c r="B153" s="1" t="n">
        <v>43633</v>
      </c>
      <c r="C153" s="1" t="n">
        <v>45844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30325-2019</t>
        </is>
      </c>
      <c r="B154" s="1" t="n">
        <v>43633</v>
      </c>
      <c r="C154" s="1" t="n">
        <v>45844</v>
      </c>
      <c r="D154" t="inlineStr">
        <is>
          <t>VÄRMLANDS LÄN</t>
        </is>
      </c>
      <c r="E154" t="inlineStr">
        <is>
          <t>ARVIKA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30310-2019</t>
        </is>
      </c>
      <c r="B155" s="1" t="n">
        <v>43634</v>
      </c>
      <c r="C155" s="1" t="n">
        <v>45844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30353-2019</t>
        </is>
      </c>
      <c r="B156" s="1" t="n">
        <v>43634</v>
      </c>
      <c r="C156" s="1" t="n">
        <v>45844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30643-2019</t>
        </is>
      </c>
      <c r="B157" s="1" t="n">
        <v>43635</v>
      </c>
      <c r="C157" s="1" t="n">
        <v>45844</v>
      </c>
      <c r="D157" t="inlineStr">
        <is>
          <t>VÄRMLANDS LÄN</t>
        </is>
      </c>
      <c r="E157" t="inlineStr">
        <is>
          <t>ARVIKA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30636-2019</t>
        </is>
      </c>
      <c r="B158" s="1" t="n">
        <v>43635</v>
      </c>
      <c r="C158" s="1" t="n">
        <v>45844</v>
      </c>
      <c r="D158" t="inlineStr">
        <is>
          <t>VÄRMLANDS LÄN</t>
        </is>
      </c>
      <c r="E158" t="inlineStr">
        <is>
          <t>ARVIKA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622-2020</t>
        </is>
      </c>
      <c r="B159" s="1" t="n">
        <v>43635</v>
      </c>
      <c r="C159" s="1" t="n">
        <v>45844</v>
      </c>
      <c r="D159" t="inlineStr">
        <is>
          <t>VÄRMLANDS LÄN</t>
        </is>
      </c>
      <c r="E159" t="inlineStr">
        <is>
          <t>ARVIKA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30885-2019</t>
        </is>
      </c>
      <c r="B160" s="1" t="n">
        <v>43636</v>
      </c>
      <c r="C160" s="1" t="n">
        <v>45844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31218-2019</t>
        </is>
      </c>
      <c r="B161" s="1" t="n">
        <v>43640</v>
      </c>
      <c r="C161" s="1" t="n">
        <v>45844</v>
      </c>
      <c r="D161" t="inlineStr">
        <is>
          <t>VÄRMLANDS LÄN</t>
        </is>
      </c>
      <c r="E161" t="inlineStr">
        <is>
          <t>ARVIKA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31327-2019</t>
        </is>
      </c>
      <c r="B162" s="1" t="n">
        <v>43641</v>
      </c>
      <c r="C162" s="1" t="n">
        <v>45844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32185-2019</t>
        </is>
      </c>
      <c r="B163" s="1" t="n">
        <v>43643</v>
      </c>
      <c r="C163" s="1" t="n">
        <v>45844</v>
      </c>
      <c r="D163" t="inlineStr">
        <is>
          <t>VÄRMLANDS LÄN</t>
        </is>
      </c>
      <c r="E163" t="inlineStr">
        <is>
          <t>ARVIKA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32413-2019</t>
        </is>
      </c>
      <c r="B164" s="1" t="n">
        <v>43644</v>
      </c>
      <c r="C164" s="1" t="n">
        <v>45844</v>
      </c>
      <c r="D164" t="inlineStr">
        <is>
          <t>VÄRMLANDS LÄN</t>
        </is>
      </c>
      <c r="E164" t="inlineStr">
        <is>
          <t>ARVIKA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34023-2019</t>
        </is>
      </c>
      <c r="B165" s="1" t="n">
        <v>43654</v>
      </c>
      <c r="C165" s="1" t="n">
        <v>45844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36041-2019</t>
        </is>
      </c>
      <c r="B166" s="1" t="n">
        <v>43657</v>
      </c>
      <c r="C166" s="1" t="n">
        <v>45844</v>
      </c>
      <c r="D166" t="inlineStr">
        <is>
          <t>VÄRMLANDS LÄN</t>
        </is>
      </c>
      <c r="E166" t="inlineStr">
        <is>
          <t>ARVIKA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34582-2019</t>
        </is>
      </c>
      <c r="B167" s="1" t="n">
        <v>43657</v>
      </c>
      <c r="C167" s="1" t="n">
        <v>45844</v>
      </c>
      <c r="D167" t="inlineStr">
        <is>
          <t>VÄRMLANDS LÄN</t>
        </is>
      </c>
      <c r="E167" t="inlineStr">
        <is>
          <t>ARVIKA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36309-2019</t>
        </is>
      </c>
      <c r="B168" s="1" t="n">
        <v>43661</v>
      </c>
      <c r="C168" s="1" t="n">
        <v>45844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35181-2019</t>
        </is>
      </c>
      <c r="B169" s="1" t="n">
        <v>43662</v>
      </c>
      <c r="C169" s="1" t="n">
        <v>45844</v>
      </c>
      <c r="D169" t="inlineStr">
        <is>
          <t>VÄRMLANDS LÄN</t>
        </is>
      </c>
      <c r="E169" t="inlineStr">
        <is>
          <t>ARVIKA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36106-2019</t>
        </is>
      </c>
      <c r="B170" s="1" t="n">
        <v>43668</v>
      </c>
      <c r="C170" s="1" t="n">
        <v>45844</v>
      </c>
      <c r="D170" t="inlineStr">
        <is>
          <t>VÄRMLANDS LÄN</t>
        </is>
      </c>
      <c r="E170" t="inlineStr">
        <is>
          <t>ARVIKA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36648-2019</t>
        </is>
      </c>
      <c r="B171" s="1" t="n">
        <v>43671</v>
      </c>
      <c r="C171" s="1" t="n">
        <v>45844</v>
      </c>
      <c r="D171" t="inlineStr">
        <is>
          <t>VÄRMLANDS LÄN</t>
        </is>
      </c>
      <c r="E171" t="inlineStr">
        <is>
          <t>ARVIKA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37000-2019</t>
        </is>
      </c>
      <c r="B172" s="1" t="n">
        <v>43676</v>
      </c>
      <c r="C172" s="1" t="n">
        <v>45844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36999-2019</t>
        </is>
      </c>
      <c r="B173" s="1" t="n">
        <v>43676</v>
      </c>
      <c r="C173" s="1" t="n">
        <v>45844</v>
      </c>
      <c r="D173" t="inlineStr">
        <is>
          <t>VÄRMLANDS LÄN</t>
        </is>
      </c>
      <c r="E173" t="inlineStr">
        <is>
          <t>ARVIKA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37165-2019</t>
        </is>
      </c>
      <c r="B174" s="1" t="n">
        <v>43677</v>
      </c>
      <c r="C174" s="1" t="n">
        <v>45844</v>
      </c>
      <c r="D174" t="inlineStr">
        <is>
          <t>VÄRMLANDS LÄN</t>
        </is>
      </c>
      <c r="E174" t="inlineStr">
        <is>
          <t>ARVIKA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37199-2019</t>
        </is>
      </c>
      <c r="B175" s="1" t="n">
        <v>43677</v>
      </c>
      <c r="C175" s="1" t="n">
        <v>45844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37147-2019</t>
        </is>
      </c>
      <c r="B176" s="1" t="n">
        <v>43677</v>
      </c>
      <c r="C176" s="1" t="n">
        <v>45844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38002-2019</t>
        </is>
      </c>
      <c r="B177" s="1" t="n">
        <v>43683</v>
      </c>
      <c r="C177" s="1" t="n">
        <v>45844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38410-2019</t>
        </is>
      </c>
      <c r="B178" s="1" t="n">
        <v>43685</v>
      </c>
      <c r="C178" s="1" t="n">
        <v>45844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39740-2019</t>
        </is>
      </c>
      <c r="B179" s="1" t="n">
        <v>43691</v>
      </c>
      <c r="C179" s="1" t="n">
        <v>45844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40159-2019</t>
        </is>
      </c>
      <c r="B180" s="1" t="n">
        <v>43693</v>
      </c>
      <c r="C180" s="1" t="n">
        <v>45844</v>
      </c>
      <c r="D180" t="inlineStr">
        <is>
          <t>VÄRMLANDS LÄN</t>
        </is>
      </c>
      <c r="E180" t="inlineStr">
        <is>
          <t>ARVIKA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40397-2019</t>
        </is>
      </c>
      <c r="B181" s="1" t="n">
        <v>43696</v>
      </c>
      <c r="C181" s="1" t="n">
        <v>45844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41531-2019</t>
        </is>
      </c>
      <c r="B182" s="1" t="n">
        <v>43699</v>
      </c>
      <c r="C182" s="1" t="n">
        <v>45844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42102-2019</t>
        </is>
      </c>
      <c r="B183" s="1" t="n">
        <v>43702</v>
      </c>
      <c r="C183" s="1" t="n">
        <v>45844</v>
      </c>
      <c r="D183" t="inlineStr">
        <is>
          <t>VÄRMLANDS LÄN</t>
        </is>
      </c>
      <c r="E183" t="inlineStr">
        <is>
          <t>ARVIKA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42692-2019</t>
        </is>
      </c>
      <c r="B184" s="1" t="n">
        <v>43704</v>
      </c>
      <c r="C184" s="1" t="n">
        <v>45844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42485-2019</t>
        </is>
      </c>
      <c r="B185" s="1" t="n">
        <v>43704</v>
      </c>
      <c r="C185" s="1" t="n">
        <v>45844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42854-2019</t>
        </is>
      </c>
      <c r="B186" s="1" t="n">
        <v>43705</v>
      </c>
      <c r="C186" s="1" t="n">
        <v>45844</v>
      </c>
      <c r="D186" t="inlineStr">
        <is>
          <t>VÄRMLANDS LÄN</t>
        </is>
      </c>
      <c r="E186" t="inlineStr">
        <is>
          <t>ARVIKA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43146-2019</t>
        </is>
      </c>
      <c r="B187" s="1" t="n">
        <v>43705</v>
      </c>
      <c r="C187" s="1" t="n">
        <v>45844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44468-2019</t>
        </is>
      </c>
      <c r="B188" s="1" t="n">
        <v>43711</v>
      </c>
      <c r="C188" s="1" t="n">
        <v>45844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45796-2019</t>
        </is>
      </c>
      <c r="B189" s="1" t="n">
        <v>43712</v>
      </c>
      <c r="C189" s="1" t="n">
        <v>45844</v>
      </c>
      <c r="D189" t="inlineStr">
        <is>
          <t>VÄRMLANDS LÄN</t>
        </is>
      </c>
      <c r="E189" t="inlineStr">
        <is>
          <t>ARVIKA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44646-2019</t>
        </is>
      </c>
      <c r="B190" s="1" t="n">
        <v>43712</v>
      </c>
      <c r="C190" s="1" t="n">
        <v>45844</v>
      </c>
      <c r="D190" t="inlineStr">
        <is>
          <t>VÄRMLANDS LÄN</t>
        </is>
      </c>
      <c r="E190" t="inlineStr">
        <is>
          <t>ARVIKA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46270-2019</t>
        </is>
      </c>
      <c r="B191" s="1" t="n">
        <v>43718</v>
      </c>
      <c r="C191" s="1" t="n">
        <v>45844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46129-2019</t>
        </is>
      </c>
      <c r="B192" s="1" t="n">
        <v>43718</v>
      </c>
      <c r="C192" s="1" t="n">
        <v>45844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48077-2019</t>
        </is>
      </c>
      <c r="B193" s="1" t="n">
        <v>43725</v>
      </c>
      <c r="C193" s="1" t="n">
        <v>45844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48026-2019</t>
        </is>
      </c>
      <c r="B194" s="1" t="n">
        <v>43725</v>
      </c>
      <c r="C194" s="1" t="n">
        <v>45844</v>
      </c>
      <c r="D194" t="inlineStr">
        <is>
          <t>VÄRMLANDS LÄN</t>
        </is>
      </c>
      <c r="E194" t="inlineStr">
        <is>
          <t>ARVIKA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48549-2019</t>
        </is>
      </c>
      <c r="B195" s="1" t="n">
        <v>43727</v>
      </c>
      <c r="C195" s="1" t="n">
        <v>45844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48428-2019</t>
        </is>
      </c>
      <c r="B196" s="1" t="n">
        <v>43727</v>
      </c>
      <c r="C196" s="1" t="n">
        <v>45844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48892-2019</t>
        </is>
      </c>
      <c r="B197" s="1" t="n">
        <v>43728</v>
      </c>
      <c r="C197" s="1" t="n">
        <v>45844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49965-2019</t>
        </is>
      </c>
      <c r="B198" s="1" t="n">
        <v>43733</v>
      </c>
      <c r="C198" s="1" t="n">
        <v>45844</v>
      </c>
      <c r="D198" t="inlineStr">
        <is>
          <t>VÄRMLANDS LÄN</t>
        </is>
      </c>
      <c r="E198" t="inlineStr">
        <is>
          <t>ARVIKA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50540-2019</t>
        </is>
      </c>
      <c r="B199" s="1" t="n">
        <v>43735</v>
      </c>
      <c r="C199" s="1" t="n">
        <v>45844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50309-2019</t>
        </is>
      </c>
      <c r="B200" s="1" t="n">
        <v>43735</v>
      </c>
      <c r="C200" s="1" t="n">
        <v>45844</v>
      </c>
      <c r="D200" t="inlineStr">
        <is>
          <t>VÄRMLANDS LÄN</t>
        </is>
      </c>
      <c r="E200" t="inlineStr">
        <is>
          <t>ARVIKA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50953-2019</t>
        </is>
      </c>
      <c r="B201" s="1" t="n">
        <v>43738</v>
      </c>
      <c r="C201" s="1" t="n">
        <v>45844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51301-2019</t>
        </is>
      </c>
      <c r="B202" s="1" t="n">
        <v>43739</v>
      </c>
      <c r="C202" s="1" t="n">
        <v>45844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54709-2019</t>
        </is>
      </c>
      <c r="B203" s="1" t="n">
        <v>43748</v>
      </c>
      <c r="C203" s="1" t="n">
        <v>45844</v>
      </c>
      <c r="D203" t="inlineStr">
        <is>
          <t>VÄRMLANDS LÄN</t>
        </is>
      </c>
      <c r="E203" t="inlineStr">
        <is>
          <t>ARVIKA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53665-2019</t>
        </is>
      </c>
      <c r="B204" s="1" t="n">
        <v>43749</v>
      </c>
      <c r="C204" s="1" t="n">
        <v>45844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53491-2019</t>
        </is>
      </c>
      <c r="B205" s="1" t="n">
        <v>43749</v>
      </c>
      <c r="C205" s="1" t="n">
        <v>45844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55810-2019</t>
        </is>
      </c>
      <c r="B206" s="1" t="n">
        <v>43759</v>
      </c>
      <c r="C206" s="1" t="n">
        <v>45844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55608-2019</t>
        </is>
      </c>
      <c r="B207" s="1" t="n">
        <v>43760</v>
      </c>
      <c r="C207" s="1" t="n">
        <v>45844</v>
      </c>
      <c r="D207" t="inlineStr">
        <is>
          <t>VÄRMLANDS LÄN</t>
        </is>
      </c>
      <c r="E207" t="inlineStr">
        <is>
          <t>ARVIKA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56391-2019</t>
        </is>
      </c>
      <c r="B208" s="1" t="n">
        <v>43762</v>
      </c>
      <c r="C208" s="1" t="n">
        <v>45844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57350-2019</t>
        </is>
      </c>
      <c r="B209" s="1" t="n">
        <v>43767</v>
      </c>
      <c r="C209" s="1" t="n">
        <v>45844</v>
      </c>
      <c r="D209" t="inlineStr">
        <is>
          <t>VÄRMLANDS LÄN</t>
        </is>
      </c>
      <c r="E209" t="inlineStr">
        <is>
          <t>ARVIKA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58130-2019</t>
        </is>
      </c>
      <c r="B210" s="1" t="n">
        <v>43769</v>
      </c>
      <c r="C210" s="1" t="n">
        <v>45844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58733-2019</t>
        </is>
      </c>
      <c r="B211" s="1" t="n">
        <v>43773</v>
      </c>
      <c r="C211" s="1" t="n">
        <v>45844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58540-2019</t>
        </is>
      </c>
      <c r="B212" s="1" t="n">
        <v>43773</v>
      </c>
      <c r="C212" s="1" t="n">
        <v>45844</v>
      </c>
      <c r="D212" t="inlineStr">
        <is>
          <t>VÄRMLANDS LÄN</t>
        </is>
      </c>
      <c r="E212" t="inlineStr">
        <is>
          <t>ARVIKA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59389-2019</t>
        </is>
      </c>
      <c r="B213" s="1" t="n">
        <v>43775</v>
      </c>
      <c r="C213" s="1" t="n">
        <v>45844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59607-2019</t>
        </is>
      </c>
      <c r="B214" s="1" t="n">
        <v>43776</v>
      </c>
      <c r="C214" s="1" t="n">
        <v>45844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61098-2019</t>
        </is>
      </c>
      <c r="B215" s="1" t="n">
        <v>43782</v>
      </c>
      <c r="C215" s="1" t="n">
        <v>45844</v>
      </c>
      <c r="D215" t="inlineStr">
        <is>
          <t>VÄRMLANDS LÄN</t>
        </is>
      </c>
      <c r="E215" t="inlineStr">
        <is>
          <t>ARVIKA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61104-2019</t>
        </is>
      </c>
      <c r="B216" s="1" t="n">
        <v>43782</v>
      </c>
      <c r="C216" s="1" t="n">
        <v>45844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61099-2019</t>
        </is>
      </c>
      <c r="B217" s="1" t="n">
        <v>43782</v>
      </c>
      <c r="C217" s="1" t="n">
        <v>45844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61800-2019</t>
        </is>
      </c>
      <c r="B218" s="1" t="n">
        <v>43786</v>
      </c>
      <c r="C218" s="1" t="n">
        <v>45844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62238-2019</t>
        </is>
      </c>
      <c r="B219" s="1" t="n">
        <v>43788</v>
      </c>
      <c r="C219" s="1" t="n">
        <v>45844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62911-2019</t>
        </is>
      </c>
      <c r="B220" s="1" t="n">
        <v>43790</v>
      </c>
      <c r="C220" s="1" t="n">
        <v>45844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62922-2019</t>
        </is>
      </c>
      <c r="B221" s="1" t="n">
        <v>43790</v>
      </c>
      <c r="C221" s="1" t="n">
        <v>45844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62917-2019</t>
        </is>
      </c>
      <c r="B222" s="1" t="n">
        <v>43790</v>
      </c>
      <c r="C222" s="1" t="n">
        <v>45844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62931-2019</t>
        </is>
      </c>
      <c r="B223" s="1" t="n">
        <v>43790</v>
      </c>
      <c r="C223" s="1" t="n">
        <v>45844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62905-2019</t>
        </is>
      </c>
      <c r="B224" s="1" t="n">
        <v>43790</v>
      </c>
      <c r="C224" s="1" t="n">
        <v>45844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62914-2019</t>
        </is>
      </c>
      <c r="B225" s="1" t="n">
        <v>43790</v>
      </c>
      <c r="C225" s="1" t="n">
        <v>45844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62924-2019</t>
        </is>
      </c>
      <c r="B226" s="1" t="n">
        <v>43790</v>
      </c>
      <c r="C226" s="1" t="n">
        <v>45844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64912-2019</t>
        </is>
      </c>
      <c r="B227" s="1" t="n">
        <v>43795</v>
      </c>
      <c r="C227" s="1" t="n">
        <v>45844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64886-2019</t>
        </is>
      </c>
      <c r="B228" s="1" t="n">
        <v>43795</v>
      </c>
      <c r="C228" s="1" t="n">
        <v>45844</v>
      </c>
      <c r="D228" t="inlineStr">
        <is>
          <t>VÄRMLANDS LÄN</t>
        </is>
      </c>
      <c r="E228" t="inlineStr">
        <is>
          <t>ARVIKA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64510-2019</t>
        </is>
      </c>
      <c r="B229" s="1" t="n">
        <v>43798</v>
      </c>
      <c r="C229" s="1" t="n">
        <v>45844</v>
      </c>
      <c r="D229" t="inlineStr">
        <is>
          <t>VÄRMLANDS LÄN</t>
        </is>
      </c>
      <c r="E229" t="inlineStr">
        <is>
          <t>ARVIKA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64609-2019</t>
        </is>
      </c>
      <c r="B230" s="1" t="n">
        <v>43798</v>
      </c>
      <c r="C230" s="1" t="n">
        <v>45844</v>
      </c>
      <c r="D230" t="inlineStr">
        <is>
          <t>VÄRMLANDS LÄN</t>
        </is>
      </c>
      <c r="E230" t="inlineStr">
        <is>
          <t>ARVIKA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64519-2019</t>
        </is>
      </c>
      <c r="B231" s="1" t="n">
        <v>43798</v>
      </c>
      <c r="C231" s="1" t="n">
        <v>45844</v>
      </c>
      <c r="D231" t="inlineStr">
        <is>
          <t>VÄRMLANDS LÄN</t>
        </is>
      </c>
      <c r="E231" t="inlineStr">
        <is>
          <t>ARVIKA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65205-2019</t>
        </is>
      </c>
      <c r="B232" s="1" t="n">
        <v>43802</v>
      </c>
      <c r="C232" s="1" t="n">
        <v>45844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65880-2019</t>
        </is>
      </c>
      <c r="B233" s="1" t="n">
        <v>43805</v>
      </c>
      <c r="C233" s="1" t="n">
        <v>45844</v>
      </c>
      <c r="D233" t="inlineStr">
        <is>
          <t>VÄRMLANDS LÄN</t>
        </is>
      </c>
      <c r="E233" t="inlineStr">
        <is>
          <t>ARVIKA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66352-2019</t>
        </is>
      </c>
      <c r="B234" s="1" t="n">
        <v>43808</v>
      </c>
      <c r="C234" s="1" t="n">
        <v>45844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66818-2019</t>
        </is>
      </c>
      <c r="B235" s="1" t="n">
        <v>43810</v>
      </c>
      <c r="C235" s="1" t="n">
        <v>45844</v>
      </c>
      <c r="D235" t="inlineStr">
        <is>
          <t>VÄRMLANDS LÄN</t>
        </is>
      </c>
      <c r="E235" t="inlineStr">
        <is>
          <t>ARVIKA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67134-2019</t>
        </is>
      </c>
      <c r="B236" s="1" t="n">
        <v>43811</v>
      </c>
      <c r="C236" s="1" t="n">
        <v>45844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67700-2019</t>
        </is>
      </c>
      <c r="B237" s="1" t="n">
        <v>43815</v>
      </c>
      <c r="C237" s="1" t="n">
        <v>45844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68056-2019</t>
        </is>
      </c>
      <c r="B238" s="1" t="n">
        <v>43816</v>
      </c>
      <c r="C238" s="1" t="n">
        <v>45844</v>
      </c>
      <c r="D238" t="inlineStr">
        <is>
          <t>VÄRMLANDS LÄN</t>
        </is>
      </c>
      <c r="E238" t="inlineStr">
        <is>
          <t>ARVIKA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67903-2019</t>
        </is>
      </c>
      <c r="B239" s="1" t="n">
        <v>43816</v>
      </c>
      <c r="C239" s="1" t="n">
        <v>45844</v>
      </c>
      <c r="D239" t="inlineStr">
        <is>
          <t>VÄRMLANDS LÄN</t>
        </is>
      </c>
      <c r="E239" t="inlineStr">
        <is>
          <t>ARVIKA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68059-2019</t>
        </is>
      </c>
      <c r="B240" s="1" t="n">
        <v>43816</v>
      </c>
      <c r="C240" s="1" t="n">
        <v>45844</v>
      </c>
      <c r="D240" t="inlineStr">
        <is>
          <t>VÄRMLANDS LÄN</t>
        </is>
      </c>
      <c r="E240" t="inlineStr">
        <is>
          <t>ARVIKA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68372-2019</t>
        </is>
      </c>
      <c r="B241" s="1" t="n">
        <v>43817</v>
      </c>
      <c r="C241" s="1" t="n">
        <v>45844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68567-2019</t>
        </is>
      </c>
      <c r="B242" s="1" t="n">
        <v>43818</v>
      </c>
      <c r="C242" s="1" t="n">
        <v>45844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68560-2019</t>
        </is>
      </c>
      <c r="B243" s="1" t="n">
        <v>43818</v>
      </c>
      <c r="C243" s="1" t="n">
        <v>45844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68577-2019</t>
        </is>
      </c>
      <c r="B244" s="1" t="n">
        <v>43818</v>
      </c>
      <c r="C244" s="1" t="n">
        <v>45844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15.9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68573-2019</t>
        </is>
      </c>
      <c r="B245" s="1" t="n">
        <v>43818</v>
      </c>
      <c r="C245" s="1" t="n">
        <v>45844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68895-2019</t>
        </is>
      </c>
      <c r="B246" s="1" t="n">
        <v>43822</v>
      </c>
      <c r="C246" s="1" t="n">
        <v>45844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25.9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69086-2019</t>
        </is>
      </c>
      <c r="B247" s="1" t="n">
        <v>43829</v>
      </c>
      <c r="C247" s="1" t="n">
        <v>45844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91-2020</t>
        </is>
      </c>
      <c r="B248" s="1" t="n">
        <v>43832</v>
      </c>
      <c r="C248" s="1" t="n">
        <v>45844</v>
      </c>
      <c r="D248" t="inlineStr">
        <is>
          <t>VÄRMLANDS LÄN</t>
        </is>
      </c>
      <c r="E248" t="inlineStr">
        <is>
          <t>ARVIKA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14-2020</t>
        </is>
      </c>
      <c r="B249" s="1" t="n">
        <v>43832</v>
      </c>
      <c r="C249" s="1" t="n">
        <v>45844</v>
      </c>
      <c r="D249" t="inlineStr">
        <is>
          <t>VÄRMLANDS LÄN</t>
        </is>
      </c>
      <c r="E249" t="inlineStr">
        <is>
          <t>ARVIKA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94-2020</t>
        </is>
      </c>
      <c r="B250" s="1" t="n">
        <v>43832</v>
      </c>
      <c r="C250" s="1" t="n">
        <v>45844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197-2020</t>
        </is>
      </c>
      <c r="B251" s="1" t="n">
        <v>43833</v>
      </c>
      <c r="C251" s="1" t="n">
        <v>45844</v>
      </c>
      <c r="D251" t="inlineStr">
        <is>
          <t>VÄRMLANDS LÄN</t>
        </is>
      </c>
      <c r="E251" t="inlineStr">
        <is>
          <t>ARVIKA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239-2020</t>
        </is>
      </c>
      <c r="B252" s="1" t="n">
        <v>43835</v>
      </c>
      <c r="C252" s="1" t="n">
        <v>45844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323-2020</t>
        </is>
      </c>
      <c r="B253" s="1" t="n">
        <v>43837</v>
      </c>
      <c r="C253" s="1" t="n">
        <v>45844</v>
      </c>
      <c r="D253" t="inlineStr">
        <is>
          <t>VÄRMLANDS LÄN</t>
        </is>
      </c>
      <c r="E253" t="inlineStr">
        <is>
          <t>ARVIKA</t>
        </is>
      </c>
      <c r="F253" t="inlineStr">
        <is>
          <t>Övriga Aktiebolag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351-2020</t>
        </is>
      </c>
      <c r="B254" s="1" t="n">
        <v>43837</v>
      </c>
      <c r="C254" s="1" t="n">
        <v>45844</v>
      </c>
      <c r="D254" t="inlineStr">
        <is>
          <t>VÄRMLANDS LÄN</t>
        </is>
      </c>
      <c r="E254" t="inlineStr">
        <is>
          <t>ARVIKA</t>
        </is>
      </c>
      <c r="F254" t="inlineStr">
        <is>
          <t>Kommuner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1795-2020</t>
        </is>
      </c>
      <c r="B255" s="1" t="n">
        <v>43837</v>
      </c>
      <c r="C255" s="1" t="n">
        <v>45844</v>
      </c>
      <c r="D255" t="inlineStr">
        <is>
          <t>VÄRMLANDS LÄN</t>
        </is>
      </c>
      <c r="E255" t="inlineStr">
        <is>
          <t>ARVIKA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1791-2020</t>
        </is>
      </c>
      <c r="B256" s="1" t="n">
        <v>43837</v>
      </c>
      <c r="C256" s="1" t="n">
        <v>45844</v>
      </c>
      <c r="D256" t="inlineStr">
        <is>
          <t>VÄRMLANDS LÄN</t>
        </is>
      </c>
      <c r="E256" t="inlineStr">
        <is>
          <t>ARVIKA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858-2020</t>
        </is>
      </c>
      <c r="B257" s="1" t="n">
        <v>43839</v>
      </c>
      <c r="C257" s="1" t="n">
        <v>45844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996-2020</t>
        </is>
      </c>
      <c r="B258" s="1" t="n">
        <v>43839</v>
      </c>
      <c r="C258" s="1" t="n">
        <v>45844</v>
      </c>
      <c r="D258" t="inlineStr">
        <is>
          <t>VÄRMLANDS LÄN</t>
        </is>
      </c>
      <c r="E258" t="inlineStr">
        <is>
          <t>ARVIKA</t>
        </is>
      </c>
      <c r="F258" t="inlineStr">
        <is>
          <t>Övriga Aktiebolag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854-2020</t>
        </is>
      </c>
      <c r="B259" s="1" t="n">
        <v>43839</v>
      </c>
      <c r="C259" s="1" t="n">
        <v>45844</v>
      </c>
      <c r="D259" t="inlineStr">
        <is>
          <t>VÄRMLANDS LÄN</t>
        </is>
      </c>
      <c r="E259" t="inlineStr">
        <is>
          <t>ARVIKA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2513-2020</t>
        </is>
      </c>
      <c r="B260" s="1" t="n">
        <v>43843</v>
      </c>
      <c r="C260" s="1" t="n">
        <v>45844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2706-2020</t>
        </is>
      </c>
      <c r="B261" s="1" t="n">
        <v>43843</v>
      </c>
      <c r="C261" s="1" t="n">
        <v>45844</v>
      </c>
      <c r="D261" t="inlineStr">
        <is>
          <t>VÄRMLANDS LÄN</t>
        </is>
      </c>
      <c r="E261" t="inlineStr">
        <is>
          <t>ARVIKA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2709-2020</t>
        </is>
      </c>
      <c r="B262" s="1" t="n">
        <v>43843</v>
      </c>
      <c r="C262" s="1" t="n">
        <v>45844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2771-2020</t>
        </is>
      </c>
      <c r="B263" s="1" t="n">
        <v>43843</v>
      </c>
      <c r="C263" s="1" t="n">
        <v>45844</v>
      </c>
      <c r="D263" t="inlineStr">
        <is>
          <t>VÄRMLANDS LÄN</t>
        </is>
      </c>
      <c r="E263" t="inlineStr">
        <is>
          <t>ARVIKA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2075-2020</t>
        </is>
      </c>
      <c r="B264" s="1" t="n">
        <v>43845</v>
      </c>
      <c r="C264" s="1" t="n">
        <v>45844</v>
      </c>
      <c r="D264" t="inlineStr">
        <is>
          <t>VÄRMLANDS LÄN</t>
        </is>
      </c>
      <c r="E264" t="inlineStr">
        <is>
          <t>ARVIKA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3903-2020</t>
        </is>
      </c>
      <c r="B265" s="1" t="n">
        <v>43846</v>
      </c>
      <c r="C265" s="1" t="n">
        <v>45844</v>
      </c>
      <c r="D265" t="inlineStr">
        <is>
          <t>VÄRMLANDS LÄN</t>
        </is>
      </c>
      <c r="E265" t="inlineStr">
        <is>
          <t>ARVIKA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2624-2020</t>
        </is>
      </c>
      <c r="B266" s="1" t="n">
        <v>43847</v>
      </c>
      <c r="C266" s="1" t="n">
        <v>45844</v>
      </c>
      <c r="D266" t="inlineStr">
        <is>
          <t>VÄRMLANDS LÄN</t>
        </is>
      </c>
      <c r="E266" t="inlineStr">
        <is>
          <t>ARVIKA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3420-2020</t>
        </is>
      </c>
      <c r="B267" s="1" t="n">
        <v>43852</v>
      </c>
      <c r="C267" s="1" t="n">
        <v>45844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3927-2020</t>
        </is>
      </c>
      <c r="B268" s="1" t="n">
        <v>43854</v>
      </c>
      <c r="C268" s="1" t="n">
        <v>45844</v>
      </c>
      <c r="D268" t="inlineStr">
        <is>
          <t>VÄRMLANDS LÄN</t>
        </is>
      </c>
      <c r="E268" t="inlineStr">
        <is>
          <t>ARVIKA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5359-2020</t>
        </is>
      </c>
      <c r="B269" s="1" t="n">
        <v>43857</v>
      </c>
      <c r="C269" s="1" t="n">
        <v>45844</v>
      </c>
      <c r="D269" t="inlineStr">
        <is>
          <t>VÄRMLANDS LÄN</t>
        </is>
      </c>
      <c r="E269" t="inlineStr">
        <is>
          <t>ARVIKA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5602-2020</t>
        </is>
      </c>
      <c r="B270" s="1" t="n">
        <v>43861</v>
      </c>
      <c r="C270" s="1" t="n">
        <v>45844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6169-2020</t>
        </is>
      </c>
      <c r="B271" s="1" t="n">
        <v>43865</v>
      </c>
      <c r="C271" s="1" t="n">
        <v>45844</v>
      </c>
      <c r="D271" t="inlineStr">
        <is>
          <t>VÄRMLANDS LÄN</t>
        </is>
      </c>
      <c r="E271" t="inlineStr">
        <is>
          <t>ARVIKA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6770-2020</t>
        </is>
      </c>
      <c r="B272" s="1" t="n">
        <v>43867</v>
      </c>
      <c r="C272" s="1" t="n">
        <v>45844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6696-2020</t>
        </is>
      </c>
      <c r="B273" s="1" t="n">
        <v>43867</v>
      </c>
      <c r="C273" s="1" t="n">
        <v>45844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7936-2020</t>
        </is>
      </c>
      <c r="B274" s="1" t="n">
        <v>43873</v>
      </c>
      <c r="C274" s="1" t="n">
        <v>45844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8342-2020</t>
        </is>
      </c>
      <c r="B275" s="1" t="n">
        <v>43874</v>
      </c>
      <c r="C275" s="1" t="n">
        <v>45844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10424-2020</t>
        </is>
      </c>
      <c r="B276" s="1" t="n">
        <v>43886</v>
      </c>
      <c r="C276" s="1" t="n">
        <v>45844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11170-2020</t>
        </is>
      </c>
      <c r="B277" s="1" t="n">
        <v>43891</v>
      </c>
      <c r="C277" s="1" t="n">
        <v>45844</v>
      </c>
      <c r="D277" t="inlineStr">
        <is>
          <t>VÄRMLANDS LÄN</t>
        </is>
      </c>
      <c r="E277" t="inlineStr">
        <is>
          <t>ARVIKA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11313-2020</t>
        </is>
      </c>
      <c r="B278" s="1" t="n">
        <v>43892</v>
      </c>
      <c r="C278" s="1" t="n">
        <v>45844</v>
      </c>
      <c r="D278" t="inlineStr">
        <is>
          <t>VÄRMLANDS LÄN</t>
        </is>
      </c>
      <c r="E278" t="inlineStr">
        <is>
          <t>ARVIKA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11660-2020</t>
        </is>
      </c>
      <c r="B279" s="1" t="n">
        <v>43893</v>
      </c>
      <c r="C279" s="1" t="n">
        <v>45844</v>
      </c>
      <c r="D279" t="inlineStr">
        <is>
          <t>VÄRMLANDS LÄN</t>
        </is>
      </c>
      <c r="E279" t="inlineStr">
        <is>
          <t>ARVIKA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12210-2020</t>
        </is>
      </c>
      <c r="B280" s="1" t="n">
        <v>43895</v>
      </c>
      <c r="C280" s="1" t="n">
        <v>45844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12399-2020</t>
        </is>
      </c>
      <c r="B281" s="1" t="n">
        <v>43896</v>
      </c>
      <c r="C281" s="1" t="n">
        <v>45844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12506-2020</t>
        </is>
      </c>
      <c r="B282" s="1" t="n">
        <v>43896</v>
      </c>
      <c r="C282" s="1" t="n">
        <v>45844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12559-2020</t>
        </is>
      </c>
      <c r="B283" s="1" t="n">
        <v>43898</v>
      </c>
      <c r="C283" s="1" t="n">
        <v>45844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12995-2020</t>
        </is>
      </c>
      <c r="B284" s="1" t="n">
        <v>43900</v>
      </c>
      <c r="C284" s="1" t="n">
        <v>45844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13060-2020</t>
        </is>
      </c>
      <c r="B285" s="1" t="n">
        <v>43900</v>
      </c>
      <c r="C285" s="1" t="n">
        <v>45844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13459-2020</t>
        </is>
      </c>
      <c r="B286" s="1" t="n">
        <v>43902</v>
      </c>
      <c r="C286" s="1" t="n">
        <v>45844</v>
      </c>
      <c r="D286" t="inlineStr">
        <is>
          <t>VÄRMLANDS LÄN</t>
        </is>
      </c>
      <c r="E286" t="inlineStr">
        <is>
          <t>ARVIKA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13623-2020</t>
        </is>
      </c>
      <c r="B287" s="1" t="n">
        <v>43903</v>
      </c>
      <c r="C287" s="1" t="n">
        <v>45844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13615-2020</t>
        </is>
      </c>
      <c r="B288" s="1" t="n">
        <v>43903</v>
      </c>
      <c r="C288" s="1" t="n">
        <v>45844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13828-2020</t>
        </is>
      </c>
      <c r="B289" s="1" t="n">
        <v>43905</v>
      </c>
      <c r="C289" s="1" t="n">
        <v>45844</v>
      </c>
      <c r="D289" t="inlineStr">
        <is>
          <t>VÄRMLANDS LÄN</t>
        </is>
      </c>
      <c r="E289" t="inlineStr">
        <is>
          <t>ARVIKA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14052-2020</t>
        </is>
      </c>
      <c r="B290" s="1" t="n">
        <v>43906</v>
      </c>
      <c r="C290" s="1" t="n">
        <v>45844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14445-2020</t>
        </is>
      </c>
      <c r="B291" s="1" t="n">
        <v>43908</v>
      </c>
      <c r="C291" s="1" t="n">
        <v>45844</v>
      </c>
      <c r="D291" t="inlineStr">
        <is>
          <t>VÄRMLANDS LÄN</t>
        </is>
      </c>
      <c r="E291" t="inlineStr">
        <is>
          <t>ARVIKA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14353-2020</t>
        </is>
      </c>
      <c r="B292" s="1" t="n">
        <v>43908</v>
      </c>
      <c r="C292" s="1" t="n">
        <v>45844</v>
      </c>
      <c r="D292" t="inlineStr">
        <is>
          <t>VÄRMLANDS LÄN</t>
        </is>
      </c>
      <c r="E292" t="inlineStr">
        <is>
          <t>ARVIKA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14661-2020</t>
        </is>
      </c>
      <c r="B293" s="1" t="n">
        <v>43909</v>
      </c>
      <c r="C293" s="1" t="n">
        <v>45844</v>
      </c>
      <c r="D293" t="inlineStr">
        <is>
          <t>VÄRMLANDS LÄN</t>
        </is>
      </c>
      <c r="E293" t="inlineStr">
        <is>
          <t>ARVIKA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14606-2020</t>
        </is>
      </c>
      <c r="B294" s="1" t="n">
        <v>43909</v>
      </c>
      <c r="C294" s="1" t="n">
        <v>45844</v>
      </c>
      <c r="D294" t="inlineStr">
        <is>
          <t>VÄRMLANDS LÄN</t>
        </is>
      </c>
      <c r="E294" t="inlineStr">
        <is>
          <t>ARVIKA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15022-2020</t>
        </is>
      </c>
      <c r="B295" s="1" t="n">
        <v>43910</v>
      </c>
      <c r="C295" s="1" t="n">
        <v>45844</v>
      </c>
      <c r="D295" t="inlineStr">
        <is>
          <t>VÄRMLANDS LÄN</t>
        </is>
      </c>
      <c r="E295" t="inlineStr">
        <is>
          <t>ARVIKA</t>
        </is>
      </c>
      <c r="G295" t="n">
        <v>29.3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15256-2020</t>
        </is>
      </c>
      <c r="B296" s="1" t="n">
        <v>43913</v>
      </c>
      <c r="C296" s="1" t="n">
        <v>45844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15259-2020</t>
        </is>
      </c>
      <c r="B297" s="1" t="n">
        <v>43913</v>
      </c>
      <c r="C297" s="1" t="n">
        <v>45844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15339-2020</t>
        </is>
      </c>
      <c r="B298" s="1" t="n">
        <v>43913</v>
      </c>
      <c r="C298" s="1" t="n">
        <v>45844</v>
      </c>
      <c r="D298" t="inlineStr">
        <is>
          <t>VÄRMLANDS LÄN</t>
        </is>
      </c>
      <c r="E298" t="inlineStr">
        <is>
          <t>ARVIKA</t>
        </is>
      </c>
      <c r="G298" t="n">
        <v>21.4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15627-2020</t>
        </is>
      </c>
      <c r="B299" s="1" t="n">
        <v>43914</v>
      </c>
      <c r="C299" s="1" t="n">
        <v>45844</v>
      </c>
      <c r="D299" t="inlineStr">
        <is>
          <t>VÄRMLANDS LÄN</t>
        </is>
      </c>
      <c r="E299" t="inlineStr">
        <is>
          <t>ARVIKA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15657-2020</t>
        </is>
      </c>
      <c r="B300" s="1" t="n">
        <v>43915</v>
      </c>
      <c r="C300" s="1" t="n">
        <v>45844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15853-2020</t>
        </is>
      </c>
      <c r="B301" s="1" t="n">
        <v>43915</v>
      </c>
      <c r="C301" s="1" t="n">
        <v>45844</v>
      </c>
      <c r="D301" t="inlineStr">
        <is>
          <t>VÄRMLANDS LÄN</t>
        </is>
      </c>
      <c r="E301" t="inlineStr">
        <is>
          <t>ARVIKA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16030-2020</t>
        </is>
      </c>
      <c r="B302" s="1" t="n">
        <v>43916</v>
      </c>
      <c r="C302" s="1" t="n">
        <v>45844</v>
      </c>
      <c r="D302" t="inlineStr">
        <is>
          <t>VÄRMLANDS LÄN</t>
        </is>
      </c>
      <c r="E302" t="inlineStr">
        <is>
          <t>ARVIKA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16035-2020</t>
        </is>
      </c>
      <c r="B303" s="1" t="n">
        <v>43916</v>
      </c>
      <c r="C303" s="1" t="n">
        <v>45844</v>
      </c>
      <c r="D303" t="inlineStr">
        <is>
          <t>VÄRMLANDS LÄN</t>
        </is>
      </c>
      <c r="E303" t="inlineStr">
        <is>
          <t>ARVIKA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16064-2020</t>
        </is>
      </c>
      <c r="B304" s="1" t="n">
        <v>43916</v>
      </c>
      <c r="C304" s="1" t="n">
        <v>45844</v>
      </c>
      <c r="D304" t="inlineStr">
        <is>
          <t>VÄRMLANDS LÄN</t>
        </is>
      </c>
      <c r="E304" t="inlineStr">
        <is>
          <t>ARVIKA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16329-2020</t>
        </is>
      </c>
      <c r="B305" s="1" t="n">
        <v>43917</v>
      </c>
      <c r="C305" s="1" t="n">
        <v>45844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17036-2020</t>
        </is>
      </c>
      <c r="B306" s="1" t="n">
        <v>43921</v>
      </c>
      <c r="C306" s="1" t="n">
        <v>45844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17732-2020</t>
        </is>
      </c>
      <c r="B307" s="1" t="n">
        <v>43924</v>
      </c>
      <c r="C307" s="1" t="n">
        <v>45844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17970-2020</t>
        </is>
      </c>
      <c r="B308" s="1" t="n">
        <v>43925</v>
      </c>
      <c r="C308" s="1" t="n">
        <v>45844</v>
      </c>
      <c r="D308" t="inlineStr">
        <is>
          <t>VÄRMLANDS LÄN</t>
        </is>
      </c>
      <c r="E308" t="inlineStr">
        <is>
          <t>ARVIKA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19519-2020</t>
        </is>
      </c>
      <c r="B309" s="1" t="n">
        <v>43939</v>
      </c>
      <c r="C309" s="1" t="n">
        <v>45844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20235-2020</t>
        </is>
      </c>
      <c r="B310" s="1" t="n">
        <v>43944</v>
      </c>
      <c r="C310" s="1" t="n">
        <v>45844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20564-2020</t>
        </is>
      </c>
      <c r="B311" s="1" t="n">
        <v>43948</v>
      </c>
      <c r="C311" s="1" t="n">
        <v>45844</v>
      </c>
      <c r="D311" t="inlineStr">
        <is>
          <t>VÄRMLANDS LÄN</t>
        </is>
      </c>
      <c r="E311" t="inlineStr">
        <is>
          <t>ARVIKA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20798-2020</t>
        </is>
      </c>
      <c r="B312" s="1" t="n">
        <v>43949</v>
      </c>
      <c r="C312" s="1" t="n">
        <v>45844</v>
      </c>
      <c r="D312" t="inlineStr">
        <is>
          <t>VÄRMLANDS LÄN</t>
        </is>
      </c>
      <c r="E312" t="inlineStr">
        <is>
          <t>ARVIKA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20898-2020</t>
        </is>
      </c>
      <c r="B313" s="1" t="n">
        <v>43950</v>
      </c>
      <c r="C313" s="1" t="n">
        <v>45844</v>
      </c>
      <c r="D313" t="inlineStr">
        <is>
          <t>VÄRMLANDS LÄN</t>
        </is>
      </c>
      <c r="E313" t="inlineStr">
        <is>
          <t>ARVIKA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23165-2020</t>
        </is>
      </c>
      <c r="B314" s="1" t="n">
        <v>43966</v>
      </c>
      <c r="C314" s="1" t="n">
        <v>45844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23362-2020</t>
        </is>
      </c>
      <c r="B315" s="1" t="n">
        <v>43967</v>
      </c>
      <c r="C315" s="1" t="n">
        <v>45844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24165-2020</t>
        </is>
      </c>
      <c r="B316" s="1" t="n">
        <v>43975</v>
      </c>
      <c r="C316" s="1" t="n">
        <v>45844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25237-2020</t>
        </is>
      </c>
      <c r="B317" s="1" t="n">
        <v>43979</v>
      </c>
      <c r="C317" s="1" t="n">
        <v>45844</v>
      </c>
      <c r="D317" t="inlineStr">
        <is>
          <t>VÄRMLANDS LÄN</t>
        </is>
      </c>
      <c r="E317" t="inlineStr">
        <is>
          <t>ARVIKA</t>
        </is>
      </c>
      <c r="G317" t="n">
        <v>26.4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25211-2020</t>
        </is>
      </c>
      <c r="B318" s="1" t="n">
        <v>43980</v>
      </c>
      <c r="C318" s="1" t="n">
        <v>45844</v>
      </c>
      <c r="D318" t="inlineStr">
        <is>
          <t>VÄRMLANDS LÄN</t>
        </is>
      </c>
      <c r="E318" t="inlineStr">
        <is>
          <t>ARVIKA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25977-2020</t>
        </is>
      </c>
      <c r="B319" s="1" t="n">
        <v>43985</v>
      </c>
      <c r="C319" s="1" t="n">
        <v>45844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25953-2020</t>
        </is>
      </c>
      <c r="B320" s="1" t="n">
        <v>43985</v>
      </c>
      <c r="C320" s="1" t="n">
        <v>45844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26547-2020</t>
        </is>
      </c>
      <c r="B321" s="1" t="n">
        <v>43987</v>
      </c>
      <c r="C321" s="1" t="n">
        <v>45844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27474-2020</t>
        </is>
      </c>
      <c r="B322" s="1" t="n">
        <v>43993</v>
      </c>
      <c r="C322" s="1" t="n">
        <v>45844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27756-2020</t>
        </is>
      </c>
      <c r="B323" s="1" t="n">
        <v>43994</v>
      </c>
      <c r="C323" s="1" t="n">
        <v>45844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28594-2020</t>
        </is>
      </c>
      <c r="B324" s="1" t="n">
        <v>43999</v>
      </c>
      <c r="C324" s="1" t="n">
        <v>45844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29418-2020</t>
        </is>
      </c>
      <c r="B325" s="1" t="n">
        <v>44004</v>
      </c>
      <c r="C325" s="1" t="n">
        <v>45844</v>
      </c>
      <c r="D325" t="inlineStr">
        <is>
          <t>VÄRMLANDS LÄN</t>
        </is>
      </c>
      <c r="E325" t="inlineStr">
        <is>
          <t>ARVIKA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29424-2020</t>
        </is>
      </c>
      <c r="B326" s="1" t="n">
        <v>44004</v>
      </c>
      <c r="C326" s="1" t="n">
        <v>45844</v>
      </c>
      <c r="D326" t="inlineStr">
        <is>
          <t>VÄRMLANDS LÄN</t>
        </is>
      </c>
      <c r="E326" t="inlineStr">
        <is>
          <t>ARVIKA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30684-2020</t>
        </is>
      </c>
      <c r="B327" s="1" t="n">
        <v>44008</v>
      </c>
      <c r="C327" s="1" t="n">
        <v>45844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30690-2020</t>
        </is>
      </c>
      <c r="B328" s="1" t="n">
        <v>44008</v>
      </c>
      <c r="C328" s="1" t="n">
        <v>45844</v>
      </c>
      <c r="D328" t="inlineStr">
        <is>
          <t>VÄRMLANDS LÄN</t>
        </is>
      </c>
      <c r="E328" t="inlineStr">
        <is>
          <t>ARVIKA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31135-2020</t>
        </is>
      </c>
      <c r="B329" s="1" t="n">
        <v>44012</v>
      </c>
      <c r="C329" s="1" t="n">
        <v>45844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31689-2020</t>
        </is>
      </c>
      <c r="B330" s="1" t="n">
        <v>44014</v>
      </c>
      <c r="C330" s="1" t="n">
        <v>45844</v>
      </c>
      <c r="D330" t="inlineStr">
        <is>
          <t>VÄRMLANDS LÄN</t>
        </is>
      </c>
      <c r="E330" t="inlineStr">
        <is>
          <t>ARVIKA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32354-2020</t>
        </is>
      </c>
      <c r="B331" s="1" t="n">
        <v>44017</v>
      </c>
      <c r="C331" s="1" t="n">
        <v>45844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32570-2020</t>
        </is>
      </c>
      <c r="B332" s="1" t="n">
        <v>44018</v>
      </c>
      <c r="C332" s="1" t="n">
        <v>45844</v>
      </c>
      <c r="D332" t="inlineStr">
        <is>
          <t>VÄRMLANDS LÄN</t>
        </is>
      </c>
      <c r="E332" t="inlineStr">
        <is>
          <t>ARVIKA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32600-2020</t>
        </is>
      </c>
      <c r="B333" s="1" t="n">
        <v>44019</v>
      </c>
      <c r="C333" s="1" t="n">
        <v>45844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34053-2020</t>
        </is>
      </c>
      <c r="B334" s="1" t="n">
        <v>44026</v>
      </c>
      <c r="C334" s="1" t="n">
        <v>45844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34035-2020</t>
        </is>
      </c>
      <c r="B335" s="1" t="n">
        <v>44026</v>
      </c>
      <c r="C335" s="1" t="n">
        <v>45844</v>
      </c>
      <c r="D335" t="inlineStr">
        <is>
          <t>VÄRMLANDS LÄN</t>
        </is>
      </c>
      <c r="E335" t="inlineStr">
        <is>
          <t>ARVIKA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34044-2020</t>
        </is>
      </c>
      <c r="B336" s="1" t="n">
        <v>44026</v>
      </c>
      <c r="C336" s="1" t="n">
        <v>45844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33847-2020</t>
        </is>
      </c>
      <c r="B337" s="1" t="n">
        <v>44027</v>
      </c>
      <c r="C337" s="1" t="n">
        <v>45844</v>
      </c>
      <c r="D337" t="inlineStr">
        <is>
          <t>VÄRMLANDS LÄN</t>
        </is>
      </c>
      <c r="E337" t="inlineStr">
        <is>
          <t>ARVIKA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34296-2020</t>
        </is>
      </c>
      <c r="B338" s="1" t="n">
        <v>44030</v>
      </c>
      <c r="C338" s="1" t="n">
        <v>45844</v>
      </c>
      <c r="D338" t="inlineStr">
        <is>
          <t>VÄRMLANDS LÄN</t>
        </is>
      </c>
      <c r="E338" t="inlineStr">
        <is>
          <t>ARVIKA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34297-2020</t>
        </is>
      </c>
      <c r="B339" s="1" t="n">
        <v>44030</v>
      </c>
      <c r="C339" s="1" t="n">
        <v>45844</v>
      </c>
      <c r="D339" t="inlineStr">
        <is>
          <t>VÄRMLANDS LÄN</t>
        </is>
      </c>
      <c r="E339" t="inlineStr">
        <is>
          <t>ARVIKA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34534-2020</t>
        </is>
      </c>
      <c r="B340" s="1" t="n">
        <v>44031</v>
      </c>
      <c r="C340" s="1" t="n">
        <v>45844</v>
      </c>
      <c r="D340" t="inlineStr">
        <is>
          <t>VÄRMLANDS LÄN</t>
        </is>
      </c>
      <c r="E340" t="inlineStr">
        <is>
          <t>ARVIKA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34535-2020</t>
        </is>
      </c>
      <c r="B341" s="1" t="n">
        <v>44031</v>
      </c>
      <c r="C341" s="1" t="n">
        <v>45844</v>
      </c>
      <c r="D341" t="inlineStr">
        <is>
          <t>VÄRMLANDS LÄN</t>
        </is>
      </c>
      <c r="E341" t="inlineStr">
        <is>
          <t>ARVIKA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35420-2020</t>
        </is>
      </c>
      <c r="B342" s="1" t="n">
        <v>44042</v>
      </c>
      <c r="C342" s="1" t="n">
        <v>45844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35424-2020</t>
        </is>
      </c>
      <c r="B343" s="1" t="n">
        <v>44042</v>
      </c>
      <c r="C343" s="1" t="n">
        <v>45844</v>
      </c>
      <c r="D343" t="inlineStr">
        <is>
          <t>VÄRMLANDS LÄN</t>
        </is>
      </c>
      <c r="E343" t="inlineStr">
        <is>
          <t>ARVIKA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35431-2020</t>
        </is>
      </c>
      <c r="B344" s="1" t="n">
        <v>44042</v>
      </c>
      <c r="C344" s="1" t="n">
        <v>45844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35429-2020</t>
        </is>
      </c>
      <c r="B345" s="1" t="n">
        <v>44042</v>
      </c>
      <c r="C345" s="1" t="n">
        <v>45844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35421-2020</t>
        </is>
      </c>
      <c r="B346" s="1" t="n">
        <v>44042</v>
      </c>
      <c r="C346" s="1" t="n">
        <v>45844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36301-2020</t>
        </is>
      </c>
      <c r="B347" s="1" t="n">
        <v>44049</v>
      </c>
      <c r="C347" s="1" t="n">
        <v>45844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36548-2020</t>
        </is>
      </c>
      <c r="B348" s="1" t="n">
        <v>44050</v>
      </c>
      <c r="C348" s="1" t="n">
        <v>45844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36827-2020</t>
        </is>
      </c>
      <c r="B349" s="1" t="n">
        <v>44053</v>
      </c>
      <c r="C349" s="1" t="n">
        <v>45844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36820-2020</t>
        </is>
      </c>
      <c r="B350" s="1" t="n">
        <v>44053</v>
      </c>
      <c r="C350" s="1" t="n">
        <v>45844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37995-2020</t>
        </is>
      </c>
      <c r="B351" s="1" t="n">
        <v>44057</v>
      </c>
      <c r="C351" s="1" t="n">
        <v>45844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38940-2020</t>
        </is>
      </c>
      <c r="B352" s="1" t="n">
        <v>44062</v>
      </c>
      <c r="C352" s="1" t="n">
        <v>45844</v>
      </c>
      <c r="D352" t="inlineStr">
        <is>
          <t>VÄRMLANDS LÄN</t>
        </is>
      </c>
      <c r="E352" t="inlineStr">
        <is>
          <t>ARVIKA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39528-2020</t>
        </is>
      </c>
      <c r="B353" s="1" t="n">
        <v>44064</v>
      </c>
      <c r="C353" s="1" t="n">
        <v>45844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39883-2020</t>
        </is>
      </c>
      <c r="B354" s="1" t="n">
        <v>44067</v>
      </c>
      <c r="C354" s="1" t="n">
        <v>45844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40331-2020</t>
        </is>
      </c>
      <c r="B355" s="1" t="n">
        <v>44067</v>
      </c>
      <c r="C355" s="1" t="n">
        <v>45844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40975-2020</t>
        </is>
      </c>
      <c r="B356" s="1" t="n">
        <v>44068</v>
      </c>
      <c r="C356" s="1" t="n">
        <v>45844</v>
      </c>
      <c r="D356" t="inlineStr">
        <is>
          <t>VÄRMLANDS LÄN</t>
        </is>
      </c>
      <c r="E356" t="inlineStr">
        <is>
          <t>ARVIKA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41000-2020</t>
        </is>
      </c>
      <c r="B357" s="1" t="n">
        <v>44068</v>
      </c>
      <c r="C357" s="1" t="n">
        <v>45844</v>
      </c>
      <c r="D357" t="inlineStr">
        <is>
          <t>VÄRMLANDS LÄN</t>
        </is>
      </c>
      <c r="E357" t="inlineStr">
        <is>
          <t>ARVIKA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40926-2020</t>
        </is>
      </c>
      <c r="B358" s="1" t="n">
        <v>44070</v>
      </c>
      <c r="C358" s="1" t="n">
        <v>45844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41274-2020</t>
        </is>
      </c>
      <c r="B359" s="1" t="n">
        <v>44071</v>
      </c>
      <c r="C359" s="1" t="n">
        <v>45844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41130-2020</t>
        </is>
      </c>
      <c r="B360" s="1" t="n">
        <v>44071</v>
      </c>
      <c r="C360" s="1" t="n">
        <v>45844</v>
      </c>
      <c r="D360" t="inlineStr">
        <is>
          <t>VÄRMLANDS LÄN</t>
        </is>
      </c>
      <c r="E360" t="inlineStr">
        <is>
          <t>ARVIKA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42128-2020</t>
        </is>
      </c>
      <c r="B361" s="1" t="n">
        <v>44075</v>
      </c>
      <c r="C361" s="1" t="n">
        <v>45844</v>
      </c>
      <c r="D361" t="inlineStr">
        <is>
          <t>VÄRMLANDS LÄN</t>
        </is>
      </c>
      <c r="E361" t="inlineStr">
        <is>
          <t>ARVIKA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42294-2020</t>
        </is>
      </c>
      <c r="B362" s="1" t="n">
        <v>44076</v>
      </c>
      <c r="C362" s="1" t="n">
        <v>45844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43193-2020</t>
        </is>
      </c>
      <c r="B363" s="1" t="n">
        <v>44081</v>
      </c>
      <c r="C363" s="1" t="n">
        <v>45844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44767-2020</t>
        </is>
      </c>
      <c r="B364" s="1" t="n">
        <v>44085</v>
      </c>
      <c r="C364" s="1" t="n">
        <v>45844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44689-2020</t>
        </is>
      </c>
      <c r="B365" s="1" t="n">
        <v>44085</v>
      </c>
      <c r="C365" s="1" t="n">
        <v>45844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45319-2020</t>
        </is>
      </c>
      <c r="B366" s="1" t="n">
        <v>44085</v>
      </c>
      <c r="C366" s="1" t="n">
        <v>45844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45524-2020</t>
        </is>
      </c>
      <c r="B367" s="1" t="n">
        <v>44089</v>
      </c>
      <c r="C367" s="1" t="n">
        <v>45844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45258-2020</t>
        </is>
      </c>
      <c r="B368" s="1" t="n">
        <v>44089</v>
      </c>
      <c r="C368" s="1" t="n">
        <v>45844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46192-2020</t>
        </is>
      </c>
      <c r="B369" s="1" t="n">
        <v>44092</v>
      </c>
      <c r="C369" s="1" t="n">
        <v>45844</v>
      </c>
      <c r="D369" t="inlineStr">
        <is>
          <t>VÄRMLANDS LÄN</t>
        </is>
      </c>
      <c r="E369" t="inlineStr">
        <is>
          <t>ARVIKA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46680-2020</t>
        </is>
      </c>
      <c r="B370" s="1" t="n">
        <v>44095</v>
      </c>
      <c r="C370" s="1" t="n">
        <v>45844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47266-2020</t>
        </is>
      </c>
      <c r="B371" s="1" t="n">
        <v>44097</v>
      </c>
      <c r="C371" s="1" t="n">
        <v>45844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47147-2020</t>
        </is>
      </c>
      <c r="B372" s="1" t="n">
        <v>44097</v>
      </c>
      <c r="C372" s="1" t="n">
        <v>45844</v>
      </c>
      <c r="D372" t="inlineStr">
        <is>
          <t>VÄRMLANDS LÄN</t>
        </is>
      </c>
      <c r="E372" t="inlineStr">
        <is>
          <t>ARVIKA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47328-2020</t>
        </is>
      </c>
      <c r="B373" s="1" t="n">
        <v>44097</v>
      </c>
      <c r="C373" s="1" t="n">
        <v>45844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47928-2020</t>
        </is>
      </c>
      <c r="B374" s="1" t="n">
        <v>44099</v>
      </c>
      <c r="C374" s="1" t="n">
        <v>45844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48020-2020</t>
        </is>
      </c>
      <c r="B375" s="1" t="n">
        <v>44099</v>
      </c>
      <c r="C375" s="1" t="n">
        <v>45844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51795-2020</t>
        </is>
      </c>
      <c r="B376" s="1" t="n">
        <v>44116</v>
      </c>
      <c r="C376" s="1" t="n">
        <v>45844</v>
      </c>
      <c r="D376" t="inlineStr">
        <is>
          <t>VÄRMLANDS LÄN</t>
        </is>
      </c>
      <c r="E376" t="inlineStr">
        <is>
          <t>ARVIKA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53382-2020</t>
        </is>
      </c>
      <c r="B377" s="1" t="n">
        <v>44123</v>
      </c>
      <c r="C377" s="1" t="n">
        <v>45844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53300-2020</t>
        </is>
      </c>
      <c r="B378" s="1" t="n">
        <v>44123</v>
      </c>
      <c r="C378" s="1" t="n">
        <v>45844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53715-2020</t>
        </is>
      </c>
      <c r="B379" s="1" t="n">
        <v>44124</v>
      </c>
      <c r="C379" s="1" t="n">
        <v>45844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54264-2020</t>
        </is>
      </c>
      <c r="B380" s="1" t="n">
        <v>44124</v>
      </c>
      <c r="C380" s="1" t="n">
        <v>45844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54503-2020</t>
        </is>
      </c>
      <c r="B381" s="1" t="n">
        <v>44126</v>
      </c>
      <c r="C381" s="1" t="n">
        <v>45844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55903-2020</t>
        </is>
      </c>
      <c r="B382" s="1" t="n">
        <v>44132</v>
      </c>
      <c r="C382" s="1" t="n">
        <v>45844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56624-2020</t>
        </is>
      </c>
      <c r="B383" s="1" t="n">
        <v>44137</v>
      </c>
      <c r="C383" s="1" t="n">
        <v>45844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56518-2020</t>
        </is>
      </c>
      <c r="B384" s="1" t="n">
        <v>44137</v>
      </c>
      <c r="C384" s="1" t="n">
        <v>45844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57219-2020</t>
        </is>
      </c>
      <c r="B385" s="1" t="n">
        <v>44138</v>
      </c>
      <c r="C385" s="1" t="n">
        <v>45844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57331-2020</t>
        </is>
      </c>
      <c r="B386" s="1" t="n">
        <v>44139</v>
      </c>
      <c r="C386" s="1" t="n">
        <v>45844</v>
      </c>
      <c r="D386" t="inlineStr">
        <is>
          <t>VÄRMLANDS LÄN</t>
        </is>
      </c>
      <c r="E386" t="inlineStr">
        <is>
          <t>ARVIKA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58687-2020</t>
        </is>
      </c>
      <c r="B387" s="1" t="n">
        <v>44146</v>
      </c>
      <c r="C387" s="1" t="n">
        <v>45844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58695-2020</t>
        </is>
      </c>
      <c r="B388" s="1" t="n">
        <v>44146</v>
      </c>
      <c r="C388" s="1" t="n">
        <v>45844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59823-2020</t>
        </is>
      </c>
      <c r="B389" s="1" t="n">
        <v>44151</v>
      </c>
      <c r="C389" s="1" t="n">
        <v>45844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59779-2020</t>
        </is>
      </c>
      <c r="B390" s="1" t="n">
        <v>44151</v>
      </c>
      <c r="C390" s="1" t="n">
        <v>45844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59795-2020</t>
        </is>
      </c>
      <c r="B391" s="1" t="n">
        <v>44151</v>
      </c>
      <c r="C391" s="1" t="n">
        <v>45844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59820-2020</t>
        </is>
      </c>
      <c r="B392" s="1" t="n">
        <v>44151</v>
      </c>
      <c r="C392" s="1" t="n">
        <v>45844</v>
      </c>
      <c r="D392" t="inlineStr">
        <is>
          <t>VÄRMLANDS LÄN</t>
        </is>
      </c>
      <c r="E392" t="inlineStr">
        <is>
          <t>ARVIKA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59814-2020</t>
        </is>
      </c>
      <c r="B393" s="1" t="n">
        <v>44151</v>
      </c>
      <c r="C393" s="1" t="n">
        <v>45844</v>
      </c>
      <c r="D393" t="inlineStr">
        <is>
          <t>VÄRMLANDS LÄN</t>
        </is>
      </c>
      <c r="E393" t="inlineStr">
        <is>
          <t>ARVIKA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59824-2020</t>
        </is>
      </c>
      <c r="B394" s="1" t="n">
        <v>44151</v>
      </c>
      <c r="C394" s="1" t="n">
        <v>45844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59784-2020</t>
        </is>
      </c>
      <c r="B395" s="1" t="n">
        <v>44151</v>
      </c>
      <c r="C395" s="1" t="n">
        <v>45844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59821-2020</t>
        </is>
      </c>
      <c r="B396" s="1" t="n">
        <v>44151</v>
      </c>
      <c r="C396" s="1" t="n">
        <v>45844</v>
      </c>
      <c r="D396" t="inlineStr">
        <is>
          <t>VÄRMLANDS LÄN</t>
        </is>
      </c>
      <c r="E396" t="inlineStr">
        <is>
          <t>ARVIKA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60277-2020</t>
        </is>
      </c>
      <c r="B397" s="1" t="n">
        <v>44151</v>
      </c>
      <c r="C397" s="1" t="n">
        <v>45844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60275-2020</t>
        </is>
      </c>
      <c r="B398" s="1" t="n">
        <v>44151</v>
      </c>
      <c r="C398" s="1" t="n">
        <v>45844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60955-2020</t>
        </is>
      </c>
      <c r="B399" s="1" t="n">
        <v>44154</v>
      </c>
      <c r="C399" s="1" t="n">
        <v>45844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60784-2020</t>
        </is>
      </c>
      <c r="B400" s="1" t="n">
        <v>44154</v>
      </c>
      <c r="C400" s="1" t="n">
        <v>45844</v>
      </c>
      <c r="D400" t="inlineStr">
        <is>
          <t>VÄRMLANDS LÄN</t>
        </is>
      </c>
      <c r="E400" t="inlineStr">
        <is>
          <t>ARVIKA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61280-2020</t>
        </is>
      </c>
      <c r="B401" s="1" t="n">
        <v>44155</v>
      </c>
      <c r="C401" s="1" t="n">
        <v>45844</v>
      </c>
      <c r="D401" t="inlineStr">
        <is>
          <t>VÄRMLANDS LÄN</t>
        </is>
      </c>
      <c r="E401" t="inlineStr">
        <is>
          <t>ARVIKA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61734-2020</t>
        </is>
      </c>
      <c r="B402" s="1" t="n">
        <v>44158</v>
      </c>
      <c r="C402" s="1" t="n">
        <v>45844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62149-2020</t>
        </is>
      </c>
      <c r="B403" s="1" t="n">
        <v>44159</v>
      </c>
      <c r="C403" s="1" t="n">
        <v>45844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62566-2020</t>
        </is>
      </c>
      <c r="B404" s="1" t="n">
        <v>44160</v>
      </c>
      <c r="C404" s="1" t="n">
        <v>45844</v>
      </c>
      <c r="D404" t="inlineStr">
        <is>
          <t>VÄRMLANDS LÄN</t>
        </is>
      </c>
      <c r="E404" t="inlineStr">
        <is>
          <t>ARVIKA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62713-2020</t>
        </is>
      </c>
      <c r="B405" s="1" t="n">
        <v>44161</v>
      </c>
      <c r="C405" s="1" t="n">
        <v>45844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63536-2020</t>
        </is>
      </c>
      <c r="B406" s="1" t="n">
        <v>44165</v>
      </c>
      <c r="C406" s="1" t="n">
        <v>45844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63720-2020</t>
        </is>
      </c>
      <c r="B407" s="1" t="n">
        <v>44166</v>
      </c>
      <c r="C407" s="1" t="n">
        <v>45844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65353-2020</t>
        </is>
      </c>
      <c r="B408" s="1" t="n">
        <v>44169</v>
      </c>
      <c r="C408" s="1" t="n">
        <v>45844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65075-2020</t>
        </is>
      </c>
      <c r="B409" s="1" t="n">
        <v>44172</v>
      </c>
      <c r="C409" s="1" t="n">
        <v>45844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66807-2020</t>
        </is>
      </c>
      <c r="B410" s="1" t="n">
        <v>44179</v>
      </c>
      <c r="C410" s="1" t="n">
        <v>45844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67035-2020</t>
        </is>
      </c>
      <c r="B411" s="1" t="n">
        <v>44180</v>
      </c>
      <c r="C411" s="1" t="n">
        <v>45844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68279-2020</t>
        </is>
      </c>
      <c r="B412" s="1" t="n">
        <v>44183</v>
      </c>
      <c r="C412" s="1" t="n">
        <v>45844</v>
      </c>
      <c r="D412" t="inlineStr">
        <is>
          <t>VÄRMLANDS LÄN</t>
        </is>
      </c>
      <c r="E412" t="inlineStr">
        <is>
          <t>ARVIKA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69361-2020</t>
        </is>
      </c>
      <c r="B413" s="1" t="n">
        <v>44193</v>
      </c>
      <c r="C413" s="1" t="n">
        <v>45844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69367-2020</t>
        </is>
      </c>
      <c r="B414" s="1" t="n">
        <v>44193</v>
      </c>
      <c r="C414" s="1" t="n">
        <v>45844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260-2021</t>
        </is>
      </c>
      <c r="B415" s="1" t="n">
        <v>44200</v>
      </c>
      <c r="C415" s="1" t="n">
        <v>45844</v>
      </c>
      <c r="D415" t="inlineStr">
        <is>
          <t>VÄRMLANDS LÄN</t>
        </is>
      </c>
      <c r="E415" t="inlineStr">
        <is>
          <t>ARVIKA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485-2021</t>
        </is>
      </c>
      <c r="B416" s="1" t="n">
        <v>44200</v>
      </c>
      <c r="C416" s="1" t="n">
        <v>45844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625-2021</t>
        </is>
      </c>
      <c r="B417" s="1" t="n">
        <v>44201</v>
      </c>
      <c r="C417" s="1" t="n">
        <v>45844</v>
      </c>
      <c r="D417" t="inlineStr">
        <is>
          <t>VÄRMLANDS LÄN</t>
        </is>
      </c>
      <c r="E417" t="inlineStr">
        <is>
          <t>ARVIKA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1059-2021</t>
        </is>
      </c>
      <c r="B418" s="1" t="n">
        <v>44207</v>
      </c>
      <c r="C418" s="1" t="n">
        <v>45844</v>
      </c>
      <c r="D418" t="inlineStr">
        <is>
          <t>VÄRMLANDS LÄN</t>
        </is>
      </c>
      <c r="E418" t="inlineStr">
        <is>
          <t>ARVIKA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45844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1534-2021</t>
        </is>
      </c>
      <c r="B420" s="1" t="n">
        <v>44209</v>
      </c>
      <c r="C420" s="1" t="n">
        <v>45844</v>
      </c>
      <c r="D420" t="inlineStr">
        <is>
          <t>VÄRMLANDS LÄN</t>
        </is>
      </c>
      <c r="E420" t="inlineStr">
        <is>
          <t>ARVIKA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1906-2021</t>
        </is>
      </c>
      <c r="B421" s="1" t="n">
        <v>44210</v>
      </c>
      <c r="C421" s="1" t="n">
        <v>45844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2214-2021</t>
        </is>
      </c>
      <c r="B422" s="1" t="n">
        <v>44211</v>
      </c>
      <c r="C422" s="1" t="n">
        <v>45844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2237-2021</t>
        </is>
      </c>
      <c r="B423" s="1" t="n">
        <v>44211</v>
      </c>
      <c r="C423" s="1" t="n">
        <v>45844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2931-2021</t>
        </is>
      </c>
      <c r="B424" s="1" t="n">
        <v>44216</v>
      </c>
      <c r="C424" s="1" t="n">
        <v>45844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3289-2021</t>
        </is>
      </c>
      <c r="B425" s="1" t="n">
        <v>44217</v>
      </c>
      <c r="C425" s="1" t="n">
        <v>45844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3664-2021</t>
        </is>
      </c>
      <c r="B426" s="1" t="n">
        <v>44221</v>
      </c>
      <c r="C426" s="1" t="n">
        <v>45844</v>
      </c>
      <c r="D426" t="inlineStr">
        <is>
          <t>VÄRMLANDS LÄN</t>
        </is>
      </c>
      <c r="E426" t="inlineStr">
        <is>
          <t>ARVIKA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4086-2021</t>
        </is>
      </c>
      <c r="B427" s="1" t="n">
        <v>44222</v>
      </c>
      <c r="C427" s="1" t="n">
        <v>45844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4099-2021</t>
        </is>
      </c>
      <c r="B428" s="1" t="n">
        <v>44222</v>
      </c>
      <c r="C428" s="1" t="n">
        <v>45844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4630-2021</t>
        </is>
      </c>
      <c r="B429" s="1" t="n">
        <v>44224</v>
      </c>
      <c r="C429" s="1" t="n">
        <v>45844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5229-2021</t>
        </is>
      </c>
      <c r="B430" s="1" t="n">
        <v>44229</v>
      </c>
      <c r="C430" s="1" t="n">
        <v>45844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5881-2021</t>
        </is>
      </c>
      <c r="B431" s="1" t="n">
        <v>44231</v>
      </c>
      <c r="C431" s="1" t="n">
        <v>45844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5907-2021</t>
        </is>
      </c>
      <c r="B432" s="1" t="n">
        <v>44231</v>
      </c>
      <c r="C432" s="1" t="n">
        <v>45844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6184-2021</t>
        </is>
      </c>
      <c r="B433" s="1" t="n">
        <v>44233</v>
      </c>
      <c r="C433" s="1" t="n">
        <v>45844</v>
      </c>
      <c r="D433" t="inlineStr">
        <is>
          <t>VÄRMLANDS LÄN</t>
        </is>
      </c>
      <c r="E433" t="inlineStr">
        <is>
          <t>ARVIKA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6474-2021</t>
        </is>
      </c>
      <c r="B434" s="1" t="n">
        <v>44235</v>
      </c>
      <c r="C434" s="1" t="n">
        <v>45844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6478-2021</t>
        </is>
      </c>
      <c r="B435" s="1" t="n">
        <v>44235</v>
      </c>
      <c r="C435" s="1" t="n">
        <v>45844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7259-2021</t>
        </is>
      </c>
      <c r="B436" s="1" t="n">
        <v>44238</v>
      </c>
      <c r="C436" s="1" t="n">
        <v>45844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7224-2021</t>
        </is>
      </c>
      <c r="B437" s="1" t="n">
        <v>44238</v>
      </c>
      <c r="C437" s="1" t="n">
        <v>45844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7256-2021</t>
        </is>
      </c>
      <c r="B438" s="1" t="n">
        <v>44238</v>
      </c>
      <c r="C438" s="1" t="n">
        <v>45844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7725-2021</t>
        </is>
      </c>
      <c r="B439" s="1" t="n">
        <v>44242</v>
      </c>
      <c r="C439" s="1" t="n">
        <v>45844</v>
      </c>
      <c r="D439" t="inlineStr">
        <is>
          <t>VÄRMLANDS LÄN</t>
        </is>
      </c>
      <c r="E439" t="inlineStr">
        <is>
          <t>ARVIKA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7723-2021</t>
        </is>
      </c>
      <c r="B440" s="1" t="n">
        <v>44242</v>
      </c>
      <c r="C440" s="1" t="n">
        <v>45844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7727-2021</t>
        </is>
      </c>
      <c r="B441" s="1" t="n">
        <v>44242</v>
      </c>
      <c r="C441" s="1" t="n">
        <v>45844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9851-2021</t>
        </is>
      </c>
      <c r="B442" s="1" t="n">
        <v>44253</v>
      </c>
      <c r="C442" s="1" t="n">
        <v>45844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10750-2021</t>
        </is>
      </c>
      <c r="B443" s="1" t="n">
        <v>44259</v>
      </c>
      <c r="C443" s="1" t="n">
        <v>45844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11945-2021</t>
        </is>
      </c>
      <c r="B444" s="1" t="n">
        <v>44266</v>
      </c>
      <c r="C444" s="1" t="n">
        <v>45844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12533-2021</t>
        </is>
      </c>
      <c r="B445" s="1" t="n">
        <v>44269</v>
      </c>
      <c r="C445" s="1" t="n">
        <v>45844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12529-2021</t>
        </is>
      </c>
      <c r="B446" s="1" t="n">
        <v>44269</v>
      </c>
      <c r="C446" s="1" t="n">
        <v>45844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12659-2021</t>
        </is>
      </c>
      <c r="B447" s="1" t="n">
        <v>44270</v>
      </c>
      <c r="C447" s="1" t="n">
        <v>45844</v>
      </c>
      <c r="D447" t="inlineStr">
        <is>
          <t>VÄRMLANDS LÄN</t>
        </is>
      </c>
      <c r="E447" t="inlineStr">
        <is>
          <t>ARVIKA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13007-2021</t>
        </is>
      </c>
      <c r="B448" s="1" t="n">
        <v>44271</v>
      </c>
      <c r="C448" s="1" t="n">
        <v>45844</v>
      </c>
      <c r="D448" t="inlineStr">
        <is>
          <t>VÄRMLANDS LÄN</t>
        </is>
      </c>
      <c r="E448" t="inlineStr">
        <is>
          <t>ARVIKA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13025-2021</t>
        </is>
      </c>
      <c r="B449" s="1" t="n">
        <v>44271</v>
      </c>
      <c r="C449" s="1" t="n">
        <v>45844</v>
      </c>
      <c r="D449" t="inlineStr">
        <is>
          <t>VÄRMLANDS LÄN</t>
        </is>
      </c>
      <c r="E449" t="inlineStr">
        <is>
          <t>ARVIKA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13828-2021</t>
        </is>
      </c>
      <c r="B450" s="1" t="n">
        <v>44277</v>
      </c>
      <c r="C450" s="1" t="n">
        <v>45844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14181-2021</t>
        </is>
      </c>
      <c r="B451" s="1" t="n">
        <v>44278</v>
      </c>
      <c r="C451" s="1" t="n">
        <v>45844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14273-2021</t>
        </is>
      </c>
      <c r="B452" s="1" t="n">
        <v>44278</v>
      </c>
      <c r="C452" s="1" t="n">
        <v>45844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15058-2021</t>
        </is>
      </c>
      <c r="B453" s="1" t="n">
        <v>44281</v>
      </c>
      <c r="C453" s="1" t="n">
        <v>45844</v>
      </c>
      <c r="D453" t="inlineStr">
        <is>
          <t>VÄRMLANDS LÄN</t>
        </is>
      </c>
      <c r="E453" t="inlineStr">
        <is>
          <t>ARVIKA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15225-2021</t>
        </is>
      </c>
      <c r="B454" s="1" t="n">
        <v>44284</v>
      </c>
      <c r="C454" s="1" t="n">
        <v>45844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15536-2021</t>
        </is>
      </c>
      <c r="B455" s="1" t="n">
        <v>44285</v>
      </c>
      <c r="C455" s="1" t="n">
        <v>45844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15912-2021</t>
        </is>
      </c>
      <c r="B456" s="1" t="n">
        <v>44287</v>
      </c>
      <c r="C456" s="1" t="n">
        <v>45844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15965-2021</t>
        </is>
      </c>
      <c r="B457" s="1" t="n">
        <v>44287</v>
      </c>
      <c r="C457" s="1" t="n">
        <v>45844</v>
      </c>
      <c r="D457" t="inlineStr">
        <is>
          <t>VÄRMLANDS LÄN</t>
        </is>
      </c>
      <c r="E457" t="inlineStr">
        <is>
          <t>ARVIKA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15981-2021</t>
        </is>
      </c>
      <c r="B458" s="1" t="n">
        <v>44287</v>
      </c>
      <c r="C458" s="1" t="n">
        <v>45844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16248-2021</t>
        </is>
      </c>
      <c r="B459" s="1" t="n">
        <v>44291</v>
      </c>
      <c r="C459" s="1" t="n">
        <v>45844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16540-2021</t>
        </is>
      </c>
      <c r="B460" s="1" t="n">
        <v>44293</v>
      </c>
      <c r="C460" s="1" t="n">
        <v>45844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16867-2021</t>
        </is>
      </c>
      <c r="B461" s="1" t="n">
        <v>44295</v>
      </c>
      <c r="C461" s="1" t="n">
        <v>45844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16797-2021</t>
        </is>
      </c>
      <c r="B462" s="1" t="n">
        <v>44295</v>
      </c>
      <c r="C462" s="1" t="n">
        <v>45844</v>
      </c>
      <c r="D462" t="inlineStr">
        <is>
          <t>VÄRMLANDS LÄN</t>
        </is>
      </c>
      <c r="E462" t="inlineStr">
        <is>
          <t>ARVIKA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16941-2021</t>
        </is>
      </c>
      <c r="B463" s="1" t="n">
        <v>44295</v>
      </c>
      <c r="C463" s="1" t="n">
        <v>45844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16981-2021</t>
        </is>
      </c>
      <c r="B464" s="1" t="n">
        <v>44295</v>
      </c>
      <c r="C464" s="1" t="n">
        <v>45844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17158-2021</t>
        </is>
      </c>
      <c r="B465" s="1" t="n">
        <v>44298</v>
      </c>
      <c r="C465" s="1" t="n">
        <v>45844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17140-2021</t>
        </is>
      </c>
      <c r="B466" s="1" t="n">
        <v>44298</v>
      </c>
      <c r="C466" s="1" t="n">
        <v>45844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19484-2021</t>
        </is>
      </c>
      <c r="B467" s="1" t="n">
        <v>44312</v>
      </c>
      <c r="C467" s="1" t="n">
        <v>45844</v>
      </c>
      <c r="D467" t="inlineStr">
        <is>
          <t>VÄRMLANDS LÄN</t>
        </is>
      </c>
      <c r="E467" t="inlineStr">
        <is>
          <t>ARVIKA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19486-2021</t>
        </is>
      </c>
      <c r="B468" s="1" t="n">
        <v>44312</v>
      </c>
      <c r="C468" s="1" t="n">
        <v>45844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19826-2021</t>
        </is>
      </c>
      <c r="B469" s="1" t="n">
        <v>44313</v>
      </c>
      <c r="C469" s="1" t="n">
        <v>45844</v>
      </c>
      <c r="D469" t="inlineStr">
        <is>
          <t>VÄRMLANDS LÄN</t>
        </is>
      </c>
      <c r="E469" t="inlineStr">
        <is>
          <t>ARVIKA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20346-2021</t>
        </is>
      </c>
      <c r="B470" s="1" t="n">
        <v>44315</v>
      </c>
      <c r="C470" s="1" t="n">
        <v>45844</v>
      </c>
      <c r="D470" t="inlineStr">
        <is>
          <t>VÄRMLANDS LÄN</t>
        </is>
      </c>
      <c r="E470" t="inlineStr">
        <is>
          <t>ARVIKA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21382-2021</t>
        </is>
      </c>
      <c r="B471" s="1" t="n">
        <v>44320</v>
      </c>
      <c r="C471" s="1" t="n">
        <v>45844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21381-2021</t>
        </is>
      </c>
      <c r="B472" s="1" t="n">
        <v>44320</v>
      </c>
      <c r="C472" s="1" t="n">
        <v>45844</v>
      </c>
      <c r="D472" t="inlineStr">
        <is>
          <t>VÄRMLANDS LÄN</t>
        </is>
      </c>
      <c r="E472" t="inlineStr">
        <is>
          <t>ARVIKA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22563-2021</t>
        </is>
      </c>
      <c r="B473" s="1" t="n">
        <v>44322</v>
      </c>
      <c r="C473" s="1" t="n">
        <v>45844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22565-2021</t>
        </is>
      </c>
      <c r="B474" s="1" t="n">
        <v>44322</v>
      </c>
      <c r="C474" s="1" t="n">
        <v>45844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22757-2021</t>
        </is>
      </c>
      <c r="B475" s="1" t="n">
        <v>44327</v>
      </c>
      <c r="C475" s="1" t="n">
        <v>45844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22971-2021</t>
        </is>
      </c>
      <c r="B476" s="1" t="n">
        <v>44328</v>
      </c>
      <c r="C476" s="1" t="n">
        <v>45844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23256-2021</t>
        </is>
      </c>
      <c r="B477" s="1" t="n">
        <v>44333</v>
      </c>
      <c r="C477" s="1" t="n">
        <v>45844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23293-2021</t>
        </is>
      </c>
      <c r="B478" s="1" t="n">
        <v>44333</v>
      </c>
      <c r="C478" s="1" t="n">
        <v>45844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23643-2021</t>
        </is>
      </c>
      <c r="B479" s="1" t="n">
        <v>44334</v>
      </c>
      <c r="C479" s="1" t="n">
        <v>45844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24668-2021</t>
        </is>
      </c>
      <c r="B480" s="1" t="n">
        <v>44340</v>
      </c>
      <c r="C480" s="1" t="n">
        <v>45844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25454-2021</t>
        </is>
      </c>
      <c r="B481" s="1" t="n">
        <v>44342</v>
      </c>
      <c r="C481" s="1" t="n">
        <v>45844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25544-2021</t>
        </is>
      </c>
      <c r="B482" s="1" t="n">
        <v>44342</v>
      </c>
      <c r="C482" s="1" t="n">
        <v>45844</v>
      </c>
      <c r="D482" t="inlineStr">
        <is>
          <t>VÄRMLANDS LÄN</t>
        </is>
      </c>
      <c r="E482" t="inlineStr">
        <is>
          <t>ARVIKA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27162-2021</t>
        </is>
      </c>
      <c r="B483" s="1" t="n">
        <v>44350</v>
      </c>
      <c r="C483" s="1" t="n">
        <v>45844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26999-2021</t>
        </is>
      </c>
      <c r="B484" s="1" t="n">
        <v>44350</v>
      </c>
      <c r="C484" s="1" t="n">
        <v>45844</v>
      </c>
      <c r="D484" t="inlineStr">
        <is>
          <t>VÄRMLANDS LÄN</t>
        </is>
      </c>
      <c r="E484" t="inlineStr">
        <is>
          <t>ARVIKA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27329-2021</t>
        </is>
      </c>
      <c r="B485" s="1" t="n">
        <v>44351</v>
      </c>
      <c r="C485" s="1" t="n">
        <v>45844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28655-2021</t>
        </is>
      </c>
      <c r="B486" s="1" t="n">
        <v>44357</v>
      </c>
      <c r="C486" s="1" t="n">
        <v>45844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30479-2021</t>
        </is>
      </c>
      <c r="B487" s="1" t="n">
        <v>44364</v>
      </c>
      <c r="C487" s="1" t="n">
        <v>45844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30733-2021</t>
        </is>
      </c>
      <c r="B488" s="1" t="n">
        <v>44365</v>
      </c>
      <c r="C488" s="1" t="n">
        <v>45844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30746-2021</t>
        </is>
      </c>
      <c r="B489" s="1" t="n">
        <v>44365</v>
      </c>
      <c r="C489" s="1" t="n">
        <v>45844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31111-2021</t>
        </is>
      </c>
      <c r="B490" s="1" t="n">
        <v>44365</v>
      </c>
      <c r="C490" s="1" t="n">
        <v>45844</v>
      </c>
      <c r="D490" t="inlineStr">
        <is>
          <t>VÄRMLANDS LÄN</t>
        </is>
      </c>
      <c r="E490" t="inlineStr">
        <is>
          <t>ARVIKA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31870-2021</t>
        </is>
      </c>
      <c r="B491" s="1" t="n">
        <v>44370</v>
      </c>
      <c r="C491" s="1" t="n">
        <v>45844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31929-2021</t>
        </is>
      </c>
      <c r="B492" s="1" t="n">
        <v>44370</v>
      </c>
      <c r="C492" s="1" t="n">
        <v>45844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31996-2021</t>
        </is>
      </c>
      <c r="B493" s="1" t="n">
        <v>44370</v>
      </c>
      <c r="C493" s="1" t="n">
        <v>45844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32336-2021</t>
        </is>
      </c>
      <c r="B494" s="1" t="n">
        <v>44371</v>
      </c>
      <c r="C494" s="1" t="n">
        <v>45844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35288-2021</t>
        </is>
      </c>
      <c r="B495" s="1" t="n">
        <v>44383</v>
      </c>
      <c r="C495" s="1" t="n">
        <v>45844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35294-2021</t>
        </is>
      </c>
      <c r="B496" s="1" t="n">
        <v>44383</v>
      </c>
      <c r="C496" s="1" t="n">
        <v>45844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35292-2021</t>
        </is>
      </c>
      <c r="B497" s="1" t="n">
        <v>44383</v>
      </c>
      <c r="C497" s="1" t="n">
        <v>45844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35517-2021</t>
        </is>
      </c>
      <c r="B498" s="1" t="n">
        <v>44385</v>
      </c>
      <c r="C498" s="1" t="n">
        <v>45844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36520-2021</t>
        </is>
      </c>
      <c r="B499" s="1" t="n">
        <v>44391</v>
      </c>
      <c r="C499" s="1" t="n">
        <v>45844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36643-2021</t>
        </is>
      </c>
      <c r="B500" s="1" t="n">
        <v>44392</v>
      </c>
      <c r="C500" s="1" t="n">
        <v>45844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37540-2021</t>
        </is>
      </c>
      <c r="B501" s="1" t="n">
        <v>44399</v>
      </c>
      <c r="C501" s="1" t="n">
        <v>45844</v>
      </c>
      <c r="D501" t="inlineStr">
        <is>
          <t>VÄRMLANDS LÄN</t>
        </is>
      </c>
      <c r="E501" t="inlineStr">
        <is>
          <t>ARVIKA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38894-2021</t>
        </is>
      </c>
      <c r="B502" s="1" t="n">
        <v>44411</v>
      </c>
      <c r="C502" s="1" t="n">
        <v>45844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39195-2021</t>
        </is>
      </c>
      <c r="B503" s="1" t="n">
        <v>44413</v>
      </c>
      <c r="C503" s="1" t="n">
        <v>45844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39746-2021</t>
        </is>
      </c>
      <c r="B504" s="1" t="n">
        <v>44417</v>
      </c>
      <c r="C504" s="1" t="n">
        <v>45844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40001-2021</t>
        </is>
      </c>
      <c r="B505" s="1" t="n">
        <v>44417</v>
      </c>
      <c r="C505" s="1" t="n">
        <v>45844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40003-2021</t>
        </is>
      </c>
      <c r="B506" s="1" t="n">
        <v>44417</v>
      </c>
      <c r="C506" s="1" t="n">
        <v>45844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40351-2021</t>
        </is>
      </c>
      <c r="B507" s="1" t="n">
        <v>44419</v>
      </c>
      <c r="C507" s="1" t="n">
        <v>45844</v>
      </c>
      <c r="D507" t="inlineStr">
        <is>
          <t>VÄRMLANDS LÄN</t>
        </is>
      </c>
      <c r="E507" t="inlineStr">
        <is>
          <t>ARVIKA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40455-2021</t>
        </is>
      </c>
      <c r="B508" s="1" t="n">
        <v>44419</v>
      </c>
      <c r="C508" s="1" t="n">
        <v>45844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40688-2021</t>
        </is>
      </c>
      <c r="B509" s="1" t="n">
        <v>44420</v>
      </c>
      <c r="C509" s="1" t="n">
        <v>45844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40743-2021</t>
        </is>
      </c>
      <c r="B510" s="1" t="n">
        <v>44420</v>
      </c>
      <c r="C510" s="1" t="n">
        <v>45844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41320-2021</t>
        </is>
      </c>
      <c r="B511" s="1" t="n">
        <v>44424</v>
      </c>
      <c r="C511" s="1" t="n">
        <v>45844</v>
      </c>
      <c r="D511" t="inlineStr">
        <is>
          <t>VÄRMLANDS LÄN</t>
        </is>
      </c>
      <c r="E511" t="inlineStr">
        <is>
          <t>ARVIKA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41325-2021</t>
        </is>
      </c>
      <c r="B512" s="1" t="n">
        <v>44424</v>
      </c>
      <c r="C512" s="1" t="n">
        <v>45844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41311-2021</t>
        </is>
      </c>
      <c r="B513" s="1" t="n">
        <v>44424</v>
      </c>
      <c r="C513" s="1" t="n">
        <v>45844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41317-2021</t>
        </is>
      </c>
      <c r="B514" s="1" t="n">
        <v>44424</v>
      </c>
      <c r="C514" s="1" t="n">
        <v>45844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41329-2021</t>
        </is>
      </c>
      <c r="B515" s="1" t="n">
        <v>44424</v>
      </c>
      <c r="C515" s="1" t="n">
        <v>45844</v>
      </c>
      <c r="D515" t="inlineStr">
        <is>
          <t>VÄRMLANDS LÄN</t>
        </is>
      </c>
      <c r="E515" t="inlineStr">
        <is>
          <t>ARVIKA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41450-2021</t>
        </is>
      </c>
      <c r="B516" s="1" t="n">
        <v>44424</v>
      </c>
      <c r="C516" s="1" t="n">
        <v>45844</v>
      </c>
      <c r="D516" t="inlineStr">
        <is>
          <t>VÄRMLANDS LÄN</t>
        </is>
      </c>
      <c r="E516" t="inlineStr">
        <is>
          <t>ARVIKA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41551-2021</t>
        </is>
      </c>
      <c r="B517" s="1" t="n">
        <v>44424</v>
      </c>
      <c r="C517" s="1" t="n">
        <v>45844</v>
      </c>
      <c r="D517" t="inlineStr">
        <is>
          <t>VÄRMLANDS LÄN</t>
        </is>
      </c>
      <c r="E517" t="inlineStr">
        <is>
          <t>ARVIKA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41661-2021</t>
        </is>
      </c>
      <c r="B518" s="1" t="n">
        <v>44425</v>
      </c>
      <c r="C518" s="1" t="n">
        <v>45844</v>
      </c>
      <c r="D518" t="inlineStr">
        <is>
          <t>VÄRMLANDS LÄN</t>
        </is>
      </c>
      <c r="E518" t="inlineStr">
        <is>
          <t>ARVIKA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41686-2021</t>
        </is>
      </c>
      <c r="B519" s="1" t="n">
        <v>44425</v>
      </c>
      <c r="C519" s="1" t="n">
        <v>45844</v>
      </c>
      <c r="D519" t="inlineStr">
        <is>
          <t>VÄRMLANDS LÄN</t>
        </is>
      </c>
      <c r="E519" t="inlineStr">
        <is>
          <t>ARVIKA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HYPERLINK("https://klasma.github.io/Logging_1784/knärot/A 41686-2021 karta knärot.png", "A 41686-2021")</f>
        <v/>
      </c>
      <c r="V519">
        <f>HYPERLINK("https://klasma.github.io/Logging_1784/klagomål/A 41686-2021 FSC-klagomål.docx", "A 41686-2021")</f>
        <v/>
      </c>
      <c r="W519">
        <f>HYPERLINK("https://klasma.github.io/Logging_1784/klagomålsmail/A 41686-2021 FSC-klagomål mail.docx", "A 41686-2021")</f>
        <v/>
      </c>
      <c r="X519">
        <f>HYPERLINK("https://klasma.github.io/Logging_1784/tillsyn/A 41686-2021 tillsynsbegäran.docx", "A 41686-2021")</f>
        <v/>
      </c>
      <c r="Y519">
        <f>HYPERLINK("https://klasma.github.io/Logging_1784/tillsynsmail/A 41686-2021 tillsynsbegäran mail.docx", "A 41686-2021")</f>
        <v/>
      </c>
    </row>
    <row r="520" ht="15" customHeight="1">
      <c r="A520" t="inlineStr">
        <is>
          <t>A 41860-2021</t>
        </is>
      </c>
      <c r="B520" s="1" t="n">
        <v>44426</v>
      </c>
      <c r="C520" s="1" t="n">
        <v>45844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41870-2021</t>
        </is>
      </c>
      <c r="B521" s="1" t="n">
        <v>44426</v>
      </c>
      <c r="C521" s="1" t="n">
        <v>45844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42070-2021</t>
        </is>
      </c>
      <c r="B522" s="1" t="n">
        <v>44426</v>
      </c>
      <c r="C522" s="1" t="n">
        <v>45844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41866-2021</t>
        </is>
      </c>
      <c r="B523" s="1" t="n">
        <v>44426</v>
      </c>
      <c r="C523" s="1" t="n">
        <v>45844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42044-2021</t>
        </is>
      </c>
      <c r="B524" s="1" t="n">
        <v>44426</v>
      </c>
      <c r="C524" s="1" t="n">
        <v>45844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42064-2021</t>
        </is>
      </c>
      <c r="B525" s="1" t="n">
        <v>44426</v>
      </c>
      <c r="C525" s="1" t="n">
        <v>45844</v>
      </c>
      <c r="D525" t="inlineStr">
        <is>
          <t>VÄRMLANDS LÄN</t>
        </is>
      </c>
      <c r="E525" t="inlineStr">
        <is>
          <t>ARVIKA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42163-2021</t>
        </is>
      </c>
      <c r="B526" s="1" t="n">
        <v>44426</v>
      </c>
      <c r="C526" s="1" t="n">
        <v>45844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42171-2021</t>
        </is>
      </c>
      <c r="B527" s="1" t="n">
        <v>44426</v>
      </c>
      <c r="C527" s="1" t="n">
        <v>45844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42314-2021</t>
        </is>
      </c>
      <c r="B528" s="1" t="n">
        <v>44427</v>
      </c>
      <c r="C528" s="1" t="n">
        <v>45844</v>
      </c>
      <c r="D528" t="inlineStr">
        <is>
          <t>VÄRMLANDS LÄN</t>
        </is>
      </c>
      <c r="E528" t="inlineStr">
        <is>
          <t>ARVIKA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42734-2021</t>
        </is>
      </c>
      <c r="B529" s="1" t="n">
        <v>44428</v>
      </c>
      <c r="C529" s="1" t="n">
        <v>45844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44067-2021</t>
        </is>
      </c>
      <c r="B530" s="1" t="n">
        <v>44434</v>
      </c>
      <c r="C530" s="1" t="n">
        <v>45844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44331-2021</t>
        </is>
      </c>
      <c r="B531" s="1" t="n">
        <v>44435</v>
      </c>
      <c r="C531" s="1" t="n">
        <v>45844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44425-2021</t>
        </is>
      </c>
      <c r="B532" s="1" t="n">
        <v>44435</v>
      </c>
      <c r="C532" s="1" t="n">
        <v>45844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44432-2021</t>
        </is>
      </c>
      <c r="B533" s="1" t="n">
        <v>44435</v>
      </c>
      <c r="C533" s="1" t="n">
        <v>45844</v>
      </c>
      <c r="D533" t="inlineStr">
        <is>
          <t>VÄRMLANDS LÄN</t>
        </is>
      </c>
      <c r="E533" t="inlineStr">
        <is>
          <t>ARVIKA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44420-2021</t>
        </is>
      </c>
      <c r="B534" s="1" t="n">
        <v>44435</v>
      </c>
      <c r="C534" s="1" t="n">
        <v>45844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44443-2021</t>
        </is>
      </c>
      <c r="B535" s="1" t="n">
        <v>44435</v>
      </c>
      <c r="C535" s="1" t="n">
        <v>45844</v>
      </c>
      <c r="D535" t="inlineStr">
        <is>
          <t>VÄRMLANDS LÄN</t>
        </is>
      </c>
      <c r="E535" t="inlineStr">
        <is>
          <t>ARVIKA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44419-2021</t>
        </is>
      </c>
      <c r="B536" s="1" t="n">
        <v>44435</v>
      </c>
      <c r="C536" s="1" t="n">
        <v>45844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45716-2021</t>
        </is>
      </c>
      <c r="B537" s="1" t="n">
        <v>44435</v>
      </c>
      <c r="C537" s="1" t="n">
        <v>45844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45740-2021</t>
        </is>
      </c>
      <c r="B538" s="1" t="n">
        <v>44435</v>
      </c>
      <c r="C538" s="1" t="n">
        <v>45844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45756-2021</t>
        </is>
      </c>
      <c r="B539" s="1" t="n">
        <v>44435</v>
      </c>
      <c r="C539" s="1" t="n">
        <v>45844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44824-2021</t>
        </is>
      </c>
      <c r="B540" s="1" t="n">
        <v>44438</v>
      </c>
      <c r="C540" s="1" t="n">
        <v>45844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44975-2021</t>
        </is>
      </c>
      <c r="B541" s="1" t="n">
        <v>44438</v>
      </c>
      <c r="C541" s="1" t="n">
        <v>45844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44974-2021</t>
        </is>
      </c>
      <c r="B542" s="1" t="n">
        <v>44438</v>
      </c>
      <c r="C542" s="1" t="n">
        <v>45844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45294-2021</t>
        </is>
      </c>
      <c r="B543" s="1" t="n">
        <v>44439</v>
      </c>
      <c r="C543" s="1" t="n">
        <v>45844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46297-2021</t>
        </is>
      </c>
      <c r="B544" s="1" t="n">
        <v>44442</v>
      </c>
      <c r="C544" s="1" t="n">
        <v>45844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46840-2021</t>
        </is>
      </c>
      <c r="B545" s="1" t="n">
        <v>44446</v>
      </c>
      <c r="C545" s="1" t="n">
        <v>45844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47119-2021</t>
        </is>
      </c>
      <c r="B546" s="1" t="n">
        <v>44446</v>
      </c>
      <c r="C546" s="1" t="n">
        <v>45844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48727-2021</t>
        </is>
      </c>
      <c r="B547" s="1" t="n">
        <v>44452</v>
      </c>
      <c r="C547" s="1" t="n">
        <v>45844</v>
      </c>
      <c r="D547" t="inlineStr">
        <is>
          <t>VÄRMLANDS LÄN</t>
        </is>
      </c>
      <c r="E547" t="inlineStr">
        <is>
          <t>ARVIKA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48995-2021</t>
        </is>
      </c>
      <c r="B548" s="1" t="n">
        <v>44453</v>
      </c>
      <c r="C548" s="1" t="n">
        <v>45844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49744-2021</t>
        </is>
      </c>
      <c r="B549" s="1" t="n">
        <v>44455</v>
      </c>
      <c r="C549" s="1" t="n">
        <v>45844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49759-2021</t>
        </is>
      </c>
      <c r="B550" s="1" t="n">
        <v>44455</v>
      </c>
      <c r="C550" s="1" t="n">
        <v>45844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49673-2021</t>
        </is>
      </c>
      <c r="B551" s="1" t="n">
        <v>44455</v>
      </c>
      <c r="C551" s="1" t="n">
        <v>45844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49713-2021</t>
        </is>
      </c>
      <c r="B552" s="1" t="n">
        <v>44455</v>
      </c>
      <c r="C552" s="1" t="n">
        <v>45844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49785-2021</t>
        </is>
      </c>
      <c r="B553" s="1" t="n">
        <v>44455</v>
      </c>
      <c r="C553" s="1" t="n">
        <v>45844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50229-2021</t>
        </is>
      </c>
      <c r="B554" s="1" t="n">
        <v>44457</v>
      </c>
      <c r="C554" s="1" t="n">
        <v>45844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50520-2021</t>
        </is>
      </c>
      <c r="B555" s="1" t="n">
        <v>44458</v>
      </c>
      <c r="C555" s="1" t="n">
        <v>45844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50387-2021</t>
        </is>
      </c>
      <c r="B556" s="1" t="n">
        <v>44459</v>
      </c>
      <c r="C556" s="1" t="n">
        <v>45844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50954-2021</t>
        </is>
      </c>
      <c r="B557" s="1" t="n">
        <v>44460</v>
      </c>
      <c r="C557" s="1" t="n">
        <v>45844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51314-2021</t>
        </is>
      </c>
      <c r="B558" s="1" t="n">
        <v>44461</v>
      </c>
      <c r="C558" s="1" t="n">
        <v>45844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51608-2021</t>
        </is>
      </c>
      <c r="B559" s="1" t="n">
        <v>44461</v>
      </c>
      <c r="C559" s="1" t="n">
        <v>45844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51514-2021</t>
        </is>
      </c>
      <c r="B560" s="1" t="n">
        <v>44462</v>
      </c>
      <c r="C560" s="1" t="n">
        <v>45844</v>
      </c>
      <c r="D560" t="inlineStr">
        <is>
          <t>VÄRMLANDS LÄN</t>
        </is>
      </c>
      <c r="E560" t="inlineStr">
        <is>
          <t>ARVIKA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51553-2021</t>
        </is>
      </c>
      <c r="B561" s="1" t="n">
        <v>44462</v>
      </c>
      <c r="C561" s="1" t="n">
        <v>45844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52357-2021</t>
        </is>
      </c>
      <c r="B562" s="1" t="n">
        <v>44464</v>
      </c>
      <c r="C562" s="1" t="n">
        <v>45844</v>
      </c>
      <c r="D562" t="inlineStr">
        <is>
          <t>VÄRMLANDS LÄN</t>
        </is>
      </c>
      <c r="E562" t="inlineStr">
        <is>
          <t>ARVIKA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52624-2021</t>
        </is>
      </c>
      <c r="B563" s="1" t="n">
        <v>44465</v>
      </c>
      <c r="C563" s="1" t="n">
        <v>45844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52800-2021</t>
        </is>
      </c>
      <c r="B564" s="1" t="n">
        <v>44467</v>
      </c>
      <c r="C564" s="1" t="n">
        <v>45844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53390-2021</t>
        </is>
      </c>
      <c r="B565" s="1" t="n">
        <v>44468</v>
      </c>
      <c r="C565" s="1" t="n">
        <v>45844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54261-2021</t>
        </is>
      </c>
      <c r="B566" s="1" t="n">
        <v>44470</v>
      </c>
      <c r="C566" s="1" t="n">
        <v>45844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54211-2021</t>
        </is>
      </c>
      <c r="B567" s="1" t="n">
        <v>44470</v>
      </c>
      <c r="C567" s="1" t="n">
        <v>45844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54677-2021</t>
        </is>
      </c>
      <c r="B568" s="1" t="n">
        <v>44473</v>
      </c>
      <c r="C568" s="1" t="n">
        <v>45844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55515-2021</t>
        </is>
      </c>
      <c r="B569" s="1" t="n">
        <v>44475</v>
      </c>
      <c r="C569" s="1" t="n">
        <v>45844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55518-2021</t>
        </is>
      </c>
      <c r="B570" s="1" t="n">
        <v>44475</v>
      </c>
      <c r="C570" s="1" t="n">
        <v>45844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55791-2021</t>
        </is>
      </c>
      <c r="B571" s="1" t="n">
        <v>44476</v>
      </c>
      <c r="C571" s="1" t="n">
        <v>45844</v>
      </c>
      <c r="D571" t="inlineStr">
        <is>
          <t>VÄRMLANDS LÄN</t>
        </is>
      </c>
      <c r="E571" t="inlineStr">
        <is>
          <t>ARVIKA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55902-2021</t>
        </is>
      </c>
      <c r="B572" s="1" t="n">
        <v>44476</v>
      </c>
      <c r="C572" s="1" t="n">
        <v>45844</v>
      </c>
      <c r="D572" t="inlineStr">
        <is>
          <t>VÄRMLANDS LÄN</t>
        </is>
      </c>
      <c r="E572" t="inlineStr">
        <is>
          <t>ARVIKA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58152-2021</t>
        </is>
      </c>
      <c r="B573" s="1" t="n">
        <v>44487</v>
      </c>
      <c r="C573" s="1" t="n">
        <v>45844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58288-2021</t>
        </is>
      </c>
      <c r="B574" s="1" t="n">
        <v>44488</v>
      </c>
      <c r="C574" s="1" t="n">
        <v>45844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59195-2021</t>
        </is>
      </c>
      <c r="B575" s="1" t="n">
        <v>44490</v>
      </c>
      <c r="C575" s="1" t="n">
        <v>45844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59886-2021</t>
        </is>
      </c>
      <c r="B576" s="1" t="n">
        <v>44493</v>
      </c>
      <c r="C576" s="1" t="n">
        <v>45844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60183-2021</t>
        </is>
      </c>
      <c r="B577" s="1" t="n">
        <v>44495</v>
      </c>
      <c r="C577" s="1" t="n">
        <v>45844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60508-2021</t>
        </is>
      </c>
      <c r="B578" s="1" t="n">
        <v>44496</v>
      </c>
      <c r="C578" s="1" t="n">
        <v>45844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60502-2021</t>
        </is>
      </c>
      <c r="B579" s="1" t="n">
        <v>44496</v>
      </c>
      <c r="C579" s="1" t="n">
        <v>45844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60842-2021</t>
        </is>
      </c>
      <c r="B580" s="1" t="n">
        <v>44496</v>
      </c>
      <c r="C580" s="1" t="n">
        <v>45844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63627-2021</t>
        </is>
      </c>
      <c r="B581" s="1" t="n">
        <v>44496</v>
      </c>
      <c r="C581" s="1" t="n">
        <v>45844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60942-2021</t>
        </is>
      </c>
      <c r="B582" s="1" t="n">
        <v>44497</v>
      </c>
      <c r="C582" s="1" t="n">
        <v>45844</v>
      </c>
      <c r="D582" t="inlineStr">
        <is>
          <t>VÄRMLANDS LÄN</t>
        </is>
      </c>
      <c r="E582" t="inlineStr">
        <is>
          <t>ARVIKA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61520-2021</t>
        </is>
      </c>
      <c r="B583" s="1" t="n">
        <v>44501</v>
      </c>
      <c r="C583" s="1" t="n">
        <v>45844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45844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45844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45844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45844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45844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45844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45844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45844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45844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45844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45844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45844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45844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45844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45844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45844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45844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45844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45844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45844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45844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45844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45844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45844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45844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45844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45844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45844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45844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45844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45844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45844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45844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45844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45844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45844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45844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45844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45844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45844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45844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45844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45844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45844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45844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45844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45844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45844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45844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45844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45844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45844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45844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45844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45844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45844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45844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45844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45844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45844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45844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45844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45844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45844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45844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45844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45844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45844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45844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45844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45844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45844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45844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45844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45844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45844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45844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45844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45844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45844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45844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45844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45844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45844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45844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45844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45844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45844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45844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45844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45844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45844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45844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45844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45844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45844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45844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45844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45844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45844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45844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45844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45844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45844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45844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45844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45844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45844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45844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45844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45844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45844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45844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45844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45844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45844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45844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45844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45844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45844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45844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45844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45844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45844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45844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45844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45844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45844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45844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45844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45844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45844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45844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45844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45844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45844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45844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45844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45844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45844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45844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45844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45844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45844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45844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45844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45844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45844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45844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45844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45844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45844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45844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45844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45844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45844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45844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45844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45844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45844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45844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45844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45844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45844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45844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45844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45844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45844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45844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45844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45844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45844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45844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45844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45844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45844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45844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45844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45844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45844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45844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45844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45844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45844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45844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45844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45844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45844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45844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45844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45844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45844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45844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45844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45844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45844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45844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45844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45844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45844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45844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45844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45844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45844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45844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45844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45844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45844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45844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45844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45844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45844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45844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45844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45844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45844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45844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45844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45844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45844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45844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45844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45844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45844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45844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45844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45844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45844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45844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45844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45844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45844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45844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45844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45844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45844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45844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45844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45844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45844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45844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45844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45844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45844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45844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45844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45844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45844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45844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45844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45844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45844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45844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45844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45844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45844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45844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45844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45844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45844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45844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45844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45844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45844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45844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45844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45844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45844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45844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45844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45844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45844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45844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45844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45844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45844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45844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45844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45844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45844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45844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45844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45844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45844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45844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45844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45844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45844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45844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45844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45844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45844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45844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45844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45844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45844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45844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45844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45844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45844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45844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45844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45844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45844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45844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45844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45844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45844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45844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45844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45844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45844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45844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45844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45844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45844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45844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45844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45844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45844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45844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45844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45844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45844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45844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45844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45844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45844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45844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45844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45844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45844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45844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45844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45844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45844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45844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45844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45844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45844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45844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45844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45844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45844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45844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45844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45844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45844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45844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45844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45844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45844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45844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45844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45844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45844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45844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45844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45844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45844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45844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45844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45844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45844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45844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45844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45844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45844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45844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45844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45844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45844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45844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45844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45844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45844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45844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45844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45844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45844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45844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45844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45844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45844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45844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45844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45844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45844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45844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45844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45844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45844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45844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45844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45844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45844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45844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45844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45844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45844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45844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45844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45844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45844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45844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45844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45844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45844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45844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45844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45844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45844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45844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45844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45844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45844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45844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45844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45844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45844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45844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45844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45844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45844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45844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45844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45844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45844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45844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45844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45844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45844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45844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45844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45844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45844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45844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45844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45844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45844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45844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45844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45844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45844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45844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45844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45844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45844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45844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45844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45844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45844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45844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45844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45844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45844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45844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45844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45844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45844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45844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45844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45844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45844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45844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45844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45844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45844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45844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45844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45844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45844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45844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45844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45844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45844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45844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45844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45844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45844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45844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45844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45844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45844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45844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45844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45844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45844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45844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45844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45844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45844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45844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45844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45844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45844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45844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45844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45844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45844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45844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45844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45844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45844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45844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45844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45844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45844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45844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45844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45844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45844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45844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45844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45844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45844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45844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45844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45844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45844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45844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45844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45844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45844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45844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45844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45844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45844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45844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45844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45844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45844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45844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45844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45844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45844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45844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45844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45844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45844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45844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45844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45844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45844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45844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45844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45844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45844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45844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45844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45844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45844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45844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45844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45844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45844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45844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45844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45844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45844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45844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45844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45844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45844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45844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45844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45844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45844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45844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45844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45844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45844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45844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45844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45844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45844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45844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45844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45844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45844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45844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45844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45844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45844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45844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45844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45844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45844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45844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45844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45844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45844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45844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45844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45844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45844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45844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45844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45844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45844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45844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45844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45844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45844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45844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45844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45844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45844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45844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45844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45844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45844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45844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45844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45844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45844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45844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45844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45844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45844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45844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45844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45844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45844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45844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45844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45844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45844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45844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45844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45844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45844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45844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45844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45844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45844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45844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45844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45844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45844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45844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45844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45844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45844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45844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45844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45844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45844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45844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45844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45844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45844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45844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45844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45844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45844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45844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45844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45844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45844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45844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45844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45844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45844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45844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45844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45844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45844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45844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45844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45844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45844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45844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45844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45844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45844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45844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45844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45844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45844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45844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45844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45844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45844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45844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45844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45844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45844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45844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45844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45844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45844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45844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45844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45844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45844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45844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45844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45844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45844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45844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45844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45844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45844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45844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45844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45844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45844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45844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45844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45844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45844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45844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45844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45844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45844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45844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45844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45844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45844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45844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45844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45844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45844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45844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45844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45844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45844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45844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45844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45844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45844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45844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45844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45844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45844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45844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45844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45844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45844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45844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45844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45844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45844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45844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45844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45844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45844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45844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45844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45844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45844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45844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45844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45844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45844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45844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45844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45844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45844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45844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45844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45844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45844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45844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45844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45844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45844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45844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45844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45844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45844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45844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45844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45844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45844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45844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45844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45844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45844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45844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45844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45844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45844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45844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45844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45844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45844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45844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45844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45844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45844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45844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45844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45844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45844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45844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45844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45844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45844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45844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45844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45844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45844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45844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45844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45844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45844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45844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45844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45844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45844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45844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45844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45844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45844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45844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45844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45844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45844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45844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45844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45844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45844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45844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45844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45844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45844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45844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45844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45844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45844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45844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45844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45844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45844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45844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45844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45844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45844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45844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45844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45844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45844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45844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45844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45844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45844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45844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45844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45844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45844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45844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45844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45844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45844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45844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45844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45844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45844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45844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45844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45844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45844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45844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45844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45844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45844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45844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45844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45844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45844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45844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45844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45844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45844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45844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45844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45844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45844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45844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45844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45844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45844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45844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45844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45844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45844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45844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45844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45844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45844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45844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45844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45844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45844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45844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45844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45844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45844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45844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45844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45844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45844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45844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45844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45844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45844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45844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45844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45844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45844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45844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45844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45844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45844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45844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45844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45844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45844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45844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45844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45844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45844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45844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45844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45844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45844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45844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45844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45844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45844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45844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45844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45844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45844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45844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45844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45844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45844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45844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45844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45844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45844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45844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45844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45844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45844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45844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45844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45844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45844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45844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45844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45844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45844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45844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45844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45844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45844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45844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45844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45844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45844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45844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45844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45844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45844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45844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45844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45844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45844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45844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45844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45844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45844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45844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45844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45844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45844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45844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45844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45844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45844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45844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45844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45844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45844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45844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45844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45844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45844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45844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45844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45844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45844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45844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45844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45844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45844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45844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45844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45844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45844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45844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45844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45844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45844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45844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45844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45844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45844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45844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45844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45844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45844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45844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45844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45844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45844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45844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45844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45844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45844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45844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45844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45844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45844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45844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45844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45844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45844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45844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45844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45844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45844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45844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45844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45844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45844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45844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45844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45844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45844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45844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45844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45844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45844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45844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45844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45844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45844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45844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45844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45844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45844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45844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45844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45844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45844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45844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45844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45844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45844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45844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45844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45844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45844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45844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45844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45844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45844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45844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45844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45844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45844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45844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45844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45844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45844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45844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45844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45844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45844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45844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45844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45844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45844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45844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45844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45844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45844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45844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45844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45844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45844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45844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45844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45844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45844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45844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45844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45844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45844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45844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45844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45844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45844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45844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45844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45844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45844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45844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45844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45844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45844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45844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45844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45844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45844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45844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45844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45844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45844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45844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45844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45844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45844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45844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45844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45844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45844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45844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45844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45844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45844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45844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45844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45844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45844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45844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45844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45844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45844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45844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45844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45844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45844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45844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45844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45844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45844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45844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45844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45844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45844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45844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45844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45844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45844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45844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45844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45844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45844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45844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45844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45844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45844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45844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45844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45844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45844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45844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45844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45844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45844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45844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45844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45844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45844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45844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45844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45844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45844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45844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45844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45844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45844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45844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45844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45844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45844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45844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45844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45844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45844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45844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45844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45844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45844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45844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45844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45844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45844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45844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45844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45844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45844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45844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45844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45844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45844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45844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45844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45844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45844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45844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45844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45844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45844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45844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45844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45844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45844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45844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45844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45844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45844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45844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45844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45844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45844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45844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45844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45844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45844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45844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45844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45844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45844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45844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45844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45844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45844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45844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45844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45844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45844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45844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45844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45844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45844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45844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45844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45844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45844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45844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45844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45844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45844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45844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45844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45844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45844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45844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45844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45844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45844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45844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45844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45844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45844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45844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45844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45844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45844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45844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45844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45844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45844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45844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45844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45844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45844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45844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45844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45844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45844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45844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45844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45844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45844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45844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45844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45844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45844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45844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45844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45844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45844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45844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45844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45844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45844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45844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45844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45844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45844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45844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45844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45844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45844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45844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45844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45844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45844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45844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45844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45844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45844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45844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45844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45844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45844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45844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45844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45844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45844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45844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45844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45844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45844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45844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45844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45844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45844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45844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45844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45844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45844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45844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45844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45844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45844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45844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45844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45844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45844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45844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45844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45844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45844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45844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45844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45844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45844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45844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45844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45844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45844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45844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45844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45844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45844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45844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45844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45844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45844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45844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45844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45844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45844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45844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45844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45844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45844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45844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45844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45844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45844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45844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45844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45844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45844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45844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45844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45844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45844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45844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45844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45844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45844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45844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45844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45844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45844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45844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45844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45844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45844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45844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45844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45844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45844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45844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45844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45844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45844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45844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45844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45844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45844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45844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45844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45844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45844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45844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45844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45844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45844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45844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45844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45844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45844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45844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45844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45844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45844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45844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45844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45844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45844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45844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45844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45844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45844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45844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45844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45844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45844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45844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45844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45844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45844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45844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45844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45844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45844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45844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45844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45844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45844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45844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45844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45844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45844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45844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45844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45844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45844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45844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45844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45844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45844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45844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45844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45844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45844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45844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45844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45844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45844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45844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45844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45844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45844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45844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45844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45844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45844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45844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45844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45844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45844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45844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45844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45844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45844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45844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45844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45844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45844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45844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45844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45844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45844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45844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45844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45844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45844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45844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45844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45844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45844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45844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45844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45844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45844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45844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45844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45844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45844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45844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45844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45844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45844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45844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45844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45844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45844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45844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45844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45844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45844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45844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45844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45844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45844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45844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45844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45844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45844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45844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45844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45844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45844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45844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45844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45844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45844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45844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45844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45844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45844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45844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45844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45844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45844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45844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45844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45844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45844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45844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45844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45844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45844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45844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45844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45844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45844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45844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45844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45844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45844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45844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45844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45844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45844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45844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45844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45844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45844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45844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45844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45844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45844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45844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45844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45844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45844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45844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45844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45844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45844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45844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45844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45844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45844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45844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45844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45844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45844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45844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45844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45844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45844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45844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45844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45844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45844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45844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45844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45844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45844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45844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45844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45844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45844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45844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45844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45844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45844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45844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45844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45844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45844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45844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45844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45844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45844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45844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45844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45844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45844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45844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45844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45844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45844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45844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45844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45844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45844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45844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45844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45844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45844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45844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45844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45844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45844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45844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45844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45844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45844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45844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45844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45844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45844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45844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45844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45844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45844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45844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45844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45844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45844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45844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45844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45844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45844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45844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45844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45844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45844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45844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45844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45844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45844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45844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45844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45844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45844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45844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45844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45844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45844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45844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45844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45844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45844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45844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45844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45844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45844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45844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45844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45844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45844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45844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45844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45844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45844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45844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45844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45844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45844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45844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45844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45844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45844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45844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45844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45844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45844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45844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45844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45844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45844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45844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45844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45844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45844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45844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45844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45844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45844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45844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45844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45844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45844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45844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45844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45844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45844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45844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45844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45844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45844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45844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45844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45844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45844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45844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45844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45844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45844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45844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45844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45844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45844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45844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45844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45844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45844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45844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45844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45844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45844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45844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45844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45844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45844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45844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45844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45844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45844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45844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45844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45844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45844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45844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45844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45844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45844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45844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45844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45844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45844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45844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45844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45844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45844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45844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45844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45844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45844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45844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45844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45844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45844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45844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45844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45844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45844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45844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45844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45844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45844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45844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45844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45844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45844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45844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45844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45844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45844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45844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45844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45844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45844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45844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45844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45844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45844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45844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45844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45844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45844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45844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45844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45844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45844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45844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45844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45844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45844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45844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45844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45844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45844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45844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45844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45844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45844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45844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45844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45844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45844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45844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45844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45844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45844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45844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45844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45844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45844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45844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45844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45844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45844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45844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45844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45844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45844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45844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45844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45844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45844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45844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45844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45844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45844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45844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45844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45844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45844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45844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45844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45844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45844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45844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45844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45844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45844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45844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45844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45844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45844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45844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45844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45844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45844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45844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45844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45844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45844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45844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45844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45844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45844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45844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45844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45844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45844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45844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45844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45844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45844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45844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45844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45844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45844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45844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45844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45844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45844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45844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45844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45844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45844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27472-2025</t>
        </is>
      </c>
      <c r="B2484" s="1" t="n">
        <v>45813</v>
      </c>
      <c r="C2484" s="1" t="n">
        <v>45844</v>
      </c>
      <c r="D2484" t="inlineStr">
        <is>
          <t>VÄRMLANDS LÄN</t>
        </is>
      </c>
      <c r="E2484" t="inlineStr">
        <is>
          <t>ARVIKA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45844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45844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45844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45844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45844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45844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45844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45844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45844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28529-2025</t>
        </is>
      </c>
      <c r="B2494" s="1" t="n">
        <v>45819</v>
      </c>
      <c r="C2494" s="1" t="n">
        <v>45844</v>
      </c>
      <c r="D2494" t="inlineStr">
        <is>
          <t>VÄRMLANDS LÄN</t>
        </is>
      </c>
      <c r="E2494" t="inlineStr">
        <is>
          <t>ARVIKA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28427-2025</t>
        </is>
      </c>
      <c r="B2495" s="1" t="n">
        <v>45819</v>
      </c>
      <c r="C2495" s="1" t="n">
        <v>45844</v>
      </c>
      <c r="D2495" t="inlineStr">
        <is>
          <t>VÄRMLANDS LÄN</t>
        </is>
      </c>
      <c r="E2495" t="inlineStr">
        <is>
          <t>ARVIKA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45844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28964-2025</t>
        </is>
      </c>
      <c r="B2497" s="1" t="n">
        <v>45821</v>
      </c>
      <c r="C2497" s="1" t="n">
        <v>45844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29159-2025</t>
        </is>
      </c>
      <c r="B2498" s="1" t="n">
        <v>45821</v>
      </c>
      <c r="C2498" s="1" t="n">
        <v>45844</v>
      </c>
      <c r="D2498" t="inlineStr">
        <is>
          <t>VÄRMLANDS LÄN</t>
        </is>
      </c>
      <c r="E2498" t="inlineStr">
        <is>
          <t>ARVIKA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29137-2025</t>
        </is>
      </c>
      <c r="B2499" s="1" t="n">
        <v>45821</v>
      </c>
      <c r="C2499" s="1" t="n">
        <v>45844</v>
      </c>
      <c r="D2499" t="inlineStr">
        <is>
          <t>VÄRMLANDS LÄN</t>
        </is>
      </c>
      <c r="E2499" t="inlineStr">
        <is>
          <t>ARVIKA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29156-2025</t>
        </is>
      </c>
      <c r="B2500" s="1" t="n">
        <v>45821</v>
      </c>
      <c r="C2500" s="1" t="n">
        <v>45844</v>
      </c>
      <c r="D2500" t="inlineStr">
        <is>
          <t>VÄRMLANDS LÄN</t>
        </is>
      </c>
      <c r="E2500" t="inlineStr">
        <is>
          <t>ARVIKA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45844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45844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29600-2025</t>
        </is>
      </c>
      <c r="B2503" s="1" t="n">
        <v>45825</v>
      </c>
      <c r="C2503" s="1" t="n">
        <v>45844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29558-2025</t>
        </is>
      </c>
      <c r="B2504" s="1" t="n">
        <v>45825</v>
      </c>
      <c r="C2504" s="1" t="n">
        <v>45844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13.3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29610-2025</t>
        </is>
      </c>
      <c r="B2505" s="1" t="n">
        <v>45825</v>
      </c>
      <c r="C2505" s="1" t="n">
        <v>45844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29937-2025</t>
        </is>
      </c>
      <c r="B2506" s="1" t="n">
        <v>45826</v>
      </c>
      <c r="C2506" s="1" t="n">
        <v>45844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30003-2025</t>
        </is>
      </c>
      <c r="B2507" s="1" t="n">
        <v>45826</v>
      </c>
      <c r="C2507" s="1" t="n">
        <v>45844</v>
      </c>
      <c r="D2507" t="inlineStr">
        <is>
          <t>VÄRMLANDS LÄN</t>
        </is>
      </c>
      <c r="E2507" t="inlineStr">
        <is>
          <t>ARVIKA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29965-2025</t>
        </is>
      </c>
      <c r="B2508" s="1" t="n">
        <v>45826</v>
      </c>
      <c r="C2508" s="1" t="n">
        <v>45844</v>
      </c>
      <c r="D2508" t="inlineStr">
        <is>
          <t>VÄRMLANDS LÄN</t>
        </is>
      </c>
      <c r="E2508" t="inlineStr">
        <is>
          <t>ARVIKA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30116-2025</t>
        </is>
      </c>
      <c r="B2509" s="1" t="n">
        <v>45826</v>
      </c>
      <c r="C2509" s="1" t="n">
        <v>45844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45844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30796-2025</t>
        </is>
      </c>
      <c r="B2511" s="1" t="n">
        <v>45831</v>
      </c>
      <c r="C2511" s="1" t="n">
        <v>45844</v>
      </c>
      <c r="D2511" t="inlineStr">
        <is>
          <t>VÄRMLANDS LÄN</t>
        </is>
      </c>
      <c r="E2511" t="inlineStr">
        <is>
          <t>ARVIKA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30787-2025</t>
        </is>
      </c>
      <c r="B2512" s="1" t="n">
        <v>45831</v>
      </c>
      <c r="C2512" s="1" t="n">
        <v>45844</v>
      </c>
      <c r="D2512" t="inlineStr">
        <is>
          <t>VÄRMLANDS LÄN</t>
        </is>
      </c>
      <c r="E2512" t="inlineStr">
        <is>
          <t>ARVIKA</t>
        </is>
      </c>
      <c r="G2512" t="n">
        <v>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30777-2025</t>
        </is>
      </c>
      <c r="B2513" s="1" t="n">
        <v>45831</v>
      </c>
      <c r="C2513" s="1" t="n">
        <v>45844</v>
      </c>
      <c r="D2513" t="inlineStr">
        <is>
          <t>VÄRMLANDS LÄN</t>
        </is>
      </c>
      <c r="E2513" t="inlineStr">
        <is>
          <t>ARVIKA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30581-2025</t>
        </is>
      </c>
      <c r="B2514" s="1" t="n">
        <v>45831</v>
      </c>
      <c r="C2514" s="1" t="n">
        <v>45844</v>
      </c>
      <c r="D2514" t="inlineStr">
        <is>
          <t>VÄRMLANDS LÄN</t>
        </is>
      </c>
      <c r="E2514" t="inlineStr">
        <is>
          <t>ARVIKA</t>
        </is>
      </c>
      <c r="F2514" t="inlineStr">
        <is>
          <t>Bergvik skog väst AB</t>
        </is>
      </c>
      <c r="G2514" t="n">
        <v>22.5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30782-2025</t>
        </is>
      </c>
      <c r="B2515" s="1" t="n">
        <v>45831</v>
      </c>
      <c r="C2515" s="1" t="n">
        <v>45844</v>
      </c>
      <c r="D2515" t="inlineStr">
        <is>
          <t>VÄRMLANDS LÄN</t>
        </is>
      </c>
      <c r="E2515" t="inlineStr">
        <is>
          <t>ARVIKA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30793-2025</t>
        </is>
      </c>
      <c r="B2516" s="1" t="n">
        <v>45831</v>
      </c>
      <c r="C2516" s="1" t="n">
        <v>45844</v>
      </c>
      <c r="D2516" t="inlineStr">
        <is>
          <t>VÄRMLANDS LÄN</t>
        </is>
      </c>
      <c r="E2516" t="inlineStr">
        <is>
          <t>ARVIKA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45844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31372-2025</t>
        </is>
      </c>
      <c r="B2518" s="1" t="n">
        <v>45833</v>
      </c>
      <c r="C2518" s="1" t="n">
        <v>45844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31469-2025</t>
        </is>
      </c>
      <c r="B2519" s="1" t="n">
        <v>45833</v>
      </c>
      <c r="C2519" s="1" t="n">
        <v>45844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31478-2025</t>
        </is>
      </c>
      <c r="B2520" s="1" t="n">
        <v>45833</v>
      </c>
      <c r="C2520" s="1" t="n">
        <v>45844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31401-2025</t>
        </is>
      </c>
      <c r="B2521" s="1" t="n">
        <v>45833</v>
      </c>
      <c r="C2521" s="1" t="n">
        <v>45844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31406-2025</t>
        </is>
      </c>
      <c r="B2522" s="1" t="n">
        <v>45833</v>
      </c>
      <c r="C2522" s="1" t="n">
        <v>45844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31415-2025</t>
        </is>
      </c>
      <c r="B2523" s="1" t="n">
        <v>45833</v>
      </c>
      <c r="C2523" s="1" t="n">
        <v>45844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7.6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31442-2025</t>
        </is>
      </c>
      <c r="B2524" s="1" t="n">
        <v>45833</v>
      </c>
      <c r="C2524" s="1" t="n">
        <v>45844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5.9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31443-2025</t>
        </is>
      </c>
      <c r="B2525" s="1" t="n">
        <v>45833</v>
      </c>
      <c r="C2525" s="1" t="n">
        <v>45844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31413-2025</t>
        </is>
      </c>
      <c r="B2526" s="1" t="n">
        <v>45833</v>
      </c>
      <c r="C2526" s="1" t="n">
        <v>45844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31418-2025</t>
        </is>
      </c>
      <c r="B2527" s="1" t="n">
        <v>45833</v>
      </c>
      <c r="C2527" s="1" t="n">
        <v>45844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31924-2025</t>
        </is>
      </c>
      <c r="B2528" s="1" t="n">
        <v>45834</v>
      </c>
      <c r="C2528" s="1" t="n">
        <v>45844</v>
      </c>
      <c r="D2528" t="inlineStr">
        <is>
          <t>VÄRMLANDS LÄN</t>
        </is>
      </c>
      <c r="E2528" t="inlineStr">
        <is>
          <t>ARVIKA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31899-2025</t>
        </is>
      </c>
      <c r="B2529" s="1" t="n">
        <v>45834</v>
      </c>
      <c r="C2529" s="1" t="n">
        <v>45844</v>
      </c>
      <c r="D2529" t="inlineStr">
        <is>
          <t>VÄRMLANDS LÄN</t>
        </is>
      </c>
      <c r="E2529" t="inlineStr">
        <is>
          <t>ARVIKA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31925-2025</t>
        </is>
      </c>
      <c r="B2530" s="1" t="n">
        <v>45834</v>
      </c>
      <c r="C2530" s="1" t="n">
        <v>45844</v>
      </c>
      <c r="D2530" t="inlineStr">
        <is>
          <t>VÄRMLANDS LÄN</t>
        </is>
      </c>
      <c r="E2530" t="inlineStr">
        <is>
          <t>ARVIKA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31689-2025</t>
        </is>
      </c>
      <c r="B2531" s="1" t="n">
        <v>45834</v>
      </c>
      <c r="C2531" s="1" t="n">
        <v>45844</v>
      </c>
      <c r="D2531" t="inlineStr">
        <is>
          <t>VÄRMLANDS LÄN</t>
        </is>
      </c>
      <c r="E2531" t="inlineStr">
        <is>
          <t>ARVIKA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31673-2025</t>
        </is>
      </c>
      <c r="B2532" s="1" t="n">
        <v>45834</v>
      </c>
      <c r="C2532" s="1" t="n">
        <v>45844</v>
      </c>
      <c r="D2532" t="inlineStr">
        <is>
          <t>VÄRMLANDS LÄN</t>
        </is>
      </c>
      <c r="E2532" t="inlineStr">
        <is>
          <t>ARVIKA</t>
        </is>
      </c>
      <c r="G2532" t="n">
        <v>6.7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32159-2025</t>
        </is>
      </c>
      <c r="B2533" s="1" t="n">
        <v>45835</v>
      </c>
      <c r="C2533" s="1" t="n">
        <v>45844</v>
      </c>
      <c r="D2533" t="inlineStr">
        <is>
          <t>VÄRMLANDS LÄN</t>
        </is>
      </c>
      <c r="E2533" t="inlineStr">
        <is>
          <t>ARVIKA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32062-2025</t>
        </is>
      </c>
      <c r="B2534" s="1" t="n">
        <v>45835</v>
      </c>
      <c r="C2534" s="1" t="n">
        <v>45844</v>
      </c>
      <c r="D2534" t="inlineStr">
        <is>
          <t>VÄRMLANDS LÄN</t>
        </is>
      </c>
      <c r="E2534" t="inlineStr">
        <is>
          <t>ARVIKA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32079-2025</t>
        </is>
      </c>
      <c r="B2535" s="1" t="n">
        <v>45835</v>
      </c>
      <c r="C2535" s="1" t="n">
        <v>45844</v>
      </c>
      <c r="D2535" t="inlineStr">
        <is>
          <t>VÄRMLANDS LÄN</t>
        </is>
      </c>
      <c r="E2535" t="inlineStr">
        <is>
          <t>ARVIKA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31944-2025</t>
        </is>
      </c>
      <c r="B2536" s="1" t="n">
        <v>45835</v>
      </c>
      <c r="C2536" s="1" t="n">
        <v>45844</v>
      </c>
      <c r="D2536" t="inlineStr">
        <is>
          <t>VÄRMLANDS LÄN</t>
        </is>
      </c>
      <c r="E2536" t="inlineStr">
        <is>
          <t>ARVIKA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31992-2025</t>
        </is>
      </c>
      <c r="B2537" s="1" t="n">
        <v>45835</v>
      </c>
      <c r="C2537" s="1" t="n">
        <v>45844</v>
      </c>
      <c r="D2537" t="inlineStr">
        <is>
          <t>VÄRMLANDS LÄN</t>
        </is>
      </c>
      <c r="E2537" t="inlineStr">
        <is>
          <t>ARVIKA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32046-2025</t>
        </is>
      </c>
      <c r="B2538" s="1" t="n">
        <v>45835</v>
      </c>
      <c r="C2538" s="1" t="n">
        <v>45844</v>
      </c>
      <c r="D2538" t="inlineStr">
        <is>
          <t>VÄRMLANDS LÄN</t>
        </is>
      </c>
      <c r="E2538" t="inlineStr">
        <is>
          <t>ARVIKA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31969-2025</t>
        </is>
      </c>
      <c r="B2539" s="1" t="n">
        <v>45835</v>
      </c>
      <c r="C2539" s="1" t="n">
        <v>45844</v>
      </c>
      <c r="D2539" t="inlineStr">
        <is>
          <t>VÄRMLANDS LÄN</t>
        </is>
      </c>
      <c r="E2539" t="inlineStr">
        <is>
          <t>ARVIKA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31952-2025</t>
        </is>
      </c>
      <c r="B2540" s="1" t="n">
        <v>45835</v>
      </c>
      <c r="C2540" s="1" t="n">
        <v>45844</v>
      </c>
      <c r="D2540" t="inlineStr">
        <is>
          <t>VÄRMLANDS LÄN</t>
        </is>
      </c>
      <c r="E2540" t="inlineStr">
        <is>
          <t>ARVIKA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32138-2025</t>
        </is>
      </c>
      <c r="B2541" s="1" t="n">
        <v>45835</v>
      </c>
      <c r="C2541" s="1" t="n">
        <v>45844</v>
      </c>
      <c r="D2541" t="inlineStr">
        <is>
          <t>VÄRMLANDS LÄN</t>
        </is>
      </c>
      <c r="E2541" t="inlineStr">
        <is>
          <t>ARVIKA</t>
        </is>
      </c>
      <c r="F2541" t="inlineStr">
        <is>
          <t>Bergvik skog väst AB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32147-2025</t>
        </is>
      </c>
      <c r="B2542" s="1" t="n">
        <v>45835</v>
      </c>
      <c r="C2542" s="1" t="n">
        <v>45844</v>
      </c>
      <c r="D2542" t="inlineStr">
        <is>
          <t>VÄRMLANDS LÄN</t>
        </is>
      </c>
      <c r="E2542" t="inlineStr">
        <is>
          <t>ARVIKA</t>
        </is>
      </c>
      <c r="F2542" t="inlineStr">
        <is>
          <t>Bergvik skog väst AB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32008-2025</t>
        </is>
      </c>
      <c r="B2543" s="1" t="n">
        <v>45835</v>
      </c>
      <c r="C2543" s="1" t="n">
        <v>45844</v>
      </c>
      <c r="D2543" t="inlineStr">
        <is>
          <t>VÄRMLANDS LÄN</t>
        </is>
      </c>
      <c r="E2543" t="inlineStr">
        <is>
          <t>ARVIKA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32002-2025</t>
        </is>
      </c>
      <c r="B2544" s="1" t="n">
        <v>45835</v>
      </c>
      <c r="C2544" s="1" t="n">
        <v>45844</v>
      </c>
      <c r="D2544" t="inlineStr">
        <is>
          <t>VÄRMLANDS LÄN</t>
        </is>
      </c>
      <c r="E2544" t="inlineStr">
        <is>
          <t>ARVIKA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32515-2025</t>
        </is>
      </c>
      <c r="B2545" s="1" t="n">
        <v>45838</v>
      </c>
      <c r="C2545" s="1" t="n">
        <v>45844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32530-2025</t>
        </is>
      </c>
      <c r="B2546" s="1" t="n">
        <v>45838</v>
      </c>
      <c r="C2546" s="1" t="n">
        <v>45844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32568-2025</t>
        </is>
      </c>
      <c r="B2547" s="1" t="n">
        <v>45838</v>
      </c>
      <c r="C2547" s="1" t="n">
        <v>45844</v>
      </c>
      <c r="D2547" t="inlineStr">
        <is>
          <t>VÄRMLANDS LÄN</t>
        </is>
      </c>
      <c r="E2547" t="inlineStr">
        <is>
          <t>ARVIKA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32453-2025</t>
        </is>
      </c>
      <c r="B2548" s="1" t="n">
        <v>45838</v>
      </c>
      <c r="C2548" s="1" t="n">
        <v>45844</v>
      </c>
      <c r="D2548" t="inlineStr">
        <is>
          <t>VÄRMLANDS LÄN</t>
        </is>
      </c>
      <c r="E2548" t="inlineStr">
        <is>
          <t>ARVIKA</t>
        </is>
      </c>
      <c r="F2548" t="inlineStr">
        <is>
          <t>Bergvik skog väst AB</t>
        </is>
      </c>
      <c r="G2548" t="n">
        <v>4.4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33031-2025</t>
        </is>
      </c>
      <c r="B2549" s="1" t="n">
        <v>45840</v>
      </c>
      <c r="C2549" s="1" t="n">
        <v>45844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33575-2025</t>
        </is>
      </c>
      <c r="B2550" s="1" t="n">
        <v>45841</v>
      </c>
      <c r="C2550" s="1" t="n">
        <v>45844</v>
      </c>
      <c r="D2550" t="inlineStr">
        <is>
          <t>VÄRMLANDS LÄN</t>
        </is>
      </c>
      <c r="E2550" t="inlineStr">
        <is>
          <t>ARVIKA</t>
        </is>
      </c>
      <c r="G2550" t="n">
        <v>14.3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33521-2025</t>
        </is>
      </c>
      <c r="B2551" s="1" t="n">
        <v>45841</v>
      </c>
      <c r="C2551" s="1" t="n">
        <v>45844</v>
      </c>
      <c r="D2551" t="inlineStr">
        <is>
          <t>VÄRMLANDS LÄN</t>
        </is>
      </c>
      <c r="E2551" t="inlineStr">
        <is>
          <t>ARVIKA</t>
        </is>
      </c>
      <c r="G2551" t="n">
        <v>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33961-2025</t>
        </is>
      </c>
      <c r="B2552" s="1" t="n">
        <v>45842</v>
      </c>
      <c r="C2552" s="1" t="n">
        <v>45844</v>
      </c>
      <c r="D2552" t="inlineStr">
        <is>
          <t>VÄRMLANDS LÄN</t>
        </is>
      </c>
      <c r="E2552" t="inlineStr">
        <is>
          <t>ARVIKA</t>
        </is>
      </c>
      <c r="F2552" t="inlineStr">
        <is>
          <t>Bergvik skog väst AB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33983-2025</t>
        </is>
      </c>
      <c r="B2553" s="1" t="n">
        <v>45843</v>
      </c>
      <c r="C2553" s="1" t="n">
        <v>45844</v>
      </c>
      <c r="D2553" t="inlineStr">
        <is>
          <t>VÄRMLANDS LÄN</t>
        </is>
      </c>
      <c r="E2553" t="inlineStr">
        <is>
          <t>ARVIKA</t>
        </is>
      </c>
      <c r="F2553" t="inlineStr">
        <is>
          <t>Bergvik skog väst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>
      <c r="A2554" t="inlineStr">
        <is>
          <t>A 33985-2025</t>
        </is>
      </c>
      <c r="B2554" s="1" t="n">
        <v>45843</v>
      </c>
      <c r="C2554" s="1" t="n">
        <v>45844</v>
      </c>
      <c r="D2554" t="inlineStr">
        <is>
          <t>VÄRMLANDS LÄN</t>
        </is>
      </c>
      <c r="E2554" t="inlineStr">
        <is>
          <t>ARVIKA</t>
        </is>
      </c>
      <c r="F2554" t="inlineStr">
        <is>
          <t>Bergvik skog väst AB</t>
        </is>
      </c>
      <c r="G2554" t="n">
        <v>24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2025-07-06T19:31:31Z</dcterms:created>
  <dcterms:modified xmlns:dcterms="http://purl.org/dc/terms/" xmlns:xsi="http://www.w3.org/2001/XMLSchema-instance" xsi:type="dcterms:W3CDTF">2025-07-06T19:31:33Z</dcterms:modified>
</cp:coreProperties>
</file>