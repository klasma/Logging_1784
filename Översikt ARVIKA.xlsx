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46316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46316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46316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46316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46316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46316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46316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46316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46316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46316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46316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46316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46316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46316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46316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46316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46316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46316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46316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46316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46316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51595-2025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45951</v>
      </c>
      <c r="E32" s="1" t="n">
        <v>46316</v>
      </c>
      <c r="F32" t="inlineStr">
        <is>
          <t>VÄRMLANDS LÄN</t>
        </is>
      </c>
      <c r="G32" t="inlineStr">
        <is>
          <t>ARVIKA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Kattfotslav
Tjäder</t>
        </is>
      </c>
      <c r="W32">
        <f>HYPERLINK("https://klasma.github.io/Logging_1784/artfynd/A 51595-2025 artfynd.xlsx", "A 51595-2025")</f>
        <v/>
      </c>
      <c r="X32">
        <f>HYPERLINK("https://klasma.github.io/Logging_1784/kartor/A 51595-2025 karta.png", "A 51595-2025")</f>
        <v/>
      </c>
      <c r="Y32">
        <f>HYPERLINK("https://klasma.github.io/Logging_1784/kartor_geotiff/A 51595-2025 georefererad karta.tif", "A 51595-2025")</f>
        <v/>
      </c>
      <c r="AA32">
        <f>HYPERLINK("https://klasma.github.io/Logging_1784/klagomål/A 51595-2025 FSC-klagomål.docx", "A 51595-2025")</f>
        <v/>
      </c>
      <c r="AB32">
        <f>HYPERLINK("https://klasma.github.io/Logging_1784/klagomålsmail/A 51595-2025 FSC-klagomål mail.docx", "A 51595-2025")</f>
        <v/>
      </c>
      <c r="AC32">
        <f>HYPERLINK("https://klasma.github.io/Logging_1784/tillsyn/A 51595-2025 tillsynsbegäran.docx", "A 51595-2025")</f>
        <v/>
      </c>
      <c r="AD32">
        <f>HYPERLINK("https://klasma.github.io/Logging_1784/tillsynsmail/A 51595-2025 tillsynsbegäran mail.docx", "A 51595-2025")</f>
        <v/>
      </c>
      <c r="AE32">
        <f>HYPERLINK("https://klasma.github.io/Logging_1784/fåglar/A 51595-2025 prioriterade fågelarter.docx", "A 51595-2025")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46316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46316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46316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46316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46316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46316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46316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46316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46316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46316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46316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46316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Garnlav
Korallblylav</t>
        </is>
      </c>
      <c r="W44">
        <f>HYPERLINK("https://klasma.github.io/Logging_1784/artfynd/A 66652-2021 artfynd.xlsx", "A 66652-2021")</f>
        <v/>
      </c>
      <c r="X44">
        <f>HYPERLINK("https://klasma.github.io/Logging_1784/kartor/A 66652-2021 karta.png", "A 66652-2021")</f>
        <v/>
      </c>
      <c r="Y44">
        <f>HYPERLINK("https://klasma.github.io/Logging_1784/kartor_geotiff/A 66652-2021 georefererad karta.tif", "A 66652-2021")</f>
        <v/>
      </c>
      <c r="AA44">
        <f>HYPERLINK("https://klasma.github.io/Logging_1784/klagomål/A 66652-2021 FSC-klagomål.docx", "A 66652-2021")</f>
        <v/>
      </c>
      <c r="AB44">
        <f>HYPERLINK("https://klasma.github.io/Logging_1784/klagomålsmail/A 66652-2021 FSC-klagomål mail.docx", "A 66652-2021")</f>
        <v/>
      </c>
      <c r="AC44">
        <f>HYPERLINK("https://klasma.github.io/Logging_1784/tillsyn/A 66652-2021 tillsynsbegäran.docx", "A 66652-2021")</f>
        <v/>
      </c>
      <c r="AD44">
        <f>HYPERLINK("https://klasma.github.io/Logging_1784/tillsynsmail/A 66652-2021 tillsynsbegäran mail.docx", "A 66652-2021")</f>
        <v/>
      </c>
    </row>
    <row r="45" ht="15" customHeight="1">
      <c r="A45" t="inlineStr">
        <is>
          <t>A 45178-2023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46316</v>
      </c>
      <c r="F45" t="inlineStr">
        <is>
          <t>VÄRMLANDS LÄN</t>
        </is>
      </c>
      <c r="G45" t="inlineStr">
        <is>
          <t>ARVIKA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Pärluggla
Spillkråka</t>
        </is>
      </c>
      <c r="W45">
        <f>HYPERLINK("https://klasma.github.io/Logging_1784/artfynd/A 45178-2023 artfynd.xlsx", "A 45178-2023")</f>
        <v/>
      </c>
      <c r="X45">
        <f>HYPERLINK("https://klasma.github.io/Logging_1784/kartor/A 45178-2023 karta.png", "A 45178-2023")</f>
        <v/>
      </c>
      <c r="Y45">
        <f>HYPERLINK("https://klasma.github.io/Logging_1784/kartor_geotiff/A 45178-2023 georefererad karta.tif", "A 45178-2023")</f>
        <v/>
      </c>
      <c r="AA45">
        <f>HYPERLINK("https://klasma.github.io/Logging_1784/klagomål/A 45178-2023 FSC-klagomål.docx", "A 45178-2023")</f>
        <v/>
      </c>
      <c r="AB45">
        <f>HYPERLINK("https://klasma.github.io/Logging_1784/klagomålsmail/A 45178-2023 FSC-klagomål mail.docx", "A 45178-2023")</f>
        <v/>
      </c>
      <c r="AC45">
        <f>HYPERLINK("https://klasma.github.io/Logging_1784/tillsyn/A 45178-2023 tillsynsbegäran.docx", "A 45178-2023")</f>
        <v/>
      </c>
      <c r="AD45">
        <f>HYPERLINK("https://klasma.github.io/Logging_1784/tillsynsmail/A 45178-2023 tillsynsbegäran mail.docx", "A 45178-2023")</f>
        <v/>
      </c>
      <c r="AE45">
        <f>HYPERLINK("https://klasma.github.io/Logging_1784/fåglar/A 45178-2023 prioriterade fågelarter.docx", "A 45178-2023")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46316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46316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46316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46316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46316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46316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46316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74218-2021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46316</v>
      </c>
      <c r="F53" t="inlineStr">
        <is>
          <t>VÄRMLANDS LÄN</t>
        </is>
      </c>
      <c r="G53" t="inlineStr">
        <is>
          <t>ARVIKA</t>
        </is>
      </c>
      <c r="I53" t="n">
        <v>10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HYPERLINK("https://klasma.github.io/Logging_1784/artfynd/A 74218-2021 artfynd.xlsx", "A 74218-2021")</f>
        <v/>
      </c>
      <c r="X53">
        <f>HYPERLINK("https://klasma.github.io/Logging_1784/kartor/A 74218-2021 karta.png", "A 74218-2021")</f>
        <v/>
      </c>
      <c r="Y53">
        <f>HYPERLINK("https://klasma.github.io/Logging_1784/kartor_geotiff/A 74218-2021 georefererad karta.tif", "A 74218-2021")</f>
        <v/>
      </c>
      <c r="AA53">
        <f>HYPERLINK("https://klasma.github.io/Logging_1784/klagomål/A 74218-2021 FSC-klagomål.docx", "A 74218-2021")</f>
        <v/>
      </c>
      <c r="AB53">
        <f>HYPERLINK("https://klasma.github.io/Logging_1784/klagomålsmail/A 74218-2021 FSC-klagomål mail.docx", "A 74218-2021")</f>
        <v/>
      </c>
      <c r="AC53">
        <f>HYPERLINK("https://klasma.github.io/Logging_1784/tillsyn/A 74218-2021 tillsynsbegäran.docx", "A 74218-2021")</f>
        <v/>
      </c>
      <c r="AD53">
        <f>HYPERLINK("https://klasma.github.io/Logging_1784/tillsynsmail/A 74218-2021 tillsynsbegäran mail.docx", "A 74218-2021")</f>
        <v/>
      </c>
      <c r="AE53">
        <f>HYPERLINK("https://klasma.github.io/Logging_1784/fåglar/A 74218-2021 prioriterade fågelarter.docx", "A 74218-2021")</f>
        <v/>
      </c>
    </row>
    <row r="54" ht="15" customHeight="1">
      <c r="A54" t="inlineStr">
        <is>
          <t>A 60844-2024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46316</v>
      </c>
      <c r="F54" t="inlineStr">
        <is>
          <t>VÄRMLANDS LÄN</t>
        </is>
      </c>
      <c r="G54" t="inlineStr">
        <is>
          <t>ARVIKA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HYPERLINK("https://klasma.github.io/Logging_1784/artfynd/A 60844-2024 artfynd.xlsx", "A 60844-2024")</f>
        <v/>
      </c>
      <c r="X54">
        <f>HYPERLINK("https://klasma.github.io/Logging_1784/kartor/A 60844-2024 karta.png", "A 60844-2024")</f>
        <v/>
      </c>
      <c r="Y54">
        <f>HYPERLINK("https://klasma.github.io/Logging_1784/kartor_geotiff/A 60844-2024 georefererad karta.tif", "A 60844-2024")</f>
        <v/>
      </c>
      <c r="AA54">
        <f>HYPERLINK("https://klasma.github.io/Logging_1784/klagomål/A 60844-2024 FSC-klagomål.docx", "A 60844-2024")</f>
        <v/>
      </c>
      <c r="AB54">
        <f>HYPERLINK("https://klasma.github.io/Logging_1784/klagomålsmail/A 60844-2024 FSC-klagomål mail.docx", "A 60844-2024")</f>
        <v/>
      </c>
      <c r="AC54">
        <f>HYPERLINK("https://klasma.github.io/Logging_1784/tillsyn/A 60844-2024 tillsynsbegäran.docx", "A 60844-2024")</f>
        <v/>
      </c>
      <c r="AD54">
        <f>HYPERLINK("https://klasma.github.io/Logging_1784/tillsynsmail/A 60844-2024 tillsynsbegäran mail.docx", "A 60844-2024")</f>
        <v/>
      </c>
      <c r="AE54">
        <f>HYPERLINK("https://klasma.github.io/Logging_1784/fåglar/A 60844-2024 prioriterade fågelarter.docx", "A 60844-2024")</f>
        <v/>
      </c>
    </row>
    <row r="55" ht="15" customHeight="1">
      <c r="A55" t="inlineStr">
        <is>
          <t>A 26079-2025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46316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Svart trolldruva</t>
        </is>
      </c>
      <c r="W55">
        <f>HYPERLINK("https://klasma.github.io/Logging_1784/artfynd/A 26079-2025 artfynd.xlsx", "A 26079-2025")</f>
        <v/>
      </c>
      <c r="X55">
        <f>HYPERLINK("https://klasma.github.io/Logging_1784/kartor/A 26079-2025 karta.png", "A 26079-2025")</f>
        <v/>
      </c>
      <c r="Y55">
        <f>HYPERLINK("https://klasma.github.io/Logging_1784/kartor_geotiff/A 26079-2025 georefererad karta.tif", "A 26079-2025")</f>
        <v/>
      </c>
      <c r="AA55">
        <f>HYPERLINK("https://klasma.github.io/Logging_1784/klagomål/A 26079-2025 FSC-klagomål.docx", "A 26079-2025")</f>
        <v/>
      </c>
      <c r="AB55">
        <f>HYPERLINK("https://klasma.github.io/Logging_1784/klagomålsmail/A 26079-2025 FSC-klagomål mail.docx", "A 26079-2025")</f>
        <v/>
      </c>
      <c r="AC55">
        <f>HYPERLINK("https://klasma.github.io/Logging_1784/tillsyn/A 26079-2025 tillsynsbegäran.docx", "A 26079-2025")</f>
        <v/>
      </c>
      <c r="AD55">
        <f>HYPERLINK("https://klasma.github.io/Logging_1784/tillsynsmail/A 26079-2025 tillsynsbegäran mail.docx", "A 26079-2025")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46316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46316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36475-2024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45537</v>
      </c>
      <c r="E58" s="1" t="n">
        <v>46316</v>
      </c>
      <c r="F58" t="inlineStr">
        <is>
          <t>VÄRMLANDS LÄN</t>
        </is>
      </c>
      <c r="G58" t="inlineStr">
        <is>
          <t>ARVIKA</t>
        </is>
      </c>
      <c r="H58" t="inlineStr">
        <is>
          <t>Kommuner</t>
        </is>
      </c>
      <c r="I58" t="n">
        <v>2.2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HYPERLINK("https://klasma.github.io/Logging_1784/artfynd/A 36475-2024 artfynd.xlsx", "A 36475-2024")</f>
        <v/>
      </c>
      <c r="X58">
        <f>HYPERLINK("https://klasma.github.io/Logging_1784/kartor/A 36475-2024 karta.png", "A 36475-2024")</f>
        <v/>
      </c>
      <c r="Y58">
        <f>HYPERLINK("https://klasma.github.io/Logging_1784/kartor_geotiff/A 36475-2024 georefererad karta.tif", "A 36475-2024")</f>
        <v/>
      </c>
      <c r="AA58">
        <f>HYPERLINK("https://klasma.github.io/Logging_1784/klagomål/A 36475-2024 FSC-klagomål.docx", "A 36475-2024")</f>
        <v/>
      </c>
      <c r="AB58">
        <f>HYPERLINK("https://klasma.github.io/Logging_1784/klagomålsmail/A 36475-2024 FSC-klagomål mail.docx", "A 36475-2024")</f>
        <v/>
      </c>
      <c r="AC58">
        <f>HYPERLINK("https://klasma.github.io/Logging_1784/tillsyn/A 36475-2024 tillsynsbegäran.docx", "A 36475-2024")</f>
        <v/>
      </c>
      <c r="AD58">
        <f>HYPERLINK("https://klasma.github.io/Logging_1784/tillsynsmail/A 36475-2024 tillsynsbegäran mail.docx", "A 36475-2024")</f>
        <v/>
      </c>
    </row>
    <row r="59" ht="15" customHeight="1">
      <c r="A59" t="inlineStr">
        <is>
          <t>A 56713-2022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46316</v>
      </c>
      <c r="F59" t="inlineStr">
        <is>
          <t>VÄRMLANDS LÄN</t>
        </is>
      </c>
      <c r="G59" t="inlineStr">
        <is>
          <t>ARVIKA</t>
        </is>
      </c>
      <c r="I59" t="n">
        <v>4.9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HYPERLINK("https://klasma.github.io/Logging_1784/artfynd/A 56713-2022 artfynd.xlsx", "A 56713-2022")</f>
        <v/>
      </c>
      <c r="X59">
        <f>HYPERLINK("https://klasma.github.io/Logging_1784/kartor/A 56713-2022 karta.png", "A 56713-2022")</f>
        <v/>
      </c>
      <c r="Y59">
        <f>HYPERLINK("https://klasma.github.io/Logging_1784/kartor_geotiff/A 56713-2022 georefererad karta.tif", "A 56713-2022")</f>
        <v/>
      </c>
      <c r="AA59">
        <f>HYPERLINK("https://klasma.github.io/Logging_1784/klagomål/A 56713-2022 FSC-klagomål.docx", "A 56713-2022")</f>
        <v/>
      </c>
      <c r="AB59">
        <f>HYPERLINK("https://klasma.github.io/Logging_1784/klagomålsmail/A 56713-2022 FSC-klagomål mail.docx", "A 56713-2022")</f>
        <v/>
      </c>
      <c r="AC59">
        <f>HYPERLINK("https://klasma.github.io/Logging_1784/tillsyn/A 56713-2022 tillsynsbegäran.docx", "A 56713-2022")</f>
        <v/>
      </c>
      <c r="AD59">
        <f>HYPERLINK("https://klasma.github.io/Logging_1784/tillsynsmail/A 56713-2022 tillsynsbegäran mail.docx", "A 56713-2022")</f>
        <v/>
      </c>
    </row>
    <row r="60" ht="15" customHeight="1">
      <c r="A60" t="inlineStr">
        <is>
          <t>A 22934-2023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45072</v>
      </c>
      <c r="E60" s="1" t="n">
        <v>46316</v>
      </c>
      <c r="F60" t="inlineStr">
        <is>
          <t>VÄRMLANDS LÄN</t>
        </is>
      </c>
      <c r="G60" t="inlineStr">
        <is>
          <t>ARVIKA</t>
        </is>
      </c>
      <c r="I60" t="n">
        <v>1.1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7</v>
      </c>
      <c r="U60" t="n">
        <v>6</v>
      </c>
      <c r="V60" s="2" t="inlineStr">
        <is>
          <t>Skogsklocka</t>
        </is>
      </c>
      <c r="W60">
        <f>HYPERLINK("https://klasma.github.io/Logging_1784/artfynd/A 22934-2023 artfynd.xlsx", "A 22934-2023")</f>
        <v/>
      </c>
      <c r="X60">
        <f>HYPERLINK("https://klasma.github.io/Logging_1784/kartor/A 22934-2023 karta.png", "A 22934-2023")</f>
        <v/>
      </c>
      <c r="Y60">
        <f>HYPERLINK("https://klasma.github.io/Logging_1784/kartor_geotiff/A 22934-2023 georefererad karta.tif", "A 22934-2023")</f>
        <v/>
      </c>
      <c r="AA60">
        <f>HYPERLINK("https://klasma.github.io/Logging_1784/klagomål/A 22934-2023 FSC-klagomål.docx", "A 22934-2023")</f>
        <v/>
      </c>
      <c r="AB60">
        <f>HYPERLINK("https://klasma.github.io/Logging_1784/klagomålsmail/A 22934-2023 FSC-klagomål mail.docx", "A 22934-2023")</f>
        <v/>
      </c>
      <c r="AC60">
        <f>HYPERLINK("https://klasma.github.io/Logging_1784/tillsyn/A 22934-2023 tillsynsbegäran.docx", "A 22934-2023")</f>
        <v/>
      </c>
      <c r="AD60">
        <f>HYPERLINK("https://klasma.github.io/Logging_1784/tillsynsmail/A 22934-2023 tillsynsbegäran mail.docx", "A 22934-2023")</f>
        <v/>
      </c>
    </row>
    <row r="61" ht="15" customHeight="1">
      <c r="A61" t="inlineStr">
        <is>
          <t>A 9761-2026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46316</v>
      </c>
      <c r="F61" t="inlineStr">
        <is>
          <t>VÄRMLANDS LÄN</t>
        </is>
      </c>
      <c r="G61" t="inlineStr">
        <is>
          <t>ARVIKA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HYPERLINK("https://klasma.github.io/Logging_1784/artfynd/A 9761-2026 artfynd.xlsx", "A 9761-2026")</f>
        <v/>
      </c>
      <c r="X61">
        <f>HYPERLINK("https://klasma.github.io/Logging_1784/kartor/A 9761-2026 karta.png", "A 9761-2026")</f>
        <v/>
      </c>
      <c r="Y61">
        <f>HYPERLINK("https://klasma.github.io/Logging_1784/kartor_geotiff/A 9761-2026 georefererad karta.tif", "A 9761-2026")</f>
        <v/>
      </c>
      <c r="AA61">
        <f>HYPERLINK("https://klasma.github.io/Logging_1784/klagomål/A 9761-2026 FSC-klagomål.docx", "A 9761-2026")</f>
        <v/>
      </c>
      <c r="AB61">
        <f>HYPERLINK("https://klasma.github.io/Logging_1784/klagomålsmail/A 9761-2026 FSC-klagomål mail.docx", "A 9761-2026")</f>
        <v/>
      </c>
      <c r="AC61">
        <f>HYPERLINK("https://klasma.github.io/Logging_1784/tillsyn/A 9761-2026 tillsynsbegäran.docx", "A 9761-2026")</f>
        <v/>
      </c>
      <c r="AD61">
        <f>HYPERLINK("https://klasma.github.io/Logging_1784/tillsynsmail/A 9761-2026 tillsynsbegäran mail.docx", "A 9761-2026")</f>
        <v/>
      </c>
    </row>
    <row r="62" ht="15" customHeight="1">
      <c r="A62" t="inlineStr">
        <is>
          <t>A 10061-2026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46073</v>
      </c>
      <c r="E62" s="1" t="n">
        <v>46316</v>
      </c>
      <c r="F62" t="inlineStr">
        <is>
          <t>VÄRMLANDS LÄN</t>
        </is>
      </c>
      <c r="G62" t="inlineStr">
        <is>
          <t>ARVIKA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Trana</t>
        </is>
      </c>
      <c r="W62">
        <f>HYPERLINK("https://klasma.github.io/Logging_1784/artfynd/A 10061-2026 artfynd.xlsx", "A 10061-2026")</f>
        <v/>
      </c>
      <c r="X62">
        <f>HYPERLINK("https://klasma.github.io/Logging_1784/kartor/A 10061-2026 karta.png", "A 10061-2026")</f>
        <v/>
      </c>
      <c r="Y62">
        <f>HYPERLINK("https://klasma.github.io/Logging_1784/kartor_geotiff/A 10061-2026 georefererad karta.tif", "A 10061-2026")</f>
        <v/>
      </c>
      <c r="AA62">
        <f>HYPERLINK("https://klasma.github.io/Logging_1784/klagomål/A 10061-2026 FSC-klagomål.docx", "A 10061-2026")</f>
        <v/>
      </c>
      <c r="AB62">
        <f>HYPERLINK("https://klasma.github.io/Logging_1784/klagomålsmail/A 10061-2026 FSC-klagomål mail.docx", "A 10061-2026")</f>
        <v/>
      </c>
      <c r="AC62">
        <f>HYPERLINK("https://klasma.github.io/Logging_1784/tillsyn/A 10061-2026 tillsynsbegäran.docx", "A 10061-2026")</f>
        <v/>
      </c>
      <c r="AD62">
        <f>HYPERLINK("https://klasma.github.io/Logging_1784/tillsynsmail/A 10061-2026 tillsynsbegäran mail.docx", "A 10061-2026")</f>
        <v/>
      </c>
      <c r="AE62">
        <f>HYPERLINK("https://klasma.github.io/Logging_1784/fåglar/A 10061-2026 prioriterade fågelarter.docx", "A 10061-2026")</f>
        <v/>
      </c>
    </row>
    <row r="63" ht="15" customHeight="1">
      <c r="A63" t="inlineStr">
        <is>
          <t>A 22519-2022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46316</v>
      </c>
      <c r="F63" t="inlineStr">
        <is>
          <t>VÄRMLANDS LÄN</t>
        </is>
      </c>
      <c r="G63" t="inlineStr">
        <is>
          <t>ARVIKA</t>
        </is>
      </c>
      <c r="I63" t="n">
        <v>2.8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22519-2022 artfynd.xlsx", "A 22519-2022")</f>
        <v/>
      </c>
      <c r="X63">
        <f>HYPERLINK("https://klasma.github.io/Logging_1784/kartor/A 22519-2022 karta.png", "A 22519-2022")</f>
        <v/>
      </c>
      <c r="Y63">
        <f>HYPERLINK("https://klasma.github.io/Logging_1784/kartor_geotiff/A 22519-2022 georefererad karta.tif", "A 22519-2022")</f>
        <v/>
      </c>
      <c r="AA63">
        <f>HYPERLINK("https://klasma.github.io/Logging_1784/klagomål/A 22519-2022 FSC-klagomål.docx", "A 22519-2022")</f>
        <v/>
      </c>
      <c r="AB63">
        <f>HYPERLINK("https://klasma.github.io/Logging_1784/klagomålsmail/A 22519-2022 FSC-klagomål mail.docx", "A 22519-2022")</f>
        <v/>
      </c>
      <c r="AC63">
        <f>HYPERLINK("https://klasma.github.io/Logging_1784/tillsyn/A 22519-2022 tillsynsbegäran.docx", "A 22519-2022")</f>
        <v/>
      </c>
      <c r="AD63">
        <f>HYPERLINK("https://klasma.github.io/Logging_1784/tillsynsmail/A 22519-2022 tillsynsbegäran mail.docx", "A 22519-2022")</f>
        <v/>
      </c>
    </row>
    <row r="64" ht="15" customHeight="1">
      <c r="A64" t="inlineStr">
        <is>
          <t>A 11416-2026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46083</v>
      </c>
      <c r="E64" s="1" t="n">
        <v>46316</v>
      </c>
      <c r="F64" t="inlineStr">
        <is>
          <t>VÄRMLANDS LÄN</t>
        </is>
      </c>
      <c r="G64" t="inlineStr">
        <is>
          <t>ARVIKA</t>
        </is>
      </c>
      <c r="I64" t="n">
        <v>1.1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11416-2026 artfynd.xlsx", "A 11416-2026")</f>
        <v/>
      </c>
      <c r="X64">
        <f>HYPERLINK("https://klasma.github.io/Logging_1784/kartor/A 11416-2026 karta.png", "A 11416-2026")</f>
        <v/>
      </c>
      <c r="Y64">
        <f>HYPERLINK("https://klasma.github.io/Logging_1784/kartor_geotiff/A 11416-2026 georefererad karta.tif", "A 11416-2026")</f>
        <v/>
      </c>
      <c r="Z64">
        <f>HYPERLINK("https://klasma.github.io/Logging_1784/knärot/A 11416-2026 karta knärot.png", "A 11416-2026")</f>
        <v/>
      </c>
      <c r="AA64">
        <f>HYPERLINK("https://klasma.github.io/Logging_1784/klagomål/A 11416-2026 FSC-klagomål.docx", "A 11416-2026")</f>
        <v/>
      </c>
      <c r="AB64">
        <f>HYPERLINK("https://klasma.github.io/Logging_1784/klagomålsmail/A 11416-2026 FSC-klagomål mail.docx", "A 11416-2026")</f>
        <v/>
      </c>
      <c r="AC64">
        <f>HYPERLINK("https://klasma.github.io/Logging_1784/tillsyn/A 11416-2026 tillsynsbegäran.docx", "A 11416-2026")</f>
        <v/>
      </c>
      <c r="AD64">
        <f>HYPERLINK("https://klasma.github.io/Logging_1784/tillsynsmail/A 11416-2026 tillsynsbegäran mail.docx", "A 11416-2026")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46316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46316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Duvhök</t>
        </is>
      </c>
      <c r="W66">
        <f>HYPERLINK("https://klasma.github.io/Logging_1784/artfynd/A 29937-2025 artfynd.xlsx", "A 29937-2025")</f>
        <v/>
      </c>
      <c r="X66">
        <f>HYPERLINK("https://klasma.github.io/Logging_1784/kartor/A 29937-2025 karta.png", "A 29937-2025")</f>
        <v/>
      </c>
      <c r="Y66">
        <f>HYPERLINK("https://klasma.github.io/Logging_1784/kartor_geotiff/A 29937-2025 georefererad karta.tif", "A 29937-2025")</f>
        <v/>
      </c>
      <c r="AA66">
        <f>HYPERLINK("https://klasma.github.io/Logging_1784/klagomål/A 29937-2025 FSC-klagomål.docx", "A 29937-2025")</f>
        <v/>
      </c>
      <c r="AB66">
        <f>HYPERLINK("https://klasma.github.io/Logging_1784/klagomålsmail/A 29937-2025 FSC-klagomål mail.docx", "A 29937-2025")</f>
        <v/>
      </c>
      <c r="AC66">
        <f>HYPERLINK("https://klasma.github.io/Logging_1784/tillsyn/A 29937-2025 tillsynsbegäran.docx", "A 29937-2025")</f>
        <v/>
      </c>
      <c r="AD66">
        <f>HYPERLINK("https://klasma.github.io/Logging_1784/tillsynsmail/A 29937-2025 tillsynsbegäran mail.docx", "A 29937-2025")</f>
        <v/>
      </c>
      <c r="AE66">
        <f>HYPERLINK("https://klasma.github.io/Logging_1784/fåglar/A 29937-2025 prioriterade fågelarter.docx", "A 29937-2025")</f>
        <v/>
      </c>
    </row>
    <row r="67" ht="15" customHeight="1">
      <c r="A67" t="inlineStr">
        <is>
          <t>A 30777-2025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46316</v>
      </c>
      <c r="F67" t="inlineStr">
        <is>
          <t>VÄRMLANDS LÄN</t>
        </is>
      </c>
      <c r="G67" t="inlineStr">
        <is>
          <t>ARVIKA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Sångsvan</t>
        </is>
      </c>
      <c r="W67">
        <f>HYPERLINK("https://klasma.github.io/Logging_1784/artfynd/A 30777-2025 artfynd.xlsx", "A 30777-2025")</f>
        <v/>
      </c>
      <c r="X67">
        <f>HYPERLINK("https://klasma.github.io/Logging_1784/kartor/A 30777-2025 karta.png", "A 30777-2025")</f>
        <v/>
      </c>
      <c r="Y67">
        <f>HYPERLINK("https://klasma.github.io/Logging_1784/kartor_geotiff/A 30777-2025 georefererad karta.tif", "A 30777-2025")</f>
        <v/>
      </c>
      <c r="AA67">
        <f>HYPERLINK("https://klasma.github.io/Logging_1784/klagomål/A 30777-2025 FSC-klagomål.docx", "A 30777-2025")</f>
        <v/>
      </c>
      <c r="AB67">
        <f>HYPERLINK("https://klasma.github.io/Logging_1784/klagomålsmail/A 30777-2025 FSC-klagomål mail.docx", "A 30777-2025")</f>
        <v/>
      </c>
      <c r="AC67">
        <f>HYPERLINK("https://klasma.github.io/Logging_1784/tillsyn/A 30777-2025 tillsynsbegäran.docx", "A 30777-2025")</f>
        <v/>
      </c>
      <c r="AD67">
        <f>HYPERLINK("https://klasma.github.io/Logging_1784/tillsynsmail/A 30777-2025 tillsynsbegäran mail.docx", "A 30777-2025")</f>
        <v/>
      </c>
      <c r="AE67">
        <f>HYPERLINK("https://klasma.github.io/Logging_1784/fåglar/A 30777-2025 prioriterade fågelarter.docx", "A 30777-2025")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46316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31588-2025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46316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HYPERLINK("https://klasma.github.io/Logging_1784/artfynd/A 31588-2025 artfynd.xlsx", "A 31588-2025")</f>
        <v/>
      </c>
      <c r="X69">
        <f>HYPERLINK("https://klasma.github.io/Logging_1784/kartor/A 31588-2025 karta.png", "A 31588-2025")</f>
        <v/>
      </c>
      <c r="Y69">
        <f>HYPERLINK("https://klasma.github.io/Logging_1784/kartor_geotiff/A 31588-2025 georefererad karta.tif", "A 31588-2025")</f>
        <v/>
      </c>
      <c r="AA69">
        <f>HYPERLINK("https://klasma.github.io/Logging_1784/klagomål/A 31588-2025 FSC-klagomål.docx", "A 31588-2025")</f>
        <v/>
      </c>
      <c r="AB69">
        <f>HYPERLINK("https://klasma.github.io/Logging_1784/klagomålsmail/A 31588-2025 FSC-klagomål mail.docx", "A 31588-2025")</f>
        <v/>
      </c>
      <c r="AC69">
        <f>HYPERLINK("https://klasma.github.io/Logging_1784/tillsyn/A 31588-2025 tillsynsbegäran.docx", "A 31588-2025")</f>
        <v/>
      </c>
      <c r="AD69">
        <f>HYPERLINK("https://klasma.github.io/Logging_1784/tillsynsmail/A 31588-2025 tillsynsbegäran mail.docx", "A 31588-2025")</f>
        <v/>
      </c>
    </row>
    <row r="70" ht="15" customHeight="1">
      <c r="A70" t="inlineStr">
        <is>
          <t>A 43388-2023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46316</v>
      </c>
      <c r="F70" t="inlineStr">
        <is>
          <t>VÄRMLANDS LÄN</t>
        </is>
      </c>
      <c r="G70" t="inlineStr">
        <is>
          <t>ARVIKA</t>
        </is>
      </c>
      <c r="I70" t="n">
        <v>0.7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43388-2023 artfynd.xlsx", "A 43388-2023")</f>
        <v/>
      </c>
      <c r="X70">
        <f>HYPERLINK("https://klasma.github.io/Logging_1784/kartor/A 43388-2023 karta.png", "A 43388-2023")</f>
        <v/>
      </c>
      <c r="Y70">
        <f>HYPERLINK("https://klasma.github.io/Logging_1784/kartor_geotiff/A 43388-2023 georefererad karta.tif", "A 43388-2023")</f>
        <v/>
      </c>
      <c r="Z70">
        <f>HYPERLINK("https://klasma.github.io/Logging_1784/knärot/A 43388-2023 karta knärot.png", "A 43388-2023")</f>
        <v/>
      </c>
      <c r="AA70">
        <f>HYPERLINK("https://klasma.github.io/Logging_1784/klagomål/A 43388-2023 FSC-klagomål.docx", "A 43388-2023")</f>
        <v/>
      </c>
      <c r="AB70">
        <f>HYPERLINK("https://klasma.github.io/Logging_1784/klagomålsmail/A 43388-2023 FSC-klagomål mail.docx", "A 43388-2023")</f>
        <v/>
      </c>
      <c r="AC70">
        <f>HYPERLINK("https://klasma.github.io/Logging_1784/tillsyn/A 43388-2023 tillsynsbegäran.docx", "A 43388-2023")</f>
        <v/>
      </c>
      <c r="AD70">
        <f>HYPERLINK("https://klasma.github.io/Logging_1784/tillsynsmail/A 43388-2023 tillsynsbegäran mail.docx", "A 43388-2023")</f>
        <v/>
      </c>
    </row>
    <row r="71" ht="15" customHeight="1">
      <c r="A71" t="inlineStr">
        <is>
          <t>A 17088-2026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46316</v>
      </c>
      <c r="F71" t="inlineStr">
        <is>
          <t>VÄRMLANDS LÄN</t>
        </is>
      </c>
      <c r="G71" t="inlineStr">
        <is>
          <t>ARVIKA</t>
        </is>
      </c>
      <c r="I71" t="n">
        <v>4.6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HYPERLINK("https://klasma.github.io/Logging_1784/artfynd/A 17088-2026 artfynd.xlsx", "A 17088-2026")</f>
        <v/>
      </c>
      <c r="X71">
        <f>HYPERLINK("https://klasma.github.io/Logging_1784/kartor/A 17088-2026 karta.png", "A 17088-2026")</f>
        <v/>
      </c>
      <c r="Y71">
        <f>HYPERLINK("https://klasma.github.io/Logging_1784/kartor_geotiff/A 17088-2026 georefererad karta.tif", "A 17088-2026")</f>
        <v/>
      </c>
      <c r="AA71">
        <f>HYPERLINK("https://klasma.github.io/Logging_1784/klagomål/A 17088-2026 FSC-klagomål.docx", "A 17088-2026")</f>
        <v/>
      </c>
      <c r="AB71">
        <f>HYPERLINK("https://klasma.github.io/Logging_1784/klagomålsmail/A 17088-2026 FSC-klagomål mail.docx", "A 17088-2026")</f>
        <v/>
      </c>
      <c r="AC71">
        <f>HYPERLINK("https://klasma.github.io/Logging_1784/tillsyn/A 17088-2026 tillsynsbegäran.docx", "A 17088-2026")</f>
        <v/>
      </c>
      <c r="AD71">
        <f>HYPERLINK("https://klasma.github.io/Logging_1784/tillsynsmail/A 17088-2026 tillsynsbegäran mail.docx", "A 17088-2026")</f>
        <v/>
      </c>
    </row>
    <row r="72" ht="15" customHeight="1">
      <c r="A72" t="inlineStr">
        <is>
          <t>A 52185-2024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46316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1</v>
      </c>
      <c r="V72" s="2" t="inlineStr">
        <is>
          <t>Lunglav</t>
        </is>
      </c>
      <c r="W72">
        <f>HYPERLINK("https://klasma.github.io/Logging_1784/artfynd/A 52185-2024 artfynd.xlsx", "A 52185-2024")</f>
        <v/>
      </c>
      <c r="X72">
        <f>HYPERLINK("https://klasma.github.io/Logging_1784/kartor/A 52185-2024 karta.png", "A 52185-2024")</f>
        <v/>
      </c>
      <c r="Y72">
        <f>HYPERLINK("https://klasma.github.io/Logging_1784/kartor_geotiff/A 52185-2024 georefererad karta.tif", "A 52185-2024")</f>
        <v/>
      </c>
      <c r="AA72">
        <f>HYPERLINK("https://klasma.github.io/Logging_1784/klagomål/A 52185-2024 FSC-klagomål.docx", "A 52185-2024")</f>
        <v/>
      </c>
      <c r="AB72">
        <f>HYPERLINK("https://klasma.github.io/Logging_1784/klagomålsmail/A 52185-2024 FSC-klagomål mail.docx", "A 52185-2024")</f>
        <v/>
      </c>
      <c r="AC72">
        <f>HYPERLINK("https://klasma.github.io/Logging_1784/tillsyn/A 52185-2024 tillsynsbegäran.docx", "A 52185-2024")</f>
        <v/>
      </c>
      <c r="AD72">
        <f>HYPERLINK("https://klasma.github.io/Logging_1784/tillsynsmail/A 52185-2024 tillsynsbegäran mail.docx", "A 52185-2024")</f>
        <v/>
      </c>
    </row>
    <row r="73" ht="15" customHeight="1">
      <c r="A73" t="inlineStr">
        <is>
          <t>A 18062-2026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46125</v>
      </c>
      <c r="E73" s="1" t="n">
        <v>46316</v>
      </c>
      <c r="F73" t="inlineStr">
        <is>
          <t>VÄRMLANDS LÄN</t>
        </is>
      </c>
      <c r="G73" t="inlineStr">
        <is>
          <t>ARVIKA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HYPERLINK("https://klasma.github.io/Logging_1784/artfynd/A 18062-2026 artfynd.xlsx", "A 18062-2026")</f>
        <v/>
      </c>
      <c r="X73">
        <f>HYPERLINK("https://klasma.github.io/Logging_1784/kartor/A 18062-2026 karta.png", "A 18062-2026")</f>
        <v/>
      </c>
      <c r="Y73">
        <f>HYPERLINK("https://klasma.github.io/Logging_1784/kartor_geotiff/A 18062-2026 georefererad karta.tif", "A 18062-2026")</f>
        <v/>
      </c>
      <c r="AA73">
        <f>HYPERLINK("https://klasma.github.io/Logging_1784/klagomål/A 18062-2026 FSC-klagomål.docx", "A 18062-2026")</f>
        <v/>
      </c>
      <c r="AB73">
        <f>HYPERLINK("https://klasma.github.io/Logging_1784/klagomålsmail/A 18062-2026 FSC-klagomål mail.docx", "A 18062-2026")</f>
        <v/>
      </c>
      <c r="AC73">
        <f>HYPERLINK("https://klasma.github.io/Logging_1784/tillsyn/A 18062-2026 tillsynsbegäran.docx", "A 18062-2026")</f>
        <v/>
      </c>
      <c r="AD73">
        <f>HYPERLINK("https://klasma.github.io/Logging_1784/tillsynsmail/A 18062-2026 tillsynsbegäran mail.docx", "A 18062-2026")</f>
        <v/>
      </c>
      <c r="AE73">
        <f>HYPERLINK("https://klasma.github.io/Logging_1784/fåglar/A 18062-2026 prioriterade fågelarter.docx", "A 18062-2026")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46316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46316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48010-2024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46316</v>
      </c>
      <c r="F76" t="inlineStr">
        <is>
          <t>VÄRMLANDS LÄN</t>
        </is>
      </c>
      <c r="G76" t="inlineStr">
        <is>
          <t>ARVIKA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48010-2024 artfynd.xlsx", "A 48010-2024")</f>
        <v/>
      </c>
      <c r="X76">
        <f>HYPERLINK("https://klasma.github.io/Logging_1784/kartor/A 48010-2024 karta.png", "A 48010-2024")</f>
        <v/>
      </c>
      <c r="Y76">
        <f>HYPERLINK("https://klasma.github.io/Logging_1784/kartor_geotiff/A 48010-2024 georefererad karta.tif", "A 48010-2024")</f>
        <v/>
      </c>
      <c r="Z76">
        <f>HYPERLINK("https://klasma.github.io/Logging_1784/knärot/A 48010-2024 karta knärot.png", "A 48010-2024")</f>
        <v/>
      </c>
      <c r="AA76">
        <f>HYPERLINK("https://klasma.github.io/Logging_1784/klagomål/A 48010-2024 FSC-klagomål.docx", "A 48010-2024")</f>
        <v/>
      </c>
      <c r="AB76">
        <f>HYPERLINK("https://klasma.github.io/Logging_1784/klagomålsmail/A 48010-2024 FSC-klagomål mail.docx", "A 48010-2024")</f>
        <v/>
      </c>
      <c r="AC76">
        <f>HYPERLINK("https://klasma.github.io/Logging_1784/tillsyn/A 48010-2024 tillsynsbegäran.docx", "A 48010-2024")</f>
        <v/>
      </c>
      <c r="AD76">
        <f>HYPERLINK("https://klasma.github.io/Logging_1784/tillsynsmail/A 48010-2024 tillsynsbegäran mail.docx", "A 48010-2024")</f>
        <v/>
      </c>
    </row>
    <row r="77" ht="15" customHeight="1">
      <c r="A77" t="inlineStr">
        <is>
          <t>A 49883-2024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46316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4.6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Mönjevaxing</t>
        </is>
      </c>
      <c r="W77">
        <f>HYPERLINK("https://klasma.github.io/Logging_1784/artfynd/A 49883-2024 artfynd.xlsx", "A 49883-2024")</f>
        <v/>
      </c>
      <c r="X77">
        <f>HYPERLINK("https://klasma.github.io/Logging_1784/kartor/A 49883-2024 karta.png", "A 49883-2024")</f>
        <v/>
      </c>
      <c r="Y77">
        <f>HYPERLINK("https://klasma.github.io/Logging_1784/kartor_geotiff/A 49883-2024 georefererad karta.tif", "A 49883-2024")</f>
        <v/>
      </c>
      <c r="AA77">
        <f>HYPERLINK("https://klasma.github.io/Logging_1784/klagomål/A 49883-2024 FSC-klagomål.docx", "A 49883-2024")</f>
        <v/>
      </c>
      <c r="AB77">
        <f>HYPERLINK("https://klasma.github.io/Logging_1784/klagomålsmail/A 49883-2024 FSC-klagomål mail.docx", "A 49883-2024")</f>
        <v/>
      </c>
      <c r="AC77">
        <f>HYPERLINK("https://klasma.github.io/Logging_1784/tillsyn/A 49883-2024 tillsynsbegäran.docx", "A 49883-2024")</f>
        <v/>
      </c>
      <c r="AD77">
        <f>HYPERLINK("https://klasma.github.io/Logging_1784/tillsynsmail/A 49883-2024 tillsynsbegäran mail.docx", "A 49883-2024")</f>
        <v/>
      </c>
    </row>
    <row r="78" ht="15" customHeight="1">
      <c r="A78" t="inlineStr">
        <is>
          <t>A 29600-2025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45825</v>
      </c>
      <c r="E78" s="1" t="n">
        <v>46316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0.6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HYPERLINK("https://klasma.github.io/Logging_1784/artfynd/A 29600-2025 artfynd.xlsx", "A 29600-2025")</f>
        <v/>
      </c>
      <c r="X78">
        <f>HYPERLINK("https://klasma.github.io/Logging_1784/kartor/A 29600-2025 karta.png", "A 29600-2025")</f>
        <v/>
      </c>
      <c r="Y78">
        <f>HYPERLINK("https://klasma.github.io/Logging_1784/kartor_geotiff/A 29600-2025 georefererad karta.tif", "A 29600-2025")</f>
        <v/>
      </c>
      <c r="AA78">
        <f>HYPERLINK("https://klasma.github.io/Logging_1784/klagomål/A 29600-2025 FSC-klagomål.docx", "A 29600-2025")</f>
        <v/>
      </c>
      <c r="AB78">
        <f>HYPERLINK("https://klasma.github.io/Logging_1784/klagomålsmail/A 29600-2025 FSC-klagomål mail.docx", "A 29600-2025")</f>
        <v/>
      </c>
      <c r="AC78">
        <f>HYPERLINK("https://klasma.github.io/Logging_1784/tillsyn/A 29600-2025 tillsynsbegäran.docx", "A 29600-2025")</f>
        <v/>
      </c>
      <c r="AD78">
        <f>HYPERLINK("https://klasma.github.io/Logging_1784/tillsynsmail/A 29600-2025 tillsynsbegäran mail.docx", "A 29600-2025")</f>
        <v/>
      </c>
    </row>
    <row r="79" ht="15" customHeight="1">
      <c r="A79" t="inlineStr">
        <is>
          <t>A 20722-2026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46316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15.1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HYPERLINK("https://klasma.github.io/Logging_1784/artfynd/A 20722-2026 artfynd.xlsx", "A 20722-2026")</f>
        <v/>
      </c>
      <c r="X79">
        <f>HYPERLINK("https://klasma.github.io/Logging_1784/kartor/A 20722-2026 karta.png", "A 20722-2026")</f>
        <v/>
      </c>
      <c r="Y79">
        <f>HYPERLINK("https://klasma.github.io/Logging_1784/kartor_geotiff/A 20722-2026 georefererad karta.tif", "A 20722-2026")</f>
        <v/>
      </c>
      <c r="AA79">
        <f>HYPERLINK("https://klasma.github.io/Logging_1784/klagomål/A 20722-2026 FSC-klagomål.docx", "A 20722-2026")</f>
        <v/>
      </c>
      <c r="AB79">
        <f>HYPERLINK("https://klasma.github.io/Logging_1784/klagomålsmail/A 20722-2026 FSC-klagomål mail.docx", "A 20722-2026")</f>
        <v/>
      </c>
      <c r="AC79">
        <f>HYPERLINK("https://klasma.github.io/Logging_1784/tillsyn/A 20722-2026 tillsynsbegäran.docx", "A 20722-2026")</f>
        <v/>
      </c>
      <c r="AD79">
        <f>HYPERLINK("https://klasma.github.io/Logging_1784/tillsynsmail/A 20722-2026 tillsynsbegäran mail.docx", "A 20722-2026")</f>
        <v/>
      </c>
      <c r="AE79">
        <f>HYPERLINK("https://klasma.github.io/Logging_1784/fåglar/A 20722-2026 prioriterade fågelarter.docx", "A 20722-2026")</f>
        <v/>
      </c>
    </row>
    <row r="80" ht="15" customHeight="1">
      <c r="A80" t="inlineStr">
        <is>
          <t>A 16391-2023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45029</v>
      </c>
      <c r="E80" s="1" t="n">
        <v>46316</v>
      </c>
      <c r="F80" t="inlineStr">
        <is>
          <t>VÄRMLANDS LÄN</t>
        </is>
      </c>
      <c r="G80" t="inlineStr">
        <is>
          <t>ARVIKA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Kulfibbla</t>
        </is>
      </c>
      <c r="W80">
        <f>HYPERLINK("https://klasma.github.io/Logging_1784/artfynd/A 16391-2023 artfynd.xlsx", "A 16391-2023")</f>
        <v/>
      </c>
      <c r="X80">
        <f>HYPERLINK("https://klasma.github.io/Logging_1784/kartor/A 16391-2023 karta.png", "A 16391-2023")</f>
        <v/>
      </c>
      <c r="Y80">
        <f>HYPERLINK("https://klasma.github.io/Logging_1784/kartor_geotiff/A 16391-2023 georefererad karta.tif", "A 16391-2023")</f>
        <v/>
      </c>
      <c r="AA80">
        <f>HYPERLINK("https://klasma.github.io/Logging_1784/klagomål/A 16391-2023 FSC-klagomål.docx", "A 16391-2023")</f>
        <v/>
      </c>
      <c r="AB80">
        <f>HYPERLINK("https://klasma.github.io/Logging_1784/klagomålsmail/A 16391-2023 FSC-klagomål mail.docx", "A 16391-2023")</f>
        <v/>
      </c>
      <c r="AC80">
        <f>HYPERLINK("https://klasma.github.io/Logging_1784/tillsyn/A 16391-2023 tillsynsbegäran.docx", "A 16391-2023")</f>
        <v/>
      </c>
      <c r="AD80">
        <f>HYPERLINK("https://klasma.github.io/Logging_1784/tillsynsmail/A 16391-2023 tillsynsbegäran mail.docx", "A 16391-2023")</f>
        <v/>
      </c>
    </row>
    <row r="81" ht="15" customHeight="1">
      <c r="A81" t="inlineStr">
        <is>
          <t>A 8525-2023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46316</v>
      </c>
      <c r="F81" t="inlineStr">
        <is>
          <t>VÄRMLANDS LÄN</t>
        </is>
      </c>
      <c r="G81" t="inlineStr">
        <is>
          <t>ARVIKA</t>
        </is>
      </c>
      <c r="I81" t="n">
        <v>2.2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8525-2023 artfynd.xlsx", "A 8525-2023")</f>
        <v/>
      </c>
      <c r="X81">
        <f>HYPERLINK("https://klasma.github.io/Logging_1784/kartor/A 8525-2023 karta.png", "A 8525-2023")</f>
        <v/>
      </c>
      <c r="Y81">
        <f>HYPERLINK("https://klasma.github.io/Logging_1784/kartor_geotiff/A 8525-2023 georefererad karta.tif", "A 8525-2023")</f>
        <v/>
      </c>
      <c r="Z81">
        <f>HYPERLINK("https://klasma.github.io/Logging_1784/knärot/A 8525-2023 karta knärot.png", "A 8525-2023")</f>
        <v/>
      </c>
      <c r="AA81">
        <f>HYPERLINK("https://klasma.github.io/Logging_1784/klagomål/A 8525-2023 FSC-klagomål.docx", "A 8525-2023")</f>
        <v/>
      </c>
      <c r="AB81">
        <f>HYPERLINK("https://klasma.github.io/Logging_1784/klagomålsmail/A 8525-2023 FSC-klagomål mail.docx", "A 8525-2023")</f>
        <v/>
      </c>
      <c r="AC81">
        <f>HYPERLINK("https://klasma.github.io/Logging_1784/tillsyn/A 8525-2023 tillsynsbegäran.docx", "A 8525-2023")</f>
        <v/>
      </c>
      <c r="AD81">
        <f>HYPERLINK("https://klasma.github.io/Logging_1784/tillsynsmail/A 8525-2023 tillsynsbegäran mail.docx", "A 8525-2023")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46316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47699-2022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46316</v>
      </c>
      <c r="F83" t="inlineStr">
        <is>
          <t>VÄRMLANDS LÄN</t>
        </is>
      </c>
      <c r="G83" t="inlineStr">
        <is>
          <t>ARVIKA</t>
        </is>
      </c>
      <c r="I83" t="n">
        <v>20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HYPERLINK("https://klasma.github.io/Logging_1784/artfynd/A 47699-2022 artfynd.xlsx", "A 47699-2022")</f>
        <v/>
      </c>
      <c r="X83">
        <f>HYPERLINK("https://klasma.github.io/Logging_1784/kartor/A 47699-2022 karta.png", "A 47699-2022")</f>
        <v/>
      </c>
      <c r="Y83">
        <f>HYPERLINK("https://klasma.github.io/Logging_1784/kartor_geotiff/A 47699-2022 georefererad karta.tif", "A 47699-2022")</f>
        <v/>
      </c>
      <c r="AA83">
        <f>HYPERLINK("https://klasma.github.io/Logging_1784/klagomål/A 47699-2022 FSC-klagomål.docx", "A 47699-2022")</f>
        <v/>
      </c>
      <c r="AB83">
        <f>HYPERLINK("https://klasma.github.io/Logging_1784/klagomålsmail/A 47699-2022 FSC-klagomål mail.docx", "A 47699-2022")</f>
        <v/>
      </c>
      <c r="AC83">
        <f>HYPERLINK("https://klasma.github.io/Logging_1784/tillsyn/A 47699-2022 tillsynsbegäran.docx", "A 47699-2022")</f>
        <v/>
      </c>
      <c r="AD83">
        <f>HYPERLINK("https://klasma.github.io/Logging_1784/tillsynsmail/A 47699-2022 tillsynsbegäran mail.docx", "A 47699-2022")</f>
        <v/>
      </c>
    </row>
    <row r="84" ht="15" customHeight="1">
      <c r="A84" t="inlineStr">
        <is>
          <t>A 25957-2026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46316</v>
      </c>
      <c r="F84" t="inlineStr">
        <is>
          <t>VÄRMLANDS LÄN</t>
        </is>
      </c>
      <c r="G84" t="inlineStr">
        <is>
          <t>ARVIKA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Springkorn</t>
        </is>
      </c>
      <c r="W84">
        <f>HYPERLINK("https://klasma.github.io/Logging_1784/artfynd/A 25957-2026 artfynd.xlsx", "A 25957-2026")</f>
        <v/>
      </c>
      <c r="X84">
        <f>HYPERLINK("https://klasma.github.io/Logging_1784/kartor/A 25957-2026 karta.png", "A 25957-2026")</f>
        <v/>
      </c>
      <c r="Y84">
        <f>HYPERLINK("https://klasma.github.io/Logging_1784/kartor_geotiff/A 25957-2026 georefererad karta.tif", "A 25957-2026")</f>
        <v/>
      </c>
      <c r="AA84">
        <f>HYPERLINK("https://klasma.github.io/Logging_1784/klagomål/A 25957-2026 FSC-klagomål.docx", "A 25957-2026")</f>
        <v/>
      </c>
      <c r="AB84">
        <f>HYPERLINK("https://klasma.github.io/Logging_1784/klagomålsmail/A 25957-2026 FSC-klagomål mail.docx", "A 25957-2026")</f>
        <v/>
      </c>
      <c r="AC84">
        <f>HYPERLINK("https://klasma.github.io/Logging_1784/tillsyn/A 25957-2026 tillsynsbegäran.docx", "A 25957-2026")</f>
        <v/>
      </c>
      <c r="AD84">
        <f>HYPERLINK("https://klasma.github.io/Logging_1784/tillsynsmail/A 25957-2026 tillsynsbegäran mail.docx", "A 25957-2026")</f>
        <v/>
      </c>
    </row>
    <row r="85" ht="15" customHeight="1">
      <c r="A85" t="inlineStr">
        <is>
          <t>A 50789-2024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46316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50789-2024 artfynd.xlsx", "A 50789-2024")</f>
        <v/>
      </c>
      <c r="X85">
        <f>HYPERLINK("https://klasma.github.io/Logging_1784/kartor/A 50789-2024 karta.png", "A 50789-2024")</f>
        <v/>
      </c>
      <c r="Y85">
        <f>HYPERLINK("https://klasma.github.io/Logging_1784/kartor_geotiff/A 50789-2024 georefererad karta.tif", "A 50789-2024")</f>
        <v/>
      </c>
      <c r="AA85">
        <f>HYPERLINK("https://klasma.github.io/Logging_1784/klagomål/A 50789-2024 FSC-klagomål.docx", "A 50789-2024")</f>
        <v/>
      </c>
      <c r="AB85">
        <f>HYPERLINK("https://klasma.github.io/Logging_1784/klagomålsmail/A 50789-2024 FSC-klagomål mail.docx", "A 50789-2024")</f>
        <v/>
      </c>
      <c r="AC85">
        <f>HYPERLINK("https://klasma.github.io/Logging_1784/tillsyn/A 50789-2024 tillsynsbegäran.docx", "A 50789-2024")</f>
        <v/>
      </c>
      <c r="AD85">
        <f>HYPERLINK("https://klasma.github.io/Logging_1784/tillsynsmail/A 50789-2024 tillsynsbegäran mail.docx", "A 50789-2024")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46316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29662-2026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46204</v>
      </c>
      <c r="E87" s="1" t="n">
        <v>46316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HYPERLINK("https://klasma.github.io/Logging_1784/artfynd/A 29662-2026 artfynd.xlsx", "A 29662-2026")</f>
        <v/>
      </c>
      <c r="X87">
        <f>HYPERLINK("https://klasma.github.io/Logging_1784/kartor/A 29662-2026 karta.png", "A 29662-2026")</f>
        <v/>
      </c>
      <c r="Y87">
        <f>HYPERLINK("https://klasma.github.io/Logging_1784/kartor_geotiff/A 29662-2026 georefererad karta.tif", "A 29662-2026")</f>
        <v/>
      </c>
      <c r="AA87">
        <f>HYPERLINK("https://klasma.github.io/Logging_1784/klagomål/A 29662-2026 FSC-klagomål.docx", "A 29662-2026")</f>
        <v/>
      </c>
      <c r="AB87">
        <f>HYPERLINK("https://klasma.github.io/Logging_1784/klagomålsmail/A 29662-2026 FSC-klagomål mail.docx", "A 29662-2026")</f>
        <v/>
      </c>
      <c r="AC87">
        <f>HYPERLINK("https://klasma.github.io/Logging_1784/tillsyn/A 29662-2026 tillsynsbegäran.docx", "A 29662-2026")</f>
        <v/>
      </c>
      <c r="AD87">
        <f>HYPERLINK("https://klasma.github.io/Logging_1784/tillsynsmail/A 29662-2026 tillsynsbegäran mail.docx", "A 29662-2026")</f>
        <v/>
      </c>
      <c r="AE87">
        <f>HYPERLINK("https://klasma.github.io/Logging_1784/fåglar/A 29662-2026 prioriterade fågelarter.docx", "A 29662-2026")</f>
        <v/>
      </c>
    </row>
    <row r="88" ht="15" customHeight="1">
      <c r="A88" t="inlineStr">
        <is>
          <t>A 30296-2026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46316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Korallvaxing</t>
        </is>
      </c>
      <c r="W88">
        <f>HYPERLINK("https://klasma.github.io/Logging_1784/artfynd/A 30296-2026 artfynd.xlsx", "A 30296-2026")</f>
        <v/>
      </c>
      <c r="X88">
        <f>HYPERLINK("https://klasma.github.io/Logging_1784/kartor/A 30296-2026 karta.png", "A 30296-2026")</f>
        <v/>
      </c>
      <c r="Y88">
        <f>HYPERLINK("https://klasma.github.io/Logging_1784/kartor_geotiff/A 30296-2026 georefererad karta.tif", "A 30296-2026")</f>
        <v/>
      </c>
      <c r="AA88">
        <f>HYPERLINK("https://klasma.github.io/Logging_1784/klagomål/A 30296-2026 FSC-klagomål.docx", "A 30296-2026")</f>
        <v/>
      </c>
      <c r="AB88">
        <f>HYPERLINK("https://klasma.github.io/Logging_1784/klagomålsmail/A 30296-2026 FSC-klagomål mail.docx", "A 30296-2026")</f>
        <v/>
      </c>
      <c r="AC88">
        <f>HYPERLINK("https://klasma.github.io/Logging_1784/tillsyn/A 30296-2026 tillsynsbegäran.docx", "A 30296-2026")</f>
        <v/>
      </c>
      <c r="AD88">
        <f>HYPERLINK("https://klasma.github.io/Logging_1784/tillsynsmail/A 30296-2026 tillsynsbegäran mail.docx", "A 30296-2026")</f>
        <v/>
      </c>
    </row>
    <row r="89" ht="15" customHeight="1">
      <c r="A89" t="inlineStr">
        <is>
          <t>A 31797-2026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46316</v>
      </c>
      <c r="F89" t="inlineStr">
        <is>
          <t>VÄRMLANDS LÄN</t>
        </is>
      </c>
      <c r="G89" t="inlineStr">
        <is>
          <t>ARVIKA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HYPERLINK("https://klasma.github.io/Logging_1784/artfynd/A 31797-2026 artfynd.xlsx", "A 31797-2026")</f>
        <v/>
      </c>
      <c r="X89">
        <f>HYPERLINK("https://klasma.github.io/Logging_1784/kartor/A 31797-2026 karta.png", "A 31797-2026")</f>
        <v/>
      </c>
      <c r="Y89">
        <f>HYPERLINK("https://klasma.github.io/Logging_1784/kartor_geotiff/A 31797-2026 georefererad karta.tif", "A 31797-2026")</f>
        <v/>
      </c>
      <c r="AA89">
        <f>HYPERLINK("https://klasma.github.io/Logging_1784/klagomål/A 31797-2026 FSC-klagomål.docx", "A 31797-2026")</f>
        <v/>
      </c>
      <c r="AB89">
        <f>HYPERLINK("https://klasma.github.io/Logging_1784/klagomålsmail/A 31797-2026 FSC-klagomål mail.docx", "A 31797-2026")</f>
        <v/>
      </c>
      <c r="AC89">
        <f>HYPERLINK("https://klasma.github.io/Logging_1784/tillsyn/A 31797-2026 tillsynsbegäran.docx", "A 31797-2026")</f>
        <v/>
      </c>
      <c r="AD89">
        <f>HYPERLINK("https://klasma.github.io/Logging_1784/tillsynsmail/A 31797-2026 tillsynsbegäran mail.docx", "A 31797-2026")</f>
        <v/>
      </c>
    </row>
    <row r="90" ht="15" customHeight="1">
      <c r="A90" t="inlineStr">
        <is>
          <t>A 1511-2025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45670</v>
      </c>
      <c r="E90" s="1" t="n">
        <v>46316</v>
      </c>
      <c r="F90" t="inlineStr">
        <is>
          <t>VÄRMLANDS LÄN</t>
        </is>
      </c>
      <c r="G90" t="inlineStr">
        <is>
          <t>ARVIKA</t>
        </is>
      </c>
      <c r="I90" t="n">
        <v>3.1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Mindre vattensalamander</t>
        </is>
      </c>
      <c r="W90">
        <f>HYPERLINK("https://klasma.github.io/Logging_1784/artfynd/A 1511-2025 artfynd.xlsx", "A 1511-2025")</f>
        <v/>
      </c>
      <c r="X90">
        <f>HYPERLINK("https://klasma.github.io/Logging_1784/kartor/A 1511-2025 karta.png", "A 1511-2025")</f>
        <v/>
      </c>
      <c r="Y90">
        <f>HYPERLINK("https://klasma.github.io/Logging_1784/kartor_geotiff/A 1511-2025 georefererad karta.tif", "A 1511-2025")</f>
        <v/>
      </c>
      <c r="AA90">
        <f>HYPERLINK("https://klasma.github.io/Logging_1784/klagomål/A 1511-2025 FSC-klagomål.docx", "A 1511-2025")</f>
        <v/>
      </c>
      <c r="AB90">
        <f>HYPERLINK("https://klasma.github.io/Logging_1784/klagomålsmail/A 1511-2025 FSC-klagomål mail.docx", "A 1511-2025")</f>
        <v/>
      </c>
      <c r="AC90">
        <f>HYPERLINK("https://klasma.github.io/Logging_1784/tillsyn/A 1511-2025 tillsynsbegäran.docx", "A 1511-2025")</f>
        <v/>
      </c>
      <c r="AD90">
        <f>HYPERLINK("https://klasma.github.io/Logging_1784/tillsynsmail/A 1511-2025 tillsynsbegäran mail.docx", "A 1511-2025")</f>
        <v/>
      </c>
    </row>
    <row r="91" ht="15" customHeight="1">
      <c r="A91" t="inlineStr">
        <is>
          <t>A 39469-2026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46288</v>
      </c>
      <c r="E91" s="1" t="n">
        <v>46316</v>
      </c>
      <c r="F91" t="inlineStr">
        <is>
          <t>VÄRMLANDS LÄN</t>
        </is>
      </c>
      <c r="G91" t="inlineStr">
        <is>
          <t>ARVIKA</t>
        </is>
      </c>
      <c r="H91" t="inlineStr">
        <is>
          <t>Kyrkan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Nattviol</t>
        </is>
      </c>
      <c r="W91">
        <f>HYPERLINK("https://klasma.github.io/Logging_1784/artfynd/A 39469-2026 artfynd.xlsx", "A 39469-2026")</f>
        <v/>
      </c>
      <c r="X91">
        <f>HYPERLINK("https://klasma.github.io/Logging_1784/kartor/A 39469-2026 karta.png", "A 39469-2026")</f>
        <v/>
      </c>
      <c r="Y91">
        <f>HYPERLINK("https://klasma.github.io/Logging_1784/kartor_geotiff/A 39469-2026 georefererad karta.tif", "A 39469-2026")</f>
        <v/>
      </c>
      <c r="AA91">
        <f>HYPERLINK("https://klasma.github.io/Logging_1784/klagomål/A 39469-2026 FSC-klagomål.docx", "A 39469-2026")</f>
        <v/>
      </c>
      <c r="AB91">
        <f>HYPERLINK("https://klasma.github.io/Logging_1784/klagomålsmail/A 39469-2026 FSC-klagomål mail.docx", "A 39469-2026")</f>
        <v/>
      </c>
      <c r="AC91">
        <f>HYPERLINK("https://klasma.github.io/Logging_1784/tillsyn/A 39469-2026 tillsynsbegäran.docx", "A 39469-2026")</f>
        <v/>
      </c>
      <c r="AD91">
        <f>HYPERLINK("https://klasma.github.io/Logging_1784/tillsynsmail/A 39469-2026 tillsynsbegäran mail.docx", "A 39469-2026")</f>
        <v/>
      </c>
    </row>
    <row r="92" ht="15" customHeight="1">
      <c r="A92" t="inlineStr">
        <is>
          <t>A 33435-2026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46316</v>
      </c>
      <c r="F92" t="inlineStr">
        <is>
          <t>VÄRMLANDS LÄN</t>
        </is>
      </c>
      <c r="G92" t="inlineStr">
        <is>
          <t>ARVIKA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HYPERLINK("https://klasma.github.io/Logging_1784/artfynd/A 33435-2026 artfynd.xlsx", "A 33435-2026")</f>
        <v/>
      </c>
      <c r="X92">
        <f>HYPERLINK("https://klasma.github.io/Logging_1784/kartor/A 33435-2026 karta.png", "A 33435-2026")</f>
        <v/>
      </c>
      <c r="Y92">
        <f>HYPERLINK("https://klasma.github.io/Logging_1784/kartor_geotiff/A 33435-2026 georefererad karta.tif", "A 33435-2026")</f>
        <v/>
      </c>
      <c r="AA92">
        <f>HYPERLINK("https://klasma.github.io/Logging_1784/klagomål/A 33435-2026 FSC-klagomål.docx", "A 33435-2026")</f>
        <v/>
      </c>
      <c r="AB92">
        <f>HYPERLINK("https://klasma.github.io/Logging_1784/klagomålsmail/A 33435-2026 FSC-klagomål mail.docx", "A 33435-2026")</f>
        <v/>
      </c>
      <c r="AC92">
        <f>HYPERLINK("https://klasma.github.io/Logging_1784/tillsyn/A 33435-2026 tillsynsbegäran.docx", "A 33435-2026")</f>
        <v/>
      </c>
      <c r="AD92">
        <f>HYPERLINK("https://klasma.github.io/Logging_1784/tillsynsmail/A 33435-2026 tillsynsbegäran mail.docx", "A 33435-2026")</f>
        <v/>
      </c>
    </row>
    <row r="93" ht="15" customHeight="1">
      <c r="A93" t="inlineStr">
        <is>
          <t>A 17079-2022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44677</v>
      </c>
      <c r="E93" s="1" t="n">
        <v>46316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17079-2022 artfynd.xlsx", "A 17079-2022")</f>
        <v/>
      </c>
      <c r="X93">
        <f>HYPERLINK("https://klasma.github.io/Logging_1784/kartor/A 17079-2022 karta.png", "A 17079-2022")</f>
        <v/>
      </c>
      <c r="Y93">
        <f>HYPERLINK("https://klasma.github.io/Logging_1784/kartor_geotiff/A 17079-2022 georefererad karta.tif", "A 17079-2022")</f>
        <v/>
      </c>
      <c r="AA93">
        <f>HYPERLINK("https://klasma.github.io/Logging_1784/klagomål/A 17079-2022 FSC-klagomål.docx", "A 17079-2022")</f>
        <v/>
      </c>
      <c r="AB93">
        <f>HYPERLINK("https://klasma.github.io/Logging_1784/klagomålsmail/A 17079-2022 FSC-klagomål mail.docx", "A 17079-2022")</f>
        <v/>
      </c>
      <c r="AC93">
        <f>HYPERLINK("https://klasma.github.io/Logging_1784/tillsyn/A 17079-2022 tillsynsbegäran.docx", "A 17079-2022")</f>
        <v/>
      </c>
      <c r="AD93">
        <f>HYPERLINK("https://klasma.github.io/Logging_1784/tillsynsmail/A 17079-2022 tillsynsbegäran mail.docx", "A 17079-2022")</f>
        <v/>
      </c>
    </row>
    <row r="94" ht="15" customHeight="1">
      <c r="A94" t="inlineStr">
        <is>
          <t>A 39797-2026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46290</v>
      </c>
      <c r="E94" s="1" t="n">
        <v>46316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Fläcknycklar</t>
        </is>
      </c>
      <c r="W94">
        <f>HYPERLINK("https://klasma.github.io/Logging_1784/artfynd/A 39797-2026 artfynd.xlsx", "A 39797-2026")</f>
        <v/>
      </c>
      <c r="X94">
        <f>HYPERLINK("https://klasma.github.io/Logging_1784/kartor/A 39797-2026 karta.png", "A 39797-2026")</f>
        <v/>
      </c>
      <c r="Y94">
        <f>HYPERLINK("https://klasma.github.io/Logging_1784/kartor_geotiff/A 39797-2026 georefererad karta.tif", "A 39797-2026")</f>
        <v/>
      </c>
      <c r="AA94">
        <f>HYPERLINK("https://klasma.github.io/Logging_1784/klagomål/A 39797-2026 FSC-klagomål.docx", "A 39797-2026")</f>
        <v/>
      </c>
      <c r="AB94">
        <f>HYPERLINK("https://klasma.github.io/Logging_1784/klagomålsmail/A 39797-2026 FSC-klagomål mail.docx", "A 39797-2026")</f>
        <v/>
      </c>
      <c r="AC94">
        <f>HYPERLINK("https://klasma.github.io/Logging_1784/tillsyn/A 39797-2026 tillsynsbegäran.docx", "A 39797-2026")</f>
        <v/>
      </c>
      <c r="AD94">
        <f>HYPERLINK("https://klasma.github.io/Logging_1784/tillsynsmail/A 39797-2026 tillsynsbegäran mail.docx", "A 39797-2026")</f>
        <v/>
      </c>
    </row>
    <row r="95" ht="15" customHeight="1">
      <c r="A95" t="inlineStr">
        <is>
          <t>A 48464-2023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45206</v>
      </c>
      <c r="E95" s="1" t="n">
        <v>46316</v>
      </c>
      <c r="F95" t="inlineStr">
        <is>
          <t>VÄRMLANDS LÄN</t>
        </is>
      </c>
      <c r="G95" t="inlineStr">
        <is>
          <t>ARVIKA</t>
        </is>
      </c>
      <c r="I95" t="n">
        <v>7.9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Knärot</t>
        </is>
      </c>
      <c r="W95">
        <f>HYPERLINK("https://klasma.github.io/Logging_1784/artfynd/A 48464-2023 artfynd.xlsx", "A 48464-2023")</f>
        <v/>
      </c>
      <c r="X95">
        <f>HYPERLINK("https://klasma.github.io/Logging_1784/kartor/A 48464-2023 karta.png", "A 48464-2023")</f>
        <v/>
      </c>
      <c r="Y95">
        <f>HYPERLINK("https://klasma.github.io/Logging_1784/kartor_geotiff/A 48464-2023 georefererad karta.tif", "A 48464-2023")</f>
        <v/>
      </c>
      <c r="Z95">
        <f>HYPERLINK("https://klasma.github.io/Logging_1784/knärot/A 48464-2023 karta knärot.png", "A 48464-2023")</f>
        <v/>
      </c>
      <c r="AA95">
        <f>HYPERLINK("https://klasma.github.io/Logging_1784/klagomål/A 48464-2023 FSC-klagomål.docx", "A 48464-2023")</f>
        <v/>
      </c>
      <c r="AB95">
        <f>HYPERLINK("https://klasma.github.io/Logging_1784/klagomålsmail/A 48464-2023 FSC-klagomål mail.docx", "A 48464-2023")</f>
        <v/>
      </c>
      <c r="AC95">
        <f>HYPERLINK("https://klasma.github.io/Logging_1784/tillsyn/A 48464-2023 tillsynsbegäran.docx", "A 48464-2023")</f>
        <v/>
      </c>
      <c r="AD95">
        <f>HYPERLINK("https://klasma.github.io/Logging_1784/tillsynsmail/A 48464-2023 tillsynsbegäran mail.docx", "A 48464-2023")</f>
        <v/>
      </c>
    </row>
    <row r="96" ht="15" customHeight="1">
      <c r="A96" t="inlineStr">
        <is>
          <t>A 40307-2026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46294</v>
      </c>
      <c r="E96" s="1" t="n">
        <v>46316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Dysterfibbla</t>
        </is>
      </c>
      <c r="W96">
        <f>HYPERLINK("https://klasma.github.io/Logging_1784/artfynd/A 40307-2026 artfynd.xlsx", "A 40307-2026")</f>
        <v/>
      </c>
      <c r="X96">
        <f>HYPERLINK("https://klasma.github.io/Logging_1784/kartor/A 40307-2026 karta.png", "A 40307-2026")</f>
        <v/>
      </c>
      <c r="Y96">
        <f>HYPERLINK("https://klasma.github.io/Logging_1784/kartor_geotiff/A 40307-2026 georefererad karta.tif", "A 40307-2026")</f>
        <v/>
      </c>
      <c r="AA96">
        <f>HYPERLINK("https://klasma.github.io/Logging_1784/klagomål/A 40307-2026 FSC-klagomål.docx", "A 40307-2026")</f>
        <v/>
      </c>
      <c r="AB96">
        <f>HYPERLINK("https://klasma.github.io/Logging_1784/klagomålsmail/A 40307-2026 FSC-klagomål mail.docx", "A 40307-2026")</f>
        <v/>
      </c>
      <c r="AC96">
        <f>HYPERLINK("https://klasma.github.io/Logging_1784/tillsyn/A 40307-2026 tillsynsbegäran.docx", "A 40307-2026")</f>
        <v/>
      </c>
      <c r="AD96">
        <f>HYPERLINK("https://klasma.github.io/Logging_1784/tillsynsmail/A 40307-2026 tillsynsbegäran mail.docx", "A 40307-2026")</f>
        <v/>
      </c>
    </row>
    <row r="97" ht="15" customHeight="1">
      <c r="A97" t="inlineStr">
        <is>
          <t>A 40325-2026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46294</v>
      </c>
      <c r="E97" s="1" t="n">
        <v>46316</v>
      </c>
      <c r="F97" t="inlineStr">
        <is>
          <t>VÄRMLANDS LÄN</t>
        </is>
      </c>
      <c r="G97" t="inlineStr">
        <is>
          <t>ARVIKA</t>
        </is>
      </c>
      <c r="I97" t="n">
        <v>2.8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40325-2026 artfynd.xlsx", "A 40325-2026")</f>
        <v/>
      </c>
      <c r="X97">
        <f>HYPERLINK("https://klasma.github.io/Logging_1784/kartor/A 40325-2026 karta.png", "A 40325-2026")</f>
        <v/>
      </c>
      <c r="Y97">
        <f>HYPERLINK("https://klasma.github.io/Logging_1784/kartor_geotiff/A 40325-2026 georefererad karta.tif", "A 40325-2026")</f>
        <v/>
      </c>
      <c r="Z97">
        <f>HYPERLINK("https://klasma.github.io/Logging_1784/knärot/A 40325-2026 karta knärot.png", "A 40325-2026")</f>
        <v/>
      </c>
      <c r="AA97">
        <f>HYPERLINK("https://klasma.github.io/Logging_1784/klagomål/A 40325-2026 FSC-klagomål.docx", "A 40325-2026")</f>
        <v/>
      </c>
      <c r="AB97">
        <f>HYPERLINK("https://klasma.github.io/Logging_1784/klagomålsmail/A 40325-2026 FSC-klagomål mail.docx", "A 40325-2026")</f>
        <v/>
      </c>
      <c r="AC97">
        <f>HYPERLINK("https://klasma.github.io/Logging_1784/tillsyn/A 40325-2026 tillsynsbegäran.docx", "A 40325-2026")</f>
        <v/>
      </c>
      <c r="AD97">
        <f>HYPERLINK("https://klasma.github.io/Logging_1784/tillsynsmail/A 40325-2026 tillsynsbegäran mail.docx", "A 40325-2026")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46316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59105-2022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44904</v>
      </c>
      <c r="E99" s="1" t="n">
        <v>46316</v>
      </c>
      <c r="F99" t="inlineStr">
        <is>
          <t>VÄRMLANDS LÄN</t>
        </is>
      </c>
      <c r="G99" t="inlineStr">
        <is>
          <t>ARVIKA</t>
        </is>
      </c>
      <c r="H99" t="inlineStr">
        <is>
          <t>Kommuner</t>
        </is>
      </c>
      <c r="I99" t="n">
        <v>0.2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Brun gräsfjäril</t>
        </is>
      </c>
      <c r="W99">
        <f>HYPERLINK("https://klasma.github.io/Logging_1784/artfynd/A 59105-2022 artfynd.xlsx", "A 59105-2022")</f>
        <v/>
      </c>
      <c r="X99">
        <f>HYPERLINK("https://klasma.github.io/Logging_1784/kartor/A 59105-2022 karta.png", "A 59105-2022")</f>
        <v/>
      </c>
      <c r="Y99">
        <f>HYPERLINK("https://klasma.github.io/Logging_1784/kartor_geotiff/A 59105-2022 georefererad karta.tif", "A 59105-2022")</f>
        <v/>
      </c>
      <c r="AA99">
        <f>HYPERLINK("https://klasma.github.io/Logging_1784/klagomål/A 59105-2022 FSC-klagomål.docx", "A 59105-2022")</f>
        <v/>
      </c>
      <c r="AB99">
        <f>HYPERLINK("https://klasma.github.io/Logging_1784/klagomålsmail/A 59105-2022 FSC-klagomål mail.docx", "A 59105-2022")</f>
        <v/>
      </c>
      <c r="AC99">
        <f>HYPERLINK("https://klasma.github.io/Logging_1784/tillsyn/A 59105-2022 tillsynsbegäran.docx", "A 59105-2022")</f>
        <v/>
      </c>
      <c r="AD99">
        <f>HYPERLINK("https://klasma.github.io/Logging_1784/tillsynsmail/A 59105-2022 tillsynsbegäran mail.docx", "A 59105-2022")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46316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38987-2022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46316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Guldlockmossa</t>
        </is>
      </c>
      <c r="W101">
        <f>HYPERLINK("https://klasma.github.io/Logging_1784/artfynd/A 38987-2022 artfynd.xlsx", "A 38987-2022")</f>
        <v/>
      </c>
      <c r="X101">
        <f>HYPERLINK("https://klasma.github.io/Logging_1784/kartor/A 38987-2022 karta.png", "A 38987-2022")</f>
        <v/>
      </c>
      <c r="Y101">
        <f>HYPERLINK("https://klasma.github.io/Logging_1784/kartor_geotiff/A 38987-2022 georefererad karta.tif", "A 38987-2022")</f>
        <v/>
      </c>
      <c r="AA101">
        <f>HYPERLINK("https://klasma.github.io/Logging_1784/klagomål/A 38987-2022 FSC-klagomål.docx", "A 38987-2022")</f>
        <v/>
      </c>
      <c r="AB101">
        <f>HYPERLINK("https://klasma.github.io/Logging_1784/klagomålsmail/A 38987-2022 FSC-klagomål mail.docx", "A 38987-2022")</f>
        <v/>
      </c>
      <c r="AC101">
        <f>HYPERLINK("https://klasma.github.io/Logging_1784/tillsyn/A 38987-2022 tillsynsbegäran.docx", "A 38987-2022")</f>
        <v/>
      </c>
      <c r="AD101">
        <f>HYPERLINK("https://klasma.github.io/Logging_1784/tillsynsmail/A 38987-2022 tillsynsbegäran mail.docx", "A 38987-2022")</f>
        <v/>
      </c>
    </row>
    <row r="102" ht="15" customHeight="1">
      <c r="A102" t="inlineStr">
        <is>
          <t>A 35528-2023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45147</v>
      </c>
      <c r="E102" s="1" t="n">
        <v>46316</v>
      </c>
      <c r="F102" t="inlineStr">
        <is>
          <t>VÄRMLANDS LÄN</t>
        </is>
      </c>
      <c r="G102" t="inlineStr">
        <is>
          <t>ARVIKA</t>
        </is>
      </c>
      <c r="I102" t="n">
        <v>7.2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Mindre hackspett</t>
        </is>
      </c>
      <c r="W102">
        <f>HYPERLINK("https://klasma.github.io/Logging_1784/artfynd/A 35528-2023 artfynd.xlsx", "A 35528-2023")</f>
        <v/>
      </c>
      <c r="X102">
        <f>HYPERLINK("https://klasma.github.io/Logging_1784/kartor/A 35528-2023 karta.png", "A 35528-2023")</f>
        <v/>
      </c>
      <c r="Y102">
        <f>HYPERLINK("https://klasma.github.io/Logging_1784/kartor_geotiff/A 35528-2023 georefererad karta.tif", "A 35528-2023")</f>
        <v/>
      </c>
      <c r="AA102">
        <f>HYPERLINK("https://klasma.github.io/Logging_1784/klagomål/A 35528-2023 FSC-klagomål.docx", "A 35528-2023")</f>
        <v/>
      </c>
      <c r="AB102">
        <f>HYPERLINK("https://klasma.github.io/Logging_1784/klagomålsmail/A 35528-2023 FSC-klagomål mail.docx", "A 35528-2023")</f>
        <v/>
      </c>
      <c r="AC102">
        <f>HYPERLINK("https://klasma.github.io/Logging_1784/tillsyn/A 35528-2023 tillsynsbegäran.docx", "A 35528-2023")</f>
        <v/>
      </c>
      <c r="AD102">
        <f>HYPERLINK("https://klasma.github.io/Logging_1784/tillsynsmail/A 35528-2023 tillsynsbegäran mail.docx", "A 35528-2023")</f>
        <v/>
      </c>
      <c r="AE102">
        <f>HYPERLINK("https://klasma.github.io/Logging_1784/fåglar/A 35528-2023 prioriterade fågelarter.docx", "A 35528-2023")</f>
        <v/>
      </c>
    </row>
    <row r="103" ht="15" customHeight="1">
      <c r="A103" t="inlineStr">
        <is>
          <t>A 5965-2024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46316</v>
      </c>
      <c r="F103" t="inlineStr">
        <is>
          <t>VÄRMLANDS LÄN</t>
        </is>
      </c>
      <c r="G103" t="inlineStr">
        <is>
          <t>ARVIKA</t>
        </is>
      </c>
      <c r="I103" t="n">
        <v>4.2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Revlummer</t>
        </is>
      </c>
      <c r="W103">
        <f>HYPERLINK("https://klasma.github.io/Logging_1784/artfynd/A 5965-2024 artfynd.xlsx", "A 5965-2024")</f>
        <v/>
      </c>
      <c r="X103">
        <f>HYPERLINK("https://klasma.github.io/Logging_1784/kartor/A 5965-2024 karta.png", "A 5965-2024")</f>
        <v/>
      </c>
      <c r="Y103">
        <f>HYPERLINK("https://klasma.github.io/Logging_1784/kartor_geotiff/A 5965-2024 georefererad karta.tif", "A 5965-2024")</f>
        <v/>
      </c>
      <c r="AA103">
        <f>HYPERLINK("https://klasma.github.io/Logging_1784/klagomål/A 5965-2024 FSC-klagomål.docx", "A 5965-2024")</f>
        <v/>
      </c>
      <c r="AB103">
        <f>HYPERLINK("https://klasma.github.io/Logging_1784/klagomålsmail/A 5965-2024 FSC-klagomål mail.docx", "A 5965-2024")</f>
        <v/>
      </c>
      <c r="AC103">
        <f>HYPERLINK("https://klasma.github.io/Logging_1784/tillsyn/A 5965-2024 tillsynsbegäran.docx", "A 5965-2024")</f>
        <v/>
      </c>
      <c r="AD103">
        <f>HYPERLINK("https://klasma.github.io/Logging_1784/tillsynsmail/A 5965-2024 tillsynsbegäran mail.docx", "A 5965-2024")</f>
        <v/>
      </c>
    </row>
    <row r="104" ht="15" customHeight="1">
      <c r="A104" t="inlineStr">
        <is>
          <t>A 37561-2024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46316</v>
      </c>
      <c r="F104" t="inlineStr">
        <is>
          <t>VÄRMLANDS LÄN</t>
        </is>
      </c>
      <c r="G104" t="inlineStr">
        <is>
          <t>ARVIKA</t>
        </is>
      </c>
      <c r="I104" t="n">
        <v>8.699999999999999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Sparvuggla</t>
        </is>
      </c>
      <c r="W104">
        <f>HYPERLINK("https://klasma.github.io/Logging_1784/artfynd/A 37561-2024 artfynd.xlsx", "A 37561-2024")</f>
        <v/>
      </c>
      <c r="X104">
        <f>HYPERLINK("https://klasma.github.io/Logging_1784/kartor/A 37561-2024 karta.png", "A 37561-2024")</f>
        <v/>
      </c>
      <c r="Y104">
        <f>HYPERLINK("https://klasma.github.io/Logging_1784/kartor_geotiff/A 37561-2024 georefererad karta.tif", "A 37561-2024")</f>
        <v/>
      </c>
      <c r="AA104">
        <f>HYPERLINK("https://klasma.github.io/Logging_1784/klagomål/A 37561-2024 FSC-klagomål.docx", "A 37561-2024")</f>
        <v/>
      </c>
      <c r="AB104">
        <f>HYPERLINK("https://klasma.github.io/Logging_1784/klagomålsmail/A 37561-2024 FSC-klagomål mail.docx", "A 37561-2024")</f>
        <v/>
      </c>
      <c r="AC104">
        <f>HYPERLINK("https://klasma.github.io/Logging_1784/tillsyn/A 37561-2024 tillsynsbegäran.docx", "A 37561-2024")</f>
        <v/>
      </c>
      <c r="AD104">
        <f>HYPERLINK("https://klasma.github.io/Logging_1784/tillsynsmail/A 37561-2024 tillsynsbegäran mail.docx", "A 37561-2024")</f>
        <v/>
      </c>
      <c r="AE104">
        <f>HYPERLINK("https://klasma.github.io/Logging_1784/fåglar/A 37561-2024 prioriterade fågelarter.docx", "A 37561-2024")</f>
        <v/>
      </c>
    </row>
    <row r="105" ht="15" customHeight="1">
      <c r="A105" t="inlineStr">
        <is>
          <t>A 19137-2022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44691</v>
      </c>
      <c r="E105" s="1" t="n">
        <v>46316</v>
      </c>
      <c r="F105" t="inlineStr">
        <is>
          <t>VÄRMLANDS LÄN</t>
        </is>
      </c>
      <c r="G105" t="inlineStr">
        <is>
          <t>ARVIKA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HYPERLINK("https://klasma.github.io/Logging_1784/artfynd/A 19137-2022 artfynd.xlsx", "A 19137-2022")</f>
        <v/>
      </c>
      <c r="X105">
        <f>HYPERLINK("https://klasma.github.io/Logging_1784/kartor/A 19137-2022 karta.png", "A 19137-2022")</f>
        <v/>
      </c>
      <c r="Y105">
        <f>HYPERLINK("https://klasma.github.io/Logging_1784/kartor_geotiff/A 19137-2022 georefererad karta.tif", "A 19137-2022")</f>
        <v/>
      </c>
      <c r="AA105">
        <f>HYPERLINK("https://klasma.github.io/Logging_1784/klagomål/A 19137-2022 FSC-klagomål.docx", "A 19137-2022")</f>
        <v/>
      </c>
      <c r="AB105">
        <f>HYPERLINK("https://klasma.github.io/Logging_1784/klagomålsmail/A 19137-2022 FSC-klagomål mail.docx", "A 19137-2022")</f>
        <v/>
      </c>
      <c r="AC105">
        <f>HYPERLINK("https://klasma.github.io/Logging_1784/tillsyn/A 19137-2022 tillsynsbegäran.docx", "A 19137-2022")</f>
        <v/>
      </c>
      <c r="AD105">
        <f>HYPERLINK("https://klasma.github.io/Logging_1784/tillsynsmail/A 19137-2022 tillsynsbegäran mail.docx", "A 19137-2022")</f>
        <v/>
      </c>
    </row>
    <row r="106" ht="15" customHeight="1">
      <c r="A106" t="inlineStr">
        <is>
          <t>A 59787-2023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46316</v>
      </c>
      <c r="F106" t="inlineStr">
        <is>
          <t>VÄRMLANDS LÄN</t>
        </is>
      </c>
      <c r="G106" t="inlineStr">
        <is>
          <t>ARVIKA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59787-2023 artfynd.xlsx", "A 59787-2023")</f>
        <v/>
      </c>
      <c r="X106">
        <f>HYPERLINK("https://klasma.github.io/Logging_1784/kartor/A 59787-2023 karta.png", "A 59787-2023")</f>
        <v/>
      </c>
      <c r="Y106">
        <f>HYPERLINK("https://klasma.github.io/Logging_1784/kartor_geotiff/A 59787-2023 georefererad karta.tif", "A 59787-2023")</f>
        <v/>
      </c>
      <c r="AA106">
        <f>HYPERLINK("https://klasma.github.io/Logging_1784/klagomål/A 59787-2023 FSC-klagomål.docx", "A 59787-2023")</f>
        <v/>
      </c>
      <c r="AB106">
        <f>HYPERLINK("https://klasma.github.io/Logging_1784/klagomålsmail/A 59787-2023 FSC-klagomål mail.docx", "A 59787-2023")</f>
        <v/>
      </c>
      <c r="AC106">
        <f>HYPERLINK("https://klasma.github.io/Logging_1784/tillsyn/A 59787-2023 tillsynsbegäran.docx", "A 59787-2023")</f>
        <v/>
      </c>
      <c r="AD106">
        <f>HYPERLINK("https://klasma.github.io/Logging_1784/tillsynsmail/A 59787-2023 tillsynsbegäran mail.docx", "A 59787-2023")</f>
        <v/>
      </c>
      <c r="AE106">
        <f>HYPERLINK("https://klasma.github.io/Logging_1784/fåglar/A 59787-2023 prioriterade fågelarter.docx", "A 59787-2023")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46316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46316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46316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46316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46316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46316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46316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46316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46316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46316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46316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46316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46316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46316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46316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46316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46316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46316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46316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46316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46316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46316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46316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46316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46316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46316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46316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46316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46316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46316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46316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46316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46316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46316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46316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46316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46316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46316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46316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46316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46316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46316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46316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46316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46316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46316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46316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46316</v>
      </c>
      <c r="F156" t="inlineStr">
        <is>
          <t>VÄRMLANDS LÄN</t>
        </is>
      </c>
      <c r="G156" t="inlineStr">
        <is>
          <t>ARVIKA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46316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46316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46316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46316</v>
      </c>
      <c r="F160" t="inlineStr">
        <is>
          <t>VÄRMLANDS LÄN</t>
        </is>
      </c>
      <c r="G160" t="inlineStr">
        <is>
          <t>ARVIKA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66553-2021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44519</v>
      </c>
      <c r="E161" s="1" t="n">
        <v>46316</v>
      </c>
      <c r="F161" t="inlineStr">
        <is>
          <t>VÄRMLANDS LÄN</t>
        </is>
      </c>
      <c r="G161" t="inlineStr">
        <is>
          <t>ARVIKA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46316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46316</v>
      </c>
      <c r="F163" t="inlineStr">
        <is>
          <t>VÄRMLANDS LÄN</t>
        </is>
      </c>
      <c r="G163" t="inlineStr">
        <is>
          <t>ARVIKA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46316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46316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46316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46316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46316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44784</v>
      </c>
      <c r="E169" s="1" t="n">
        <v>46316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46316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46316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46316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73208-2021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46316</v>
      </c>
      <c r="F173" t="inlineStr">
        <is>
          <t>VÄRMLANDS LÄN</t>
        </is>
      </c>
      <c r="G173" t="inlineStr">
        <is>
          <t>ARVIKA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46316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44718</v>
      </c>
      <c r="E175" s="1" t="n">
        <v>46316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44655</v>
      </c>
      <c r="E176" s="1" t="n">
        <v>46316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46316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46316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64331-2021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46316</v>
      </c>
      <c r="F179" t="inlineStr">
        <is>
          <t>VÄRMLANDS LÄN</t>
        </is>
      </c>
      <c r="G179" t="inlineStr">
        <is>
          <t>ARVIKA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46316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46316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46316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71130-2021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46316</v>
      </c>
      <c r="F183" t="inlineStr">
        <is>
          <t>VÄRMLANDS LÄN</t>
        </is>
      </c>
      <c r="G183" t="inlineStr">
        <is>
          <t>ARVIKA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46316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45419</v>
      </c>
      <c r="E185" s="1" t="n">
        <v>46316</v>
      </c>
      <c r="F185" t="inlineStr">
        <is>
          <t>VÄRMLANDS LÄN</t>
        </is>
      </c>
      <c r="G185" t="inlineStr">
        <is>
          <t>ARVIKA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48488-2022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46316</v>
      </c>
      <c r="F186" t="inlineStr">
        <is>
          <t>VÄRMLANDS LÄN</t>
        </is>
      </c>
      <c r="G186" t="inlineStr">
        <is>
          <t>ARVIKA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46316</v>
      </c>
      <c r="F187" t="inlineStr">
        <is>
          <t>VÄRMLANDS LÄN</t>
        </is>
      </c>
      <c r="G187" t="inlineStr">
        <is>
          <t>ARVIKA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46316</v>
      </c>
      <c r="F188" t="inlineStr">
        <is>
          <t>VÄRMLANDS LÄN</t>
        </is>
      </c>
      <c r="G188" t="inlineStr">
        <is>
          <t>ARVIKA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46316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45068</v>
      </c>
      <c r="E190" s="1" t="n">
        <v>46316</v>
      </c>
      <c r="F190" t="inlineStr">
        <is>
          <t>VÄRMLANDS LÄN</t>
        </is>
      </c>
      <c r="G190" t="inlineStr">
        <is>
          <t>ARVIKA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46316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59886-2021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44493</v>
      </c>
      <c r="E192" s="1" t="n">
        <v>46316</v>
      </c>
      <c r="F192" t="inlineStr">
        <is>
          <t>VÄRMLANDS LÄN</t>
        </is>
      </c>
      <c r="G192" t="inlineStr">
        <is>
          <t>ARVIKA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46316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46316</v>
      </c>
      <c r="F194" t="inlineStr">
        <is>
          <t>VÄRMLANDS LÄN</t>
        </is>
      </c>
      <c r="G194" t="inlineStr">
        <is>
          <t>ARVIKA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45007</v>
      </c>
      <c r="E195" s="1" t="n">
        <v>46316</v>
      </c>
      <c r="F195" t="inlineStr">
        <is>
          <t>VÄRMLANDS LÄN</t>
        </is>
      </c>
      <c r="G195" t="inlineStr">
        <is>
          <t>ARVIKA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53892-2022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44880</v>
      </c>
      <c r="E196" s="1" t="n">
        <v>46316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46316</v>
      </c>
      <c r="F197" t="inlineStr">
        <is>
          <t>VÄRMLANDS LÄN</t>
        </is>
      </c>
      <c r="G197" t="inlineStr">
        <is>
          <t>ARVIKA</t>
        </is>
      </c>
      <c r="H197" t="inlineStr">
        <is>
          <t>Övriga Aktiebolag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46316</v>
      </c>
      <c r="F198" t="inlineStr">
        <is>
          <t>VÄRMLANDS LÄN</t>
        </is>
      </c>
      <c r="G198" t="inlineStr">
        <is>
          <t>ARVIKA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46316</v>
      </c>
      <c r="F199" t="inlineStr">
        <is>
          <t>VÄRMLANDS LÄN</t>
        </is>
      </c>
      <c r="G199" t="inlineStr">
        <is>
          <t>ARVIKA</t>
        </is>
      </c>
      <c r="I199" t="n">
        <v>10.5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46316</v>
      </c>
      <c r="F200" t="inlineStr">
        <is>
          <t>VÄRMLANDS LÄN</t>
        </is>
      </c>
      <c r="G200" t="inlineStr">
        <is>
          <t>ARVIKA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46316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46316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44706</v>
      </c>
      <c r="E203" s="1" t="n">
        <v>46316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46316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46316</v>
      </c>
      <c r="F205" t="inlineStr">
        <is>
          <t>VÄRMLANDS LÄN</t>
        </is>
      </c>
      <c r="G205" t="inlineStr">
        <is>
          <t>ARVIKA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46316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46316</v>
      </c>
      <c r="F207" t="inlineStr">
        <is>
          <t>VÄRMLANDS LÄN</t>
        </is>
      </c>
      <c r="G207" t="inlineStr">
        <is>
          <t>ARVIKA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45259</v>
      </c>
      <c r="E208" s="1" t="n">
        <v>46316</v>
      </c>
      <c r="F208" t="inlineStr">
        <is>
          <t>VÄRMLANDS LÄN</t>
        </is>
      </c>
      <c r="G208" t="inlineStr">
        <is>
          <t>ARVIKA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44589</v>
      </c>
      <c r="E209" s="1" t="n">
        <v>46316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46316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45698</v>
      </c>
      <c r="E211" s="1" t="n">
        <v>46316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  <c r="Z211">
        <f>HYPERLINK("https://klasma.github.io/Logging_1784/knärot/A 6241-2025 karta knärot.png", "A 6241-2025")</f>
        <v/>
      </c>
      <c r="AA211">
        <f>HYPERLINK("https://klasma.github.io/Logging_1784/klagomål/A 6241-2025 FSC-klagomål.docx", "A 6241-2025")</f>
        <v/>
      </c>
      <c r="AB211">
        <f>HYPERLINK("https://klasma.github.io/Logging_1784/klagomålsmail/A 6241-2025 FSC-klagomål mail.docx", "A 6241-2025")</f>
        <v/>
      </c>
      <c r="AC211">
        <f>HYPERLINK("https://klasma.github.io/Logging_1784/tillsyn/A 6241-2025 tillsynsbegäran.docx", "A 6241-2025")</f>
        <v/>
      </c>
      <c r="AD211">
        <f>HYPERLINK("https://klasma.github.io/Logging_1784/tillsynsmail/A 6241-2025 tillsynsbegäran mail.docx", "A 6241-2025")</f>
        <v/>
      </c>
    </row>
    <row r="212" ht="15" customHeight="1">
      <c r="A212" t="inlineStr">
        <is>
          <t>A 19158-2025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46316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69340-2021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46316</v>
      </c>
      <c r="F213" t="inlineStr">
        <is>
          <t>VÄRMLANDS LÄN</t>
        </is>
      </c>
      <c r="G213" t="inlineStr">
        <is>
          <t>ARVIKA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46316</v>
      </c>
      <c r="F214" t="inlineStr">
        <is>
          <t>VÄRMLANDS LÄN</t>
        </is>
      </c>
      <c r="G214" t="inlineStr">
        <is>
          <t>ARVIKA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46316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46316</v>
      </c>
      <c r="F216" t="inlineStr">
        <is>
          <t>VÄRMLANDS LÄN</t>
        </is>
      </c>
      <c r="G216" t="inlineStr">
        <is>
          <t>ARVIKA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12689-2024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45384</v>
      </c>
      <c r="E217" s="1" t="n">
        <v>46316</v>
      </c>
      <c r="F217" t="inlineStr">
        <is>
          <t>VÄRMLANDS LÄN</t>
        </is>
      </c>
      <c r="G217" t="inlineStr">
        <is>
          <t>ARVIKA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46316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46316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46316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46316</v>
      </c>
      <c r="F221" t="inlineStr">
        <is>
          <t>VÄRMLANDS LÄN</t>
        </is>
      </c>
      <c r="G221" t="inlineStr">
        <is>
          <t>ARVIKA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45198</v>
      </c>
      <c r="E222" s="1" t="n">
        <v>46316</v>
      </c>
      <c r="F222" t="inlineStr">
        <is>
          <t>VÄRMLANDS LÄN</t>
        </is>
      </c>
      <c r="G222" t="inlineStr">
        <is>
          <t>ARVIKA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45471</v>
      </c>
      <c r="E223" s="1" t="n">
        <v>46316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46316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46316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46316</v>
      </c>
      <c r="F226" t="inlineStr">
        <is>
          <t>VÄRMLANDS LÄN</t>
        </is>
      </c>
      <c r="G226" t="inlineStr">
        <is>
          <t>ARVIKA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46316</v>
      </c>
      <c r="F227" t="inlineStr">
        <is>
          <t>VÄRMLANDS LÄN</t>
        </is>
      </c>
      <c r="G227" t="inlineStr">
        <is>
          <t>ARVIKA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46316</v>
      </c>
      <c r="F228" t="inlineStr">
        <is>
          <t>VÄRMLANDS LÄN</t>
        </is>
      </c>
      <c r="G228" t="inlineStr">
        <is>
          <t>ARVIKA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46316</v>
      </c>
      <c r="F229" t="inlineStr">
        <is>
          <t>VÄRMLANDS LÄN</t>
        </is>
      </c>
      <c r="G229" t="inlineStr">
        <is>
          <t>ARVIKA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45000</v>
      </c>
      <c r="E230" s="1" t="n">
        <v>46316</v>
      </c>
      <c r="F230" t="inlineStr">
        <is>
          <t>VÄRMLANDS LÄN</t>
        </is>
      </c>
      <c r="G230" t="inlineStr">
        <is>
          <t>ARVIKA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46316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36469-2025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45869</v>
      </c>
      <c r="E232" s="1" t="n">
        <v>46316</v>
      </c>
      <c r="F232" t="inlineStr">
        <is>
          <t>VÄRMLANDS LÄN</t>
        </is>
      </c>
      <c r="G232" t="inlineStr">
        <is>
          <t>ARVIKA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46316</v>
      </c>
      <c r="F233" t="inlineStr">
        <is>
          <t>VÄRMLANDS LÄN</t>
        </is>
      </c>
      <c r="G233" t="inlineStr">
        <is>
          <t>ARVIKA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37240-2024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46316</v>
      </c>
      <c r="F234" t="inlineStr">
        <is>
          <t>VÄRMLANDS LÄN</t>
        </is>
      </c>
      <c r="G234" t="inlineStr">
        <is>
          <t>ARVIKA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46316</v>
      </c>
      <c r="F235" t="inlineStr">
        <is>
          <t>VÄRMLANDS LÄN</t>
        </is>
      </c>
      <c r="G235" t="inlineStr">
        <is>
          <t>ARVIKA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45884</v>
      </c>
      <c r="E236" s="1" t="n">
        <v>46316</v>
      </c>
      <c r="F236" t="inlineStr">
        <is>
          <t>VÄRMLANDS LÄN</t>
        </is>
      </c>
      <c r="G236" t="inlineStr">
        <is>
          <t>ARVIKA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46316</v>
      </c>
      <c r="F237" t="inlineStr">
        <is>
          <t>VÄRMLANDS LÄN</t>
        </is>
      </c>
      <c r="G237" t="inlineStr">
        <is>
          <t>ARVIKA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46316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45674</v>
      </c>
      <c r="E239" s="1" t="n">
        <v>46316</v>
      </c>
      <c r="F239" t="inlineStr">
        <is>
          <t>VÄRMLANDS LÄN</t>
        </is>
      </c>
      <c r="G239" t="inlineStr">
        <is>
          <t>ARVIKA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23939-2025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46316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44980</v>
      </c>
      <c r="E241" s="1" t="n">
        <v>46316</v>
      </c>
      <c r="F241" t="inlineStr">
        <is>
          <t>VÄRMLANDS LÄN</t>
        </is>
      </c>
      <c r="G241" t="inlineStr">
        <is>
          <t>ARVIKA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45631</v>
      </c>
      <c r="E242" s="1" t="n">
        <v>46316</v>
      </c>
      <c r="F242" t="inlineStr">
        <is>
          <t>VÄRMLANDS LÄN</t>
        </is>
      </c>
      <c r="G242" t="inlineStr">
        <is>
          <t>ARVIKA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46316</v>
      </c>
      <c r="F243" t="inlineStr">
        <is>
          <t>VÄRMLANDS LÄN</t>
        </is>
      </c>
      <c r="G243" t="inlineStr">
        <is>
          <t>ARVIKA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45443</v>
      </c>
      <c r="E244" s="1" t="n">
        <v>46316</v>
      </c>
      <c r="F244" t="inlineStr">
        <is>
          <t>VÄRMLANDS LÄN</t>
        </is>
      </c>
      <c r="G244" t="inlineStr">
        <is>
          <t>ARVIKA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46316</v>
      </c>
      <c r="F245" t="inlineStr">
        <is>
          <t>VÄRMLANDS LÄN</t>
        </is>
      </c>
      <c r="G245" t="inlineStr">
        <is>
          <t>ARVIKA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45622</v>
      </c>
      <c r="E246" s="1" t="n">
        <v>46316</v>
      </c>
      <c r="F246" t="inlineStr">
        <is>
          <t>VÄRMLANDS LÄN</t>
        </is>
      </c>
      <c r="G246" t="inlineStr">
        <is>
          <t>ARVIKA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45377</v>
      </c>
      <c r="E247" s="1" t="n">
        <v>46316</v>
      </c>
      <c r="F247" t="inlineStr">
        <is>
          <t>VÄRMLANDS LÄN</t>
        </is>
      </c>
      <c r="G247" t="inlineStr">
        <is>
          <t>ARVIKA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46316</v>
      </c>
      <c r="F248" t="inlineStr">
        <is>
          <t>VÄRMLANDS LÄN</t>
        </is>
      </c>
      <c r="G248" t="inlineStr">
        <is>
          <t>ARVIKA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46316</v>
      </c>
      <c r="F249" t="inlineStr">
        <is>
          <t>VÄRMLANDS LÄN</t>
        </is>
      </c>
      <c r="G249" t="inlineStr">
        <is>
          <t>ARVIKA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44704</v>
      </c>
      <c r="E250" s="1" t="n">
        <v>46316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45587</v>
      </c>
      <c r="E251" s="1" t="n">
        <v>46316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46316</v>
      </c>
      <c r="F252" t="inlineStr">
        <is>
          <t>VÄRMLANDS LÄN</t>
        </is>
      </c>
      <c r="G252" t="inlineStr">
        <is>
          <t>ARVIKA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46316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45506</v>
      </c>
      <c r="E254" s="1" t="n">
        <v>46316</v>
      </c>
      <c r="F254" t="inlineStr">
        <is>
          <t>VÄRMLANDS LÄN</t>
        </is>
      </c>
      <c r="G254" t="inlineStr">
        <is>
          <t>ARVIKA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46316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46316</v>
      </c>
      <c r="F256" t="inlineStr">
        <is>
          <t>VÄRMLANDS LÄN</t>
        </is>
      </c>
      <c r="G256" t="inlineStr">
        <is>
          <t>ARVIKA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46316</v>
      </c>
      <c r="F257" t="inlineStr">
        <is>
          <t>VÄRMLANDS LÄN</t>
        </is>
      </c>
      <c r="G257" t="inlineStr">
        <is>
          <t>ARVIKA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46316</v>
      </c>
      <c r="F258" t="inlineStr">
        <is>
          <t>VÄRMLANDS LÄN</t>
        </is>
      </c>
      <c r="G258" t="inlineStr">
        <is>
          <t>ARVIKA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45799</v>
      </c>
      <c r="E259" s="1" t="n">
        <v>46316</v>
      </c>
      <c r="F259" t="inlineStr">
        <is>
          <t>VÄRMLANDS LÄN</t>
        </is>
      </c>
      <c r="G259" t="inlineStr">
        <is>
          <t>ARVIKA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45800</v>
      </c>
      <c r="E260" s="1" t="n">
        <v>46316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46316</v>
      </c>
      <c r="F261" t="inlineStr">
        <is>
          <t>VÄRMLANDS LÄN</t>
        </is>
      </c>
      <c r="G261" t="inlineStr">
        <is>
          <t>ARVIKA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46316</v>
      </c>
      <c r="F262" t="inlineStr">
        <is>
          <t>VÄRMLANDS LÄN</t>
        </is>
      </c>
      <c r="G262" t="inlineStr">
        <is>
          <t>ARVIKA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46316</v>
      </c>
      <c r="F263" t="inlineStr">
        <is>
          <t>VÄRMLANDS LÄN</t>
        </is>
      </c>
      <c r="G263" t="inlineStr">
        <is>
          <t>ARVIKA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46316</v>
      </c>
      <c r="F264" t="inlineStr">
        <is>
          <t>VÄRMLANDS LÄN</t>
        </is>
      </c>
      <c r="G264" t="inlineStr">
        <is>
          <t>ARVIKA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45794</v>
      </c>
      <c r="E265" s="1" t="n">
        <v>46316</v>
      </c>
      <c r="F265" t="inlineStr">
        <is>
          <t>VÄRMLANDS LÄN</t>
        </is>
      </c>
      <c r="G265" t="inlineStr">
        <is>
          <t>ARVIKA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46316</v>
      </c>
      <c r="F266" t="inlineStr">
        <is>
          <t>VÄRMLANDS LÄN</t>
        </is>
      </c>
      <c r="G266" t="inlineStr">
        <is>
          <t>ARVIKA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31582-2024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45506</v>
      </c>
      <c r="E267" s="1" t="n">
        <v>46316</v>
      </c>
      <c r="F267" t="inlineStr">
        <is>
          <t>VÄRMLANDS LÄN</t>
        </is>
      </c>
      <c r="G267" t="inlineStr">
        <is>
          <t>ARVIKA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46316</v>
      </c>
      <c r="F268" t="inlineStr">
        <is>
          <t>VÄRMLANDS LÄN</t>
        </is>
      </c>
      <c r="G268" t="inlineStr">
        <is>
          <t>ARVIKA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45483</v>
      </c>
      <c r="E269" s="1" t="n">
        <v>46316</v>
      </c>
      <c r="F269" t="inlineStr">
        <is>
          <t>VÄRMLANDS LÄN</t>
        </is>
      </c>
      <c r="G269" t="inlineStr">
        <is>
          <t>ARVIKA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46316</v>
      </c>
      <c r="F270" t="inlineStr">
        <is>
          <t>VÄRMLANDS LÄN</t>
        </is>
      </c>
      <c r="G270" t="inlineStr">
        <is>
          <t>ARVIKA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46316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63123-2025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46316</v>
      </c>
      <c r="F272" t="inlineStr">
        <is>
          <t>VÄRMLANDS LÄN</t>
        </is>
      </c>
      <c r="G272" t="inlineStr">
        <is>
          <t>ARVIKA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45405</v>
      </c>
      <c r="E273" s="1" t="n">
        <v>46316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46316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46316</v>
      </c>
      <c r="F275" t="inlineStr">
        <is>
          <t>VÄRMLANDS LÄN</t>
        </is>
      </c>
      <c r="G275" t="inlineStr">
        <is>
          <t>ARVIKA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46316</v>
      </c>
      <c r="F276" t="inlineStr">
        <is>
          <t>VÄRMLANDS LÄN</t>
        </is>
      </c>
      <c r="G276" t="inlineStr">
        <is>
          <t>ARVIKA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46316</v>
      </c>
      <c r="F277" t="inlineStr">
        <is>
          <t>VÄRMLANDS LÄN</t>
        </is>
      </c>
      <c r="G277" t="inlineStr">
        <is>
          <t>ARVIKA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46316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46316</v>
      </c>
      <c r="F279" t="inlineStr">
        <is>
          <t>VÄRMLANDS LÄN</t>
        </is>
      </c>
      <c r="G279" t="inlineStr">
        <is>
          <t>ARVIKA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46316</v>
      </c>
      <c r="F280" t="inlineStr">
        <is>
          <t>VÄRMLANDS LÄN</t>
        </is>
      </c>
      <c r="G280" t="inlineStr">
        <is>
          <t>ARVIKA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46316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46316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46316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46316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46316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45890</v>
      </c>
      <c r="E286" s="1" t="n">
        <v>46316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63721-2025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46316</v>
      </c>
      <c r="F287" t="inlineStr">
        <is>
          <t>VÄRMLANDS LÄN</t>
        </is>
      </c>
      <c r="G287" t="inlineStr">
        <is>
          <t>ARVIKA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45890</v>
      </c>
      <c r="E288" s="1" t="n">
        <v>46316</v>
      </c>
      <c r="F288" t="inlineStr">
        <is>
          <t>VÄRMLANDS LÄN</t>
        </is>
      </c>
      <c r="G288" t="inlineStr">
        <is>
          <t>ARVIKA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45890</v>
      </c>
      <c r="E289" s="1" t="n">
        <v>46316</v>
      </c>
      <c r="F289" t="inlineStr">
        <is>
          <t>VÄRMLANDS LÄN</t>
        </is>
      </c>
      <c r="G289" t="inlineStr">
        <is>
          <t>ARVIKA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45548</v>
      </c>
      <c r="E290" s="1" t="n">
        <v>46316</v>
      </c>
      <c r="F290" t="inlineStr">
        <is>
          <t>VÄRMLANDS LÄN</t>
        </is>
      </c>
      <c r="G290" t="inlineStr">
        <is>
          <t>ARVIKA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46316</v>
      </c>
      <c r="F291" t="inlineStr">
        <is>
          <t>VÄRMLANDS LÄN</t>
        </is>
      </c>
      <c r="G291" t="inlineStr">
        <is>
          <t>ARVIKA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46316</v>
      </c>
      <c r="F292" t="inlineStr">
        <is>
          <t>VÄRMLANDS LÄN</t>
        </is>
      </c>
      <c r="G292" t="inlineStr">
        <is>
          <t>ARVIKA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62614-2022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46316</v>
      </c>
      <c r="F293" t="inlineStr">
        <is>
          <t>VÄRMLANDS LÄN</t>
        </is>
      </c>
      <c r="G293" t="inlineStr">
        <is>
          <t>ARVIKA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46316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46316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46924-2022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46316</v>
      </c>
      <c r="F296" t="inlineStr">
        <is>
          <t>VÄRMLANDS LÄN</t>
        </is>
      </c>
      <c r="G296" t="inlineStr">
        <is>
          <t>ARVIKA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44900</v>
      </c>
      <c r="E297" s="1" t="n">
        <v>46316</v>
      </c>
      <c r="F297" t="inlineStr">
        <is>
          <t>VÄRMLANDS LÄN</t>
        </is>
      </c>
      <c r="G297" t="inlineStr">
        <is>
          <t>ARVIKA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45663</v>
      </c>
      <c r="E298" s="1" t="n">
        <v>46316</v>
      </c>
      <c r="F298" t="inlineStr">
        <is>
          <t>VÄRMLANDS LÄN</t>
        </is>
      </c>
      <c r="G298" t="inlineStr">
        <is>
          <t>ARVIKA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46316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46316</v>
      </c>
      <c r="F300" t="inlineStr">
        <is>
          <t>VÄRMLANDS LÄN</t>
        </is>
      </c>
      <c r="G300" t="inlineStr">
        <is>
          <t>ARVIKA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45536</v>
      </c>
      <c r="E301" s="1" t="n">
        <v>46316</v>
      </c>
      <c r="F301" t="inlineStr">
        <is>
          <t>VÄRMLANDS LÄN</t>
        </is>
      </c>
      <c r="G301" t="inlineStr">
        <is>
          <t>ARVIKA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46316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46316</v>
      </c>
      <c r="F303" t="inlineStr">
        <is>
          <t>VÄRMLANDS LÄN</t>
        </is>
      </c>
      <c r="G303" t="inlineStr">
        <is>
          <t>ARVIKA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46316</v>
      </c>
      <c r="F304" t="inlineStr">
        <is>
          <t>VÄRMLANDS LÄN</t>
        </is>
      </c>
      <c r="G304" t="inlineStr">
        <is>
          <t>ARVIKA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45412</v>
      </c>
      <c r="E305" s="1" t="n">
        <v>46316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17704-2023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45035</v>
      </c>
      <c r="E306" s="1" t="n">
        <v>46316</v>
      </c>
      <c r="F306" t="inlineStr">
        <is>
          <t>VÄRMLANDS LÄN</t>
        </is>
      </c>
      <c r="G306" t="inlineStr">
        <is>
          <t>ARVIKA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45405</v>
      </c>
      <c r="E307" s="1" t="n">
        <v>46316</v>
      </c>
      <c r="F307" t="inlineStr">
        <is>
          <t>VÄRMLANDS LÄN</t>
        </is>
      </c>
      <c r="G307" t="inlineStr">
        <is>
          <t>ARVIKA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46316</v>
      </c>
      <c r="F308" t="inlineStr">
        <is>
          <t>VÄRMLANDS LÄN</t>
        </is>
      </c>
      <c r="G308" t="inlineStr">
        <is>
          <t>ARVIKA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46316</v>
      </c>
      <c r="F309" t="inlineStr">
        <is>
          <t>VÄRMLANDS LÄN</t>
        </is>
      </c>
      <c r="G309" t="inlineStr">
        <is>
          <t>ARVIKA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46316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46316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46316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41434-2025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46316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46316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46316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46316</v>
      </c>
      <c r="F316" t="inlineStr">
        <is>
          <t>VÄRMLANDS LÄN</t>
        </is>
      </c>
      <c r="G316" t="inlineStr">
        <is>
          <t>ARVIKA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46316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35806-2025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45861</v>
      </c>
      <c r="E318" s="1" t="n">
        <v>46316</v>
      </c>
      <c r="F318" t="inlineStr">
        <is>
          <t>VÄRMLANDS LÄN</t>
        </is>
      </c>
      <c r="G318" t="inlineStr">
        <is>
          <t>ARVIKA</t>
        </is>
      </c>
      <c r="H318" t="inlineStr">
        <is>
          <t>Övriga Aktiebolag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18349-2024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45422</v>
      </c>
      <c r="E319" s="1" t="n">
        <v>46316</v>
      </c>
      <c r="F319" t="inlineStr">
        <is>
          <t>VÄRMLANDS LÄN</t>
        </is>
      </c>
      <c r="G319" t="inlineStr">
        <is>
          <t>ARVIKA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46316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45216</v>
      </c>
      <c r="E321" s="1" t="n">
        <v>46316</v>
      </c>
      <c r="F321" t="inlineStr">
        <is>
          <t>VÄRMLANDS LÄN</t>
        </is>
      </c>
      <c r="G321" t="inlineStr">
        <is>
          <t>ARVIKA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46316</v>
      </c>
      <c r="F322" t="inlineStr">
        <is>
          <t>VÄRMLANDS LÄN</t>
        </is>
      </c>
      <c r="G322" t="inlineStr">
        <is>
          <t>ARVIKA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46316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46316</v>
      </c>
      <c r="F324" t="inlineStr">
        <is>
          <t>VÄRMLANDS LÄN</t>
        </is>
      </c>
      <c r="G324" t="inlineStr">
        <is>
          <t>ARVIKA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46316</v>
      </c>
      <c r="F325" t="inlineStr">
        <is>
          <t>VÄRMLANDS LÄN</t>
        </is>
      </c>
      <c r="G325" t="inlineStr">
        <is>
          <t>ARVIKA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46316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46316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46316</v>
      </c>
      <c r="F328" t="inlineStr">
        <is>
          <t>VÄRMLANDS LÄN</t>
        </is>
      </c>
      <c r="G328" t="inlineStr">
        <is>
          <t>ARVIKA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46316</v>
      </c>
      <c r="F329" t="inlineStr">
        <is>
          <t>VÄRMLANDS LÄN</t>
        </is>
      </c>
      <c r="G329" t="inlineStr">
        <is>
          <t>ARVIKA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65950-2021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44517</v>
      </c>
      <c r="E330" s="1" t="n">
        <v>46316</v>
      </c>
      <c r="F330" t="inlineStr">
        <is>
          <t>VÄRMLANDS LÄN</t>
        </is>
      </c>
      <c r="G330" t="inlineStr">
        <is>
          <t>ARVIKA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46316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46316</v>
      </c>
      <c r="F332" t="inlineStr">
        <is>
          <t>VÄRMLANDS LÄN</t>
        </is>
      </c>
      <c r="G332" t="inlineStr">
        <is>
          <t>ARVIKA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28574-2025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45819</v>
      </c>
      <c r="E333" s="1" t="n">
        <v>46316</v>
      </c>
      <c r="F333" t="inlineStr">
        <is>
          <t>VÄRMLANDS LÄN</t>
        </is>
      </c>
      <c r="G333" t="inlineStr">
        <is>
          <t>ARVIKA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46316</v>
      </c>
      <c r="F334" t="inlineStr">
        <is>
          <t>VÄRMLANDS LÄN</t>
        </is>
      </c>
      <c r="G334" t="inlineStr">
        <is>
          <t>ARVIKA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46316</v>
      </c>
      <c r="F335" t="inlineStr">
        <is>
          <t>VÄRMLANDS LÄN</t>
        </is>
      </c>
      <c r="G335" t="inlineStr">
        <is>
          <t>ARVIKA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46316</v>
      </c>
      <c r="F336" t="inlineStr">
        <is>
          <t>VÄRMLANDS LÄN</t>
        </is>
      </c>
      <c r="G336" t="inlineStr">
        <is>
          <t>ARVIKA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46316</v>
      </c>
      <c r="F337" t="inlineStr">
        <is>
          <t>VÄRMLANDS LÄN</t>
        </is>
      </c>
      <c r="G337" t="inlineStr">
        <is>
          <t>ARVIKA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46316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46316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45116</v>
      </c>
      <c r="E340" s="1" t="n">
        <v>46316</v>
      </c>
      <c r="F340" t="inlineStr">
        <is>
          <t>VÄRMLANDS LÄN</t>
        </is>
      </c>
      <c r="G340" t="inlineStr">
        <is>
          <t>ARVIKA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45904</v>
      </c>
      <c r="E341" s="1" t="n">
        <v>46316</v>
      </c>
      <c r="F341" t="inlineStr">
        <is>
          <t>VÄRMLANDS LÄN</t>
        </is>
      </c>
      <c r="G341" t="inlineStr">
        <is>
          <t>ARVIKA</t>
        </is>
      </c>
      <c r="I341" t="n">
        <v>14.4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45821</v>
      </c>
      <c r="E342" s="1" t="n">
        <v>46316</v>
      </c>
      <c r="F342" t="inlineStr">
        <is>
          <t>VÄRMLANDS LÄN</t>
        </is>
      </c>
      <c r="G342" t="inlineStr">
        <is>
          <t>ARVIKA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46316</v>
      </c>
      <c r="F343" t="inlineStr">
        <is>
          <t>VÄRMLANDS LÄN</t>
        </is>
      </c>
      <c r="G343" t="inlineStr">
        <is>
          <t>ARVIKA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46316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45785</v>
      </c>
      <c r="E345" s="1" t="n">
        <v>46316</v>
      </c>
      <c r="F345" t="inlineStr">
        <is>
          <t>VÄRMLANDS LÄN</t>
        </is>
      </c>
      <c r="G345" t="inlineStr">
        <is>
          <t>ARVIKA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46316</v>
      </c>
      <c r="F346" t="inlineStr">
        <is>
          <t>VÄRMLANDS LÄN</t>
        </is>
      </c>
      <c r="G346" t="inlineStr">
        <is>
          <t>ARVIKA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771-2026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46027</v>
      </c>
      <c r="E347" s="1" t="n">
        <v>46316</v>
      </c>
      <c r="F347" t="inlineStr">
        <is>
          <t>VÄRMLANDS LÄN</t>
        </is>
      </c>
      <c r="G347" t="inlineStr">
        <is>
          <t>ARVIKA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46316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46316</v>
      </c>
      <c r="F349" t="inlineStr">
        <is>
          <t>VÄRMLANDS LÄN</t>
        </is>
      </c>
      <c r="G349" t="inlineStr">
        <is>
          <t>ARVIKA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46316</v>
      </c>
      <c r="F350" t="inlineStr">
        <is>
          <t>VÄRMLANDS LÄN</t>
        </is>
      </c>
      <c r="G350" t="inlineStr">
        <is>
          <t>ARVIKA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45216</v>
      </c>
      <c r="E351" s="1" t="n">
        <v>46316</v>
      </c>
      <c r="F351" t="inlineStr">
        <is>
          <t>VÄRMLANDS LÄN</t>
        </is>
      </c>
      <c r="G351" t="inlineStr">
        <is>
          <t>ARVIKA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46316</v>
      </c>
      <c r="F352" t="inlineStr">
        <is>
          <t>VÄRMLANDS LÄN</t>
        </is>
      </c>
      <c r="G352" t="inlineStr">
        <is>
          <t>ARVIKA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46316</v>
      </c>
      <c r="F353" t="inlineStr">
        <is>
          <t>VÄRMLANDS LÄN</t>
        </is>
      </c>
      <c r="G353" t="inlineStr">
        <is>
          <t>ARVIKA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46316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46316</v>
      </c>
      <c r="F355" t="inlineStr">
        <is>
          <t>VÄRMLANDS LÄN</t>
        </is>
      </c>
      <c r="G355" t="inlineStr">
        <is>
          <t>ARVIKA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46316</v>
      </c>
      <c r="F356" t="inlineStr">
        <is>
          <t>VÄRMLANDS LÄN</t>
        </is>
      </c>
      <c r="G356" t="inlineStr">
        <is>
          <t>ARVIKA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46316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44833</v>
      </c>
      <c r="E358" s="1" t="n">
        <v>46316</v>
      </c>
      <c r="F358" t="inlineStr">
        <is>
          <t>VÄRMLANDS LÄN</t>
        </is>
      </c>
      <c r="G358" t="inlineStr">
        <is>
          <t>ARVIKA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46316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46316</v>
      </c>
      <c r="F360" t="inlineStr">
        <is>
          <t>VÄRMLANDS LÄN</t>
        </is>
      </c>
      <c r="G360" t="inlineStr">
        <is>
          <t>ARVIKA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45912</v>
      </c>
      <c r="E361" s="1" t="n">
        <v>46316</v>
      </c>
      <c r="F361" t="inlineStr">
        <is>
          <t>VÄRMLANDS LÄN</t>
        </is>
      </c>
      <c r="G361" t="inlineStr">
        <is>
          <t>ARVIKA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45520-2023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45194</v>
      </c>
      <c r="E362" s="1" t="n">
        <v>46316</v>
      </c>
      <c r="F362" t="inlineStr">
        <is>
          <t>VÄRMLANDS LÄN</t>
        </is>
      </c>
      <c r="G362" t="inlineStr">
        <is>
          <t>ARVIKA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39980-2022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44820</v>
      </c>
      <c r="E363" s="1" t="n">
        <v>46316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46316</v>
      </c>
      <c r="F364" t="inlineStr">
        <is>
          <t>VÄRMLANDS LÄN</t>
        </is>
      </c>
      <c r="G364" t="inlineStr">
        <is>
          <t>ARVIKA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45916</v>
      </c>
      <c r="E365" s="1" t="n">
        <v>46316</v>
      </c>
      <c r="F365" t="inlineStr">
        <is>
          <t>VÄRMLANDS LÄN</t>
        </is>
      </c>
      <c r="G365" t="inlineStr">
        <is>
          <t>ARVIKA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46316</v>
      </c>
      <c r="F366" t="inlineStr">
        <is>
          <t>VÄRMLANDS LÄN</t>
        </is>
      </c>
      <c r="G366" t="inlineStr">
        <is>
          <t>ARVIKA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46316</v>
      </c>
      <c r="F367" t="inlineStr">
        <is>
          <t>VÄRMLANDS LÄN</t>
        </is>
      </c>
      <c r="G367" t="inlineStr">
        <is>
          <t>ARVIKA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45071</v>
      </c>
      <c r="E368" s="1" t="n">
        <v>46316</v>
      </c>
      <c r="F368" t="inlineStr">
        <is>
          <t>VÄRMLANDS LÄN</t>
        </is>
      </c>
      <c r="G368" t="inlineStr">
        <is>
          <t>ARVIKA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46316</v>
      </c>
      <c r="F369" t="inlineStr">
        <is>
          <t>VÄRMLANDS LÄN</t>
        </is>
      </c>
      <c r="G369" t="inlineStr">
        <is>
          <t>ARVIKA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45587</v>
      </c>
      <c r="E370" s="1" t="n">
        <v>46316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45483</v>
      </c>
      <c r="E371" s="1" t="n">
        <v>46316</v>
      </c>
      <c r="F371" t="inlineStr">
        <is>
          <t>VÄRMLANDS LÄN</t>
        </is>
      </c>
      <c r="G371" t="inlineStr">
        <is>
          <t>ARVIKA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46316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46316</v>
      </c>
      <c r="F373" t="inlineStr">
        <is>
          <t>VÄRMLANDS LÄN</t>
        </is>
      </c>
      <c r="G373" t="inlineStr">
        <is>
          <t>ARVIKA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45313-2025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45921</v>
      </c>
      <c r="E374" s="1" t="n">
        <v>46316</v>
      </c>
      <c r="F374" t="inlineStr">
        <is>
          <t>VÄRMLANDS LÄN</t>
        </is>
      </c>
      <c r="G374" t="inlineStr">
        <is>
          <t>ARVIKA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48676-2025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45935</v>
      </c>
      <c r="E375" s="1" t="n">
        <v>46316</v>
      </c>
      <c r="F375" t="inlineStr">
        <is>
          <t>VÄRMLANDS LÄN</t>
        </is>
      </c>
      <c r="G375" t="inlineStr">
        <is>
          <t>ARVIKA</t>
        </is>
      </c>
      <c r="I375" t="n">
        <v>9.1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45461</v>
      </c>
      <c r="E376" s="1" t="n">
        <v>46316</v>
      </c>
      <c r="F376" t="inlineStr">
        <is>
          <t>VÄRMLANDS LÄN</t>
        </is>
      </c>
      <c r="G376" t="inlineStr">
        <is>
          <t>ARVIKA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46316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57012-2023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46316</v>
      </c>
      <c r="F378" t="inlineStr">
        <is>
          <t>VÄRMLANDS LÄN</t>
        </is>
      </c>
      <c r="G378" t="inlineStr">
        <is>
          <t>ARVIKA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46316</v>
      </c>
      <c r="F379" t="inlineStr">
        <is>
          <t>VÄRMLANDS LÄN</t>
        </is>
      </c>
      <c r="G379" t="inlineStr">
        <is>
          <t>ARVIKA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44917</v>
      </c>
      <c r="E380" s="1" t="n">
        <v>46316</v>
      </c>
      <c r="F380" t="inlineStr">
        <is>
          <t>VÄRMLANDS LÄN</t>
        </is>
      </c>
      <c r="G380" t="inlineStr">
        <is>
          <t>ARVIKA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44917</v>
      </c>
      <c r="E381" s="1" t="n">
        <v>46316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46316</v>
      </c>
      <c r="F382" t="inlineStr">
        <is>
          <t>VÄRMLANDS LÄN</t>
        </is>
      </c>
      <c r="G382" t="inlineStr">
        <is>
          <t>ARVIKA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44917</v>
      </c>
      <c r="E383" s="1" t="n">
        <v>46316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45925</v>
      </c>
      <c r="E384" s="1" t="n">
        <v>46316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38009-2024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46316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45726</v>
      </c>
      <c r="E386" s="1" t="n">
        <v>46316</v>
      </c>
      <c r="F386" t="inlineStr">
        <is>
          <t>VÄRMLANDS LÄN</t>
        </is>
      </c>
      <c r="G386" t="inlineStr">
        <is>
          <t>ARVIKA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46316</v>
      </c>
      <c r="F387" t="inlineStr">
        <is>
          <t>VÄRMLANDS LÄN</t>
        </is>
      </c>
      <c r="G387" t="inlineStr">
        <is>
          <t>ARVIKA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46316</v>
      </c>
      <c r="F388" t="inlineStr">
        <is>
          <t>VÄRMLANDS LÄN</t>
        </is>
      </c>
      <c r="G388" t="inlineStr">
        <is>
          <t>ARVIKA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46316</v>
      </c>
      <c r="F389" t="inlineStr">
        <is>
          <t>VÄRMLANDS LÄN</t>
        </is>
      </c>
      <c r="G389" t="inlineStr">
        <is>
          <t>ARVIKA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46316</v>
      </c>
      <c r="F390" t="inlineStr">
        <is>
          <t>VÄRMLANDS LÄN</t>
        </is>
      </c>
      <c r="G390" t="inlineStr">
        <is>
          <t>ARVIKA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45532</v>
      </c>
      <c r="E391" s="1" t="n">
        <v>46316</v>
      </c>
      <c r="F391" t="inlineStr">
        <is>
          <t>VÄRMLANDS LÄN</t>
        </is>
      </c>
      <c r="G391" t="inlineStr">
        <is>
          <t>ARVIKA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46889-2025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45929</v>
      </c>
      <c r="E392" s="1" t="n">
        <v>46316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10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46316</v>
      </c>
      <c r="F393" t="inlineStr">
        <is>
          <t>VÄRMLANDS LÄN</t>
        </is>
      </c>
      <c r="G393" t="inlineStr">
        <is>
          <t>ARVIKA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46316</v>
      </c>
      <c r="F394" t="inlineStr">
        <is>
          <t>VÄRMLANDS LÄN</t>
        </is>
      </c>
      <c r="G394" t="inlineStr">
        <is>
          <t>ARVIKA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45926</v>
      </c>
      <c r="E395" s="1" t="n">
        <v>46316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45146</v>
      </c>
      <c r="E396" s="1" t="n">
        <v>46316</v>
      </c>
      <c r="F396" t="inlineStr">
        <is>
          <t>VÄRMLANDS LÄN</t>
        </is>
      </c>
      <c r="G396" t="inlineStr">
        <is>
          <t>ARVIKA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45146</v>
      </c>
      <c r="E397" s="1" t="n">
        <v>46316</v>
      </c>
      <c r="F397" t="inlineStr">
        <is>
          <t>VÄRMLANDS LÄN</t>
        </is>
      </c>
      <c r="G397" t="inlineStr">
        <is>
          <t>ARVIKA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46316</v>
      </c>
      <c r="F398" t="inlineStr">
        <is>
          <t>VÄRMLANDS LÄN</t>
        </is>
      </c>
      <c r="G398" t="inlineStr">
        <is>
          <t>ARVIKA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46316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46316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46316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46316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45460</v>
      </c>
      <c r="E403" s="1" t="n">
        <v>46316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44935</v>
      </c>
      <c r="E404" s="1" t="n">
        <v>46316</v>
      </c>
      <c r="F404" t="inlineStr">
        <is>
          <t>VÄRMLANDS LÄN</t>
        </is>
      </c>
      <c r="G404" t="inlineStr">
        <is>
          <t>ARVIKA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45930</v>
      </c>
      <c r="E405" s="1" t="n">
        <v>46316</v>
      </c>
      <c r="F405" t="inlineStr">
        <is>
          <t>VÄRMLANDS LÄN</t>
        </is>
      </c>
      <c r="G405" t="inlineStr">
        <is>
          <t>ARVIKA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44950</v>
      </c>
      <c r="E406" s="1" t="n">
        <v>46316</v>
      </c>
      <c r="F406" t="inlineStr">
        <is>
          <t>VÄRMLANDS LÄN</t>
        </is>
      </c>
      <c r="G406" t="inlineStr">
        <is>
          <t>ARVIKA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46316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46316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46057</v>
      </c>
      <c r="E409" s="1" t="n">
        <v>46316</v>
      </c>
      <c r="F409" t="inlineStr">
        <is>
          <t>VÄRMLANDS LÄN</t>
        </is>
      </c>
      <c r="G409" t="inlineStr">
        <is>
          <t>ARVIKA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8512-2023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46316</v>
      </c>
      <c r="F410" t="inlineStr">
        <is>
          <t>VÄRMLANDS LÄN</t>
        </is>
      </c>
      <c r="G410" t="inlineStr">
        <is>
          <t>ARVIKA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46316</v>
      </c>
      <c r="F411" t="inlineStr">
        <is>
          <t>VÄRMLANDS LÄN</t>
        </is>
      </c>
      <c r="G411" t="inlineStr">
        <is>
          <t>ARVIKA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47524-2025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46316</v>
      </c>
      <c r="F412" t="inlineStr">
        <is>
          <t>VÄRMLANDS LÄN</t>
        </is>
      </c>
      <c r="G412" t="inlineStr">
        <is>
          <t>ARVIKA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48320-2025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46316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45329</v>
      </c>
      <c r="E414" s="1" t="n">
        <v>46316</v>
      </c>
      <c r="F414" t="inlineStr">
        <is>
          <t>VÄRMLANDS LÄN</t>
        </is>
      </c>
      <c r="G414" t="inlineStr">
        <is>
          <t>ARVIKA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10578-2023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44988</v>
      </c>
      <c r="E415" s="1" t="n">
        <v>46316</v>
      </c>
      <c r="F415" t="inlineStr">
        <is>
          <t>VÄRMLANDS LÄN</t>
        </is>
      </c>
      <c r="G415" t="inlineStr">
        <is>
          <t>ARVIKA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44827</v>
      </c>
      <c r="E416" s="1" t="n">
        <v>46316</v>
      </c>
      <c r="F416" t="inlineStr">
        <is>
          <t>VÄRMLANDS LÄN</t>
        </is>
      </c>
      <c r="G416" t="inlineStr">
        <is>
          <t>ARVIKA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45735</v>
      </c>
      <c r="E417" s="1" t="n">
        <v>46316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45544</v>
      </c>
      <c r="E418" s="1" t="n">
        <v>46316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45825</v>
      </c>
      <c r="E419" s="1" t="n">
        <v>46316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46316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46316</v>
      </c>
      <c r="F421" t="inlineStr">
        <is>
          <t>VÄRMLANDS LÄN</t>
        </is>
      </c>
      <c r="G421" t="inlineStr">
        <is>
          <t>ARVIKA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48075-2025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45932</v>
      </c>
      <c r="E422" s="1" t="n">
        <v>46316</v>
      </c>
      <c r="F422" t="inlineStr">
        <is>
          <t>VÄRMLANDS LÄN</t>
        </is>
      </c>
      <c r="G422" t="inlineStr">
        <is>
          <t>ARVIKA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45711</v>
      </c>
      <c r="E423" s="1" t="n">
        <v>46316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45932</v>
      </c>
      <c r="E424" s="1" t="n">
        <v>46316</v>
      </c>
      <c r="F424" t="inlineStr">
        <is>
          <t>VÄRMLANDS LÄN</t>
        </is>
      </c>
      <c r="G424" t="inlineStr">
        <is>
          <t>ARVIKA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46316</v>
      </c>
      <c r="F425" t="inlineStr">
        <is>
          <t>VÄRMLANDS LÄN</t>
        </is>
      </c>
      <c r="G425" t="inlineStr">
        <is>
          <t>ARVIKA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46316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45673</v>
      </c>
      <c r="E427" s="1" t="n">
        <v>46316</v>
      </c>
      <c r="F427" t="inlineStr">
        <is>
          <t>VÄRMLANDS LÄN</t>
        </is>
      </c>
      <c r="G427" t="inlineStr">
        <is>
          <t>ARVIKA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46316</v>
      </c>
      <c r="F428" t="inlineStr">
        <is>
          <t>VÄRMLANDS LÄN</t>
        </is>
      </c>
      <c r="G428" t="inlineStr">
        <is>
          <t>ARVIKA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46316</v>
      </c>
      <c r="F429" t="inlineStr">
        <is>
          <t>VÄRMLANDS LÄN</t>
        </is>
      </c>
      <c r="G429" t="inlineStr">
        <is>
          <t>ARVIKA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46316</v>
      </c>
      <c r="F430" t="inlineStr">
        <is>
          <t>VÄRMLANDS LÄN</t>
        </is>
      </c>
      <c r="G430" t="inlineStr">
        <is>
          <t>ARVIKA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46073</v>
      </c>
      <c r="E431" s="1" t="n">
        <v>46316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46316</v>
      </c>
      <c r="F432" t="inlineStr">
        <is>
          <t>VÄRMLANDS LÄN</t>
        </is>
      </c>
      <c r="G432" t="inlineStr">
        <is>
          <t>ARVIKA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46316</v>
      </c>
      <c r="F433" t="inlineStr">
        <is>
          <t>VÄRMLANDS LÄN</t>
        </is>
      </c>
      <c r="G433" t="inlineStr">
        <is>
          <t>ARVIKA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46316</v>
      </c>
      <c r="F434" t="inlineStr">
        <is>
          <t>VÄRMLANDS LÄN</t>
        </is>
      </c>
      <c r="G434" t="inlineStr">
        <is>
          <t>ARVIKA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46316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46316</v>
      </c>
      <c r="F436" t="inlineStr">
        <is>
          <t>VÄRMLANDS LÄN</t>
        </is>
      </c>
      <c r="G436" t="inlineStr">
        <is>
          <t>ARVIKA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44754</v>
      </c>
      <c r="E437" s="1" t="n">
        <v>46316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46316</v>
      </c>
      <c r="F438" t="inlineStr">
        <is>
          <t>VÄRMLANDS LÄN</t>
        </is>
      </c>
      <c r="G438" t="inlineStr">
        <is>
          <t>ARVIKA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45141</v>
      </c>
      <c r="E439" s="1" t="n">
        <v>46316</v>
      </c>
      <c r="F439" t="inlineStr">
        <is>
          <t>VÄRMLANDS LÄN</t>
        </is>
      </c>
      <c r="G439" t="inlineStr">
        <is>
          <t>ARVIKA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10603-2026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46077</v>
      </c>
      <c r="E440" s="1" t="n">
        <v>46316</v>
      </c>
      <c r="F440" t="inlineStr">
        <is>
          <t>VÄRMLANDS LÄN</t>
        </is>
      </c>
      <c r="G440" t="inlineStr">
        <is>
          <t>ARVIKA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44663</v>
      </c>
      <c r="E441" s="1" t="n">
        <v>46316</v>
      </c>
      <c r="F441" t="inlineStr">
        <is>
          <t>VÄRMLANDS LÄN</t>
        </is>
      </c>
      <c r="G441" t="inlineStr">
        <is>
          <t>ARVIKA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44806</v>
      </c>
      <c r="E442" s="1" t="n">
        <v>46316</v>
      </c>
      <c r="F442" t="inlineStr">
        <is>
          <t>VÄRMLANDS LÄN</t>
        </is>
      </c>
      <c r="G442" t="inlineStr">
        <is>
          <t>ARVIKA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46316</v>
      </c>
      <c r="F443" t="inlineStr">
        <is>
          <t>VÄRMLANDS LÄN</t>
        </is>
      </c>
      <c r="G443" t="inlineStr">
        <is>
          <t>ARVIKA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46316</v>
      </c>
      <c r="F444" t="inlineStr">
        <is>
          <t>VÄRMLANDS LÄN</t>
        </is>
      </c>
      <c r="G444" t="inlineStr">
        <is>
          <t>ARVIKA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25186-2022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44729</v>
      </c>
      <c r="E445" s="1" t="n">
        <v>46316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46080</v>
      </c>
      <c r="E446" s="1" t="n">
        <v>46316</v>
      </c>
      <c r="F446" t="inlineStr">
        <is>
          <t>VÄRMLANDS LÄN</t>
        </is>
      </c>
      <c r="G446" t="inlineStr">
        <is>
          <t>ARVIKA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46316</v>
      </c>
      <c r="F447" t="inlineStr">
        <is>
          <t>VÄRMLANDS LÄN</t>
        </is>
      </c>
      <c r="G447" t="inlineStr">
        <is>
          <t>ARVIKA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49735-2025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46316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46316</v>
      </c>
      <c r="F449" t="inlineStr">
        <is>
          <t>VÄRMLANDS LÄN</t>
        </is>
      </c>
      <c r="G449" t="inlineStr">
        <is>
          <t>ARVIKA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62600-2022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46316</v>
      </c>
      <c r="F450" t="inlineStr">
        <is>
          <t>VÄRMLANDS LÄN</t>
        </is>
      </c>
      <c r="G450" t="inlineStr">
        <is>
          <t>ARVIKA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46316</v>
      </c>
      <c r="F451" t="inlineStr">
        <is>
          <t>VÄRMLANDS LÄN</t>
        </is>
      </c>
      <c r="G451" t="inlineStr">
        <is>
          <t>ARVIKA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45027</v>
      </c>
      <c r="E452" s="1" t="n">
        <v>46316</v>
      </c>
      <c r="F452" t="inlineStr">
        <is>
          <t>VÄRMLANDS LÄN</t>
        </is>
      </c>
      <c r="G452" t="inlineStr">
        <is>
          <t>ARVIKA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47376-2023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45202</v>
      </c>
      <c r="E453" s="1" t="n">
        <v>46316</v>
      </c>
      <c r="F453" t="inlineStr">
        <is>
          <t>VÄRMLANDS LÄN</t>
        </is>
      </c>
      <c r="G453" t="inlineStr">
        <is>
          <t>ARVIKA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46083</v>
      </c>
      <c r="E454" s="1" t="n">
        <v>46316</v>
      </c>
      <c r="F454" t="inlineStr">
        <is>
          <t>VÄRMLANDS LÄN</t>
        </is>
      </c>
      <c r="G454" t="inlineStr">
        <is>
          <t>ARVIKA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45944</v>
      </c>
      <c r="E455" s="1" t="n">
        <v>46316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50451-2025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45945</v>
      </c>
      <c r="E456" s="1" t="n">
        <v>46316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46316</v>
      </c>
      <c r="F457" t="inlineStr">
        <is>
          <t>VÄRMLANDS LÄN</t>
        </is>
      </c>
      <c r="G457" t="inlineStr">
        <is>
          <t>ARVIKA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45317</v>
      </c>
      <c r="E458" s="1" t="n">
        <v>46316</v>
      </c>
      <c r="F458" t="inlineStr">
        <is>
          <t>VÄRMLANDS LÄN</t>
        </is>
      </c>
      <c r="G458" t="inlineStr">
        <is>
          <t>ARVIKA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46316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44642</v>
      </c>
      <c r="E460" s="1" t="n">
        <v>46316</v>
      </c>
      <c r="F460" t="inlineStr">
        <is>
          <t>VÄRMLANDS LÄN</t>
        </is>
      </c>
      <c r="G460" t="inlineStr">
        <is>
          <t>ARVIKA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12331-2026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46087</v>
      </c>
      <c r="E461" s="1" t="n">
        <v>46316</v>
      </c>
      <c r="F461" t="inlineStr">
        <is>
          <t>VÄRMLANDS LÄN</t>
        </is>
      </c>
      <c r="G461" t="inlineStr">
        <is>
          <t>ARVIKA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46316</v>
      </c>
      <c r="F462" t="inlineStr">
        <is>
          <t>VÄRMLANDS LÄN</t>
        </is>
      </c>
      <c r="G462" t="inlineStr">
        <is>
          <t>ARVIKA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45686</v>
      </c>
      <c r="E463" s="1" t="n">
        <v>46316</v>
      </c>
      <c r="F463" t="inlineStr">
        <is>
          <t>VÄRMLANDS LÄN</t>
        </is>
      </c>
      <c r="G463" t="inlineStr">
        <is>
          <t>ARVIKA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17620-2025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45757</v>
      </c>
      <c r="E464" s="1" t="n">
        <v>46316</v>
      </c>
      <c r="F464" t="inlineStr">
        <is>
          <t>VÄRMLANDS LÄN</t>
        </is>
      </c>
      <c r="G464" t="inlineStr">
        <is>
          <t>ARVIKA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45747</v>
      </c>
      <c r="E465" s="1" t="n">
        <v>46316</v>
      </c>
      <c r="F465" t="inlineStr">
        <is>
          <t>VÄRMLANDS LÄN</t>
        </is>
      </c>
      <c r="G465" t="inlineStr">
        <is>
          <t>ARVIKA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48510-2023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45207</v>
      </c>
      <c r="E466" s="1" t="n">
        <v>46316</v>
      </c>
      <c r="F466" t="inlineStr">
        <is>
          <t>VÄRMLANDS LÄN</t>
        </is>
      </c>
      <c r="G466" t="inlineStr">
        <is>
          <t>ARVIKA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46316</v>
      </c>
      <c r="F467" t="inlineStr">
        <is>
          <t>VÄRMLANDS LÄN</t>
        </is>
      </c>
      <c r="G467" t="inlineStr">
        <is>
          <t>ARVIKA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45433</v>
      </c>
      <c r="E468" s="1" t="n">
        <v>46316</v>
      </c>
      <c r="F468" t="inlineStr">
        <is>
          <t>VÄRMLANDS LÄN</t>
        </is>
      </c>
      <c r="G468" t="inlineStr">
        <is>
          <t>ARVIKA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51364-2025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46316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51358-2025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45950</v>
      </c>
      <c r="E470" s="1" t="n">
        <v>46316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44931</v>
      </c>
      <c r="E471" s="1" t="n">
        <v>46316</v>
      </c>
      <c r="F471" t="inlineStr">
        <is>
          <t>VÄRMLANDS LÄN</t>
        </is>
      </c>
      <c r="G471" t="inlineStr">
        <is>
          <t>ARVIKA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45951</v>
      </c>
      <c r="E472" s="1" t="n">
        <v>46316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45744</v>
      </c>
      <c r="E473" s="1" t="n">
        <v>46316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45257</v>
      </c>
      <c r="E474" s="1" t="n">
        <v>46316</v>
      </c>
      <c r="F474" t="inlineStr">
        <is>
          <t>VÄRMLANDS LÄN</t>
        </is>
      </c>
      <c r="G474" t="inlineStr">
        <is>
          <t>ARVIKA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46316</v>
      </c>
      <c r="F475" t="inlineStr">
        <is>
          <t>VÄRMLANDS LÄN</t>
        </is>
      </c>
      <c r="G475" t="inlineStr">
        <is>
          <t>ARVIKA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46316</v>
      </c>
      <c r="F476" t="inlineStr">
        <is>
          <t>VÄRMLANDS LÄN</t>
        </is>
      </c>
      <c r="G476" t="inlineStr">
        <is>
          <t>ARVIKA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46316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44715</v>
      </c>
      <c r="E478" s="1" t="n">
        <v>46316</v>
      </c>
      <c r="F478" t="inlineStr">
        <is>
          <t>VÄRMLANDS LÄN</t>
        </is>
      </c>
      <c r="G478" t="inlineStr">
        <is>
          <t>ARVIKA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45497</v>
      </c>
      <c r="E479" s="1" t="n">
        <v>46316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51917-2025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45952</v>
      </c>
      <c r="E480" s="1" t="n">
        <v>46316</v>
      </c>
      <c r="F480" t="inlineStr">
        <is>
          <t>VÄRMLANDS LÄN</t>
        </is>
      </c>
      <c r="G480" t="inlineStr">
        <is>
          <t>ARVIKA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65284-2021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46316</v>
      </c>
      <c r="F481" t="inlineStr">
        <is>
          <t>VÄRMLANDS LÄN</t>
        </is>
      </c>
      <c r="G481" t="inlineStr">
        <is>
          <t>ARVIKA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50380-2025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45944</v>
      </c>
      <c r="E482" s="1" t="n">
        <v>46316</v>
      </c>
      <c r="F482" t="inlineStr">
        <is>
          <t>VÄRMLANDS LÄN</t>
        </is>
      </c>
      <c r="G482" t="inlineStr">
        <is>
          <t>ARVIKA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27758-2023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46316</v>
      </c>
      <c r="F483" t="inlineStr">
        <is>
          <t>VÄRMLANDS LÄN</t>
        </is>
      </c>
      <c r="G483" t="inlineStr">
        <is>
          <t>ARVIKA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46316</v>
      </c>
      <c r="F484" t="inlineStr">
        <is>
          <t>VÄRMLANDS LÄN</t>
        </is>
      </c>
      <c r="G484" t="inlineStr">
        <is>
          <t>ARVIKA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30003-2025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45826</v>
      </c>
      <c r="E485" s="1" t="n">
        <v>46316</v>
      </c>
      <c r="F485" t="inlineStr">
        <is>
          <t>VÄRMLANDS LÄN</t>
        </is>
      </c>
      <c r="G485" t="inlineStr">
        <is>
          <t>ARVIKA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52705-2025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45957</v>
      </c>
      <c r="E486" s="1" t="n">
        <v>46316</v>
      </c>
      <c r="F486" t="inlineStr">
        <is>
          <t>VÄRMLANDS LÄN</t>
        </is>
      </c>
      <c r="G486" t="inlineStr">
        <is>
          <t>ARVIKA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46316</v>
      </c>
      <c r="F487" t="inlineStr">
        <is>
          <t>VÄRMLANDS LÄN</t>
        </is>
      </c>
      <c r="G487" t="inlineStr">
        <is>
          <t>ARVIKA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45629</v>
      </c>
      <c r="E488" s="1" t="n">
        <v>46316</v>
      </c>
      <c r="F488" t="inlineStr">
        <is>
          <t>VÄRMLANDS LÄN</t>
        </is>
      </c>
      <c r="G488" t="inlineStr">
        <is>
          <t>ARVIKA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52505-2025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46316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46100</v>
      </c>
      <c r="E490" s="1" t="n">
        <v>46316</v>
      </c>
      <c r="F490" t="inlineStr">
        <is>
          <t>VÄRMLANDS LÄN</t>
        </is>
      </c>
      <c r="G490" t="inlineStr">
        <is>
          <t>ARVIKA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46316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46316</v>
      </c>
      <c r="F492" t="inlineStr">
        <is>
          <t>VÄRMLANDS LÄN</t>
        </is>
      </c>
      <c r="G492" t="inlineStr">
        <is>
          <t>ARVIKA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46316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46316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30581-2025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46316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22.5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46316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36717-2023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45153</v>
      </c>
      <c r="E497" s="1" t="n">
        <v>46316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53488-2025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45960</v>
      </c>
      <c r="E498" s="1" t="n">
        <v>46316</v>
      </c>
      <c r="F498" t="inlineStr">
        <is>
          <t>VÄRMLANDS LÄN</t>
        </is>
      </c>
      <c r="G498" t="inlineStr">
        <is>
          <t>ARVIKA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46316</v>
      </c>
      <c r="F499" t="inlineStr">
        <is>
          <t>VÄRMLANDS LÄN</t>
        </is>
      </c>
      <c r="G499" t="inlineStr">
        <is>
          <t>ARVIKA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46316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46316</v>
      </c>
      <c r="F501" t="inlineStr">
        <is>
          <t>VÄRMLANDS LÄN</t>
        </is>
      </c>
      <c r="G501" t="inlineStr">
        <is>
          <t>ARVIKA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46316</v>
      </c>
      <c r="F502" t="inlineStr">
        <is>
          <t>VÄRMLANDS LÄN</t>
        </is>
      </c>
      <c r="G502" t="inlineStr">
        <is>
          <t>ARVIKA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46316</v>
      </c>
      <c r="F503" t="inlineStr">
        <is>
          <t>VÄRMLANDS LÄN</t>
        </is>
      </c>
      <c r="G503" t="inlineStr">
        <is>
          <t>ARVIKA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53539-2023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46316</v>
      </c>
      <c r="F504" t="inlineStr">
        <is>
          <t>VÄRMLANDS LÄN</t>
        </is>
      </c>
      <c r="G504" t="inlineStr">
        <is>
          <t>ARVIKA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45962</v>
      </c>
      <c r="E505" s="1" t="n">
        <v>46316</v>
      </c>
      <c r="F505" t="inlineStr">
        <is>
          <t>VÄRMLANDS LÄN</t>
        </is>
      </c>
      <c r="G505" t="inlineStr">
        <is>
          <t>ARVIKA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46316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33598-2024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46316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45833</v>
      </c>
      <c r="E508" s="1" t="n">
        <v>46316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43364-2023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45183</v>
      </c>
      <c r="E509" s="1" t="n">
        <v>46316</v>
      </c>
      <c r="F509" t="inlineStr">
        <is>
          <t>VÄRMLANDS LÄN</t>
        </is>
      </c>
      <c r="G509" t="inlineStr">
        <is>
          <t>ARVIKA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44918</v>
      </c>
      <c r="E510" s="1" t="n">
        <v>46316</v>
      </c>
      <c r="F510" t="inlineStr">
        <is>
          <t>VÄRMLANDS LÄN</t>
        </is>
      </c>
      <c r="G510" t="inlineStr">
        <is>
          <t>ARVIKA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46316</v>
      </c>
      <c r="F511" t="inlineStr">
        <is>
          <t>VÄRMLANDS LÄN</t>
        </is>
      </c>
      <c r="G511" t="inlineStr">
        <is>
          <t>ARVIKA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54029-2025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45962</v>
      </c>
      <c r="E512" s="1" t="n">
        <v>46316</v>
      </c>
      <c r="F512" t="inlineStr">
        <is>
          <t>VÄRMLANDS LÄN</t>
        </is>
      </c>
      <c r="G512" t="inlineStr">
        <is>
          <t>ARVIKA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42441-2023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45180</v>
      </c>
      <c r="E513" s="1" t="n">
        <v>46316</v>
      </c>
      <c r="F513" t="inlineStr">
        <is>
          <t>VÄRMLANDS LÄN</t>
        </is>
      </c>
      <c r="G513" t="inlineStr">
        <is>
          <t>ARVIKA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46316</v>
      </c>
      <c r="F514" t="inlineStr">
        <is>
          <t>VÄRMLANDS LÄN</t>
        </is>
      </c>
      <c r="G514" t="inlineStr">
        <is>
          <t>ARVIKA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45295</v>
      </c>
      <c r="E515" s="1" t="n">
        <v>46316</v>
      </c>
      <c r="F515" t="inlineStr">
        <is>
          <t>VÄRMLANDS LÄN</t>
        </is>
      </c>
      <c r="G515" t="inlineStr">
        <is>
          <t>ARVIKA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45833</v>
      </c>
      <c r="E516" s="1" t="n">
        <v>46316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45833</v>
      </c>
      <c r="E517" s="1" t="n">
        <v>46316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46316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45086</v>
      </c>
      <c r="E519" s="1" t="n">
        <v>46316</v>
      </c>
      <c r="F519" t="inlineStr">
        <is>
          <t>VÄRMLANDS LÄN</t>
        </is>
      </c>
      <c r="G519" t="inlineStr">
        <is>
          <t>ARVIKA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31998-2024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45510</v>
      </c>
      <c r="E520" s="1" t="n">
        <v>46316</v>
      </c>
      <c r="F520" t="inlineStr">
        <is>
          <t>VÄRMLANDS LÄN</t>
        </is>
      </c>
      <c r="G520" t="inlineStr">
        <is>
          <t>ARVIKA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45966</v>
      </c>
      <c r="E521" s="1" t="n">
        <v>46316</v>
      </c>
      <c r="F521" t="inlineStr">
        <is>
          <t>VÄRMLANDS LÄN</t>
        </is>
      </c>
      <c r="G521" t="inlineStr">
        <is>
          <t>ARVIKA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46113</v>
      </c>
      <c r="E522" s="1" t="n">
        <v>46316</v>
      </c>
      <c r="F522" t="inlineStr">
        <is>
          <t>VÄRMLANDS LÄN</t>
        </is>
      </c>
      <c r="G522" t="inlineStr">
        <is>
          <t>ARVIKA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54682-2025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45966</v>
      </c>
      <c r="E523" s="1" t="n">
        <v>46316</v>
      </c>
      <c r="F523" t="inlineStr">
        <is>
          <t>VÄRMLANDS LÄN</t>
        </is>
      </c>
      <c r="G523" t="inlineStr">
        <is>
          <t>ARVIKA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54678-2025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45966</v>
      </c>
      <c r="E524" s="1" t="n">
        <v>46316</v>
      </c>
      <c r="F524" t="inlineStr">
        <is>
          <t>VÄRMLANDS LÄN</t>
        </is>
      </c>
      <c r="G524" t="inlineStr">
        <is>
          <t>ARVIKA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45966</v>
      </c>
      <c r="E525" s="1" t="n">
        <v>46316</v>
      </c>
      <c r="F525" t="inlineStr">
        <is>
          <t>VÄRMLANDS LÄN</t>
        </is>
      </c>
      <c r="G525" t="inlineStr">
        <is>
          <t>ARVIKA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17085-2026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46114</v>
      </c>
      <c r="E526" s="1" t="n">
        <v>46316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45124</v>
      </c>
      <c r="E527" s="1" t="n">
        <v>46316</v>
      </c>
      <c r="F527" t="inlineStr">
        <is>
          <t>VÄRMLANDS LÄN</t>
        </is>
      </c>
      <c r="G527" t="inlineStr">
        <is>
          <t>ARVIKA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45835</v>
      </c>
      <c r="E528" s="1" t="n">
        <v>46316</v>
      </c>
      <c r="F528" t="inlineStr">
        <is>
          <t>VÄRMLANDS LÄN</t>
        </is>
      </c>
      <c r="G528" t="inlineStr">
        <is>
          <t>ARVIKA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46316</v>
      </c>
      <c r="F529" t="inlineStr">
        <is>
          <t>VÄRMLANDS LÄN</t>
        </is>
      </c>
      <c r="G529" t="inlineStr">
        <is>
          <t>ARVIKA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45049</v>
      </c>
      <c r="E530" s="1" t="n">
        <v>46316</v>
      </c>
      <c r="F530" t="inlineStr">
        <is>
          <t>VÄRMLANDS LÄN</t>
        </is>
      </c>
      <c r="G530" t="inlineStr">
        <is>
          <t>ARVIKA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45083</v>
      </c>
      <c r="E531" s="1" t="n">
        <v>46316</v>
      </c>
      <c r="F531" t="inlineStr">
        <is>
          <t>VÄRMLANDS LÄN</t>
        </is>
      </c>
      <c r="G531" t="inlineStr">
        <is>
          <t>ARVIKA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46316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32079-2025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45835</v>
      </c>
      <c r="E533" s="1" t="n">
        <v>46316</v>
      </c>
      <c r="F533" t="inlineStr">
        <is>
          <t>VÄRMLANDS LÄN</t>
        </is>
      </c>
      <c r="G533" t="inlineStr">
        <is>
          <t>ARVIKA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46316</v>
      </c>
      <c r="F534" t="inlineStr">
        <is>
          <t>VÄRMLANDS LÄN</t>
        </is>
      </c>
      <c r="G534" t="inlineStr">
        <is>
          <t>ARVIKA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17703-2026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46121</v>
      </c>
      <c r="E535" s="1" t="n">
        <v>46316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17708-2026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46121</v>
      </c>
      <c r="E536" s="1" t="n">
        <v>46316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46316</v>
      </c>
      <c r="F537" t="inlineStr">
        <is>
          <t>VÄRMLANDS LÄN</t>
        </is>
      </c>
      <c r="G537" t="inlineStr">
        <is>
          <t>ARVIKA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16809-2023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45033</v>
      </c>
      <c r="E538" s="1" t="n">
        <v>46316</v>
      </c>
      <c r="F538" t="inlineStr">
        <is>
          <t>VÄRMLANDS LÄN</t>
        </is>
      </c>
      <c r="G538" t="inlineStr">
        <is>
          <t>ARVIKA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18011-2026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46123</v>
      </c>
      <c r="E539" s="1" t="n">
        <v>46316</v>
      </c>
      <c r="F539" t="inlineStr">
        <is>
          <t>VÄRMLANDS LÄN</t>
        </is>
      </c>
      <c r="G539" t="inlineStr">
        <is>
          <t>ARVIKA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46125</v>
      </c>
      <c r="E540" s="1" t="n">
        <v>46316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46316</v>
      </c>
      <c r="F541" t="inlineStr">
        <is>
          <t>VÄRMLANDS LÄN</t>
        </is>
      </c>
      <c r="G541" t="inlineStr">
        <is>
          <t>ARVIKA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45838</v>
      </c>
      <c r="E542" s="1" t="n">
        <v>46316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32530-2025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45838</v>
      </c>
      <c r="E543" s="1" t="n">
        <v>46316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46125</v>
      </c>
      <c r="E544" s="1" t="n">
        <v>46316</v>
      </c>
      <c r="F544" t="inlineStr">
        <is>
          <t>VÄRMLANDS LÄN</t>
        </is>
      </c>
      <c r="G544" t="inlineStr">
        <is>
          <t>ARVIKA</t>
        </is>
      </c>
      <c r="H544" t="inlineStr">
        <is>
          <t>Kyrkan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46125</v>
      </c>
      <c r="E545" s="1" t="n">
        <v>46316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46316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32453-2025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45838</v>
      </c>
      <c r="E547" s="1" t="n">
        <v>46316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46316</v>
      </c>
      <c r="F548" t="inlineStr">
        <is>
          <t>VÄRMLANDS LÄN</t>
        </is>
      </c>
      <c r="G548" t="inlineStr">
        <is>
          <t>ARVIKA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58408-2022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44901</v>
      </c>
      <c r="E549" s="1" t="n">
        <v>46316</v>
      </c>
      <c r="F549" t="inlineStr">
        <is>
          <t>VÄRMLANDS LÄN</t>
        </is>
      </c>
      <c r="G549" t="inlineStr">
        <is>
          <t>ARVIKA</t>
        </is>
      </c>
      <c r="I549" t="n">
        <v>16.4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46129</v>
      </c>
      <c r="E550" s="1" t="n">
        <v>46316</v>
      </c>
      <c r="F550" t="inlineStr">
        <is>
          <t>VÄRMLANDS LÄN</t>
        </is>
      </c>
      <c r="G550" t="inlineStr">
        <is>
          <t>ARVIKA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46316</v>
      </c>
      <c r="F551" t="inlineStr">
        <is>
          <t>VÄRMLANDS LÄN</t>
        </is>
      </c>
      <c r="G551" t="inlineStr">
        <is>
          <t>ARVIKA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50857-2023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45218</v>
      </c>
      <c r="E552" s="1" t="n">
        <v>46316</v>
      </c>
      <c r="F552" t="inlineStr">
        <is>
          <t>VÄRMLANDS LÄN</t>
        </is>
      </c>
      <c r="G552" t="inlineStr">
        <is>
          <t>ARVIKA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46316</v>
      </c>
      <c r="F553" t="inlineStr">
        <is>
          <t>VÄRMLANDS LÄN</t>
        </is>
      </c>
      <c r="G553" t="inlineStr">
        <is>
          <t>ARVIKA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46316</v>
      </c>
      <c r="F554" t="inlineStr">
        <is>
          <t>VÄRMLANDS LÄN</t>
        </is>
      </c>
      <c r="G554" t="inlineStr">
        <is>
          <t>ARVIKA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46127</v>
      </c>
      <c r="E555" s="1" t="n">
        <v>46316</v>
      </c>
      <c r="F555" t="inlineStr">
        <is>
          <t>VÄRMLANDS LÄN</t>
        </is>
      </c>
      <c r="G555" t="inlineStr">
        <is>
          <t>ARVIKA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53184-2024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45611</v>
      </c>
      <c r="E556" s="1" t="n">
        <v>46316</v>
      </c>
      <c r="F556" t="inlineStr">
        <is>
          <t>VÄRMLANDS LÄN</t>
        </is>
      </c>
      <c r="G556" t="inlineStr">
        <is>
          <t>ARVIKA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19205-2026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46132</v>
      </c>
      <c r="E557" s="1" t="n">
        <v>46316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46316</v>
      </c>
      <c r="F558" t="inlineStr">
        <is>
          <t>VÄRMLANDS LÄN</t>
        </is>
      </c>
      <c r="G558" t="inlineStr">
        <is>
          <t>ARVIKA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45751</v>
      </c>
      <c r="E559" s="1" t="n">
        <v>46316</v>
      </c>
      <c r="F559" t="inlineStr">
        <is>
          <t>VÄRMLANDS LÄN</t>
        </is>
      </c>
      <c r="G559" t="inlineStr">
        <is>
          <t>ARVIKA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57485-2025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45980</v>
      </c>
      <c r="E560" s="1" t="n">
        <v>46316</v>
      </c>
      <c r="F560" t="inlineStr">
        <is>
          <t>VÄRMLANDS LÄN</t>
        </is>
      </c>
      <c r="G560" t="inlineStr">
        <is>
          <t>ARVIKA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46133</v>
      </c>
      <c r="E561" s="1" t="n">
        <v>46316</v>
      </c>
      <c r="F561" t="inlineStr">
        <is>
          <t>VÄRMLANDS LÄN</t>
        </is>
      </c>
      <c r="G561" t="inlineStr">
        <is>
          <t>ARVIKA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33575-2025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46316</v>
      </c>
      <c r="F562" t="inlineStr">
        <is>
          <t>VÄRMLANDS LÄN</t>
        </is>
      </c>
      <c r="G562" t="inlineStr">
        <is>
          <t>ARVIKA</t>
        </is>
      </c>
      <c r="I562" t="n">
        <v>14.3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46316</v>
      </c>
      <c r="F563" t="inlineStr">
        <is>
          <t>VÄRMLANDS LÄN</t>
        </is>
      </c>
      <c r="G563" t="inlineStr">
        <is>
          <t>ARVIKA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46316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46316</v>
      </c>
      <c r="F565" t="inlineStr">
        <is>
          <t>VÄRMLANDS LÄN</t>
        </is>
      </c>
      <c r="G565" t="inlineStr">
        <is>
          <t>ARVIKA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46316</v>
      </c>
      <c r="F566" t="inlineStr">
        <is>
          <t>VÄRMLANDS LÄN</t>
        </is>
      </c>
      <c r="G566" t="inlineStr">
        <is>
          <t>ARVIKA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46316</v>
      </c>
      <c r="F567" t="inlineStr">
        <is>
          <t>VÄRMLANDS LÄN</t>
        </is>
      </c>
      <c r="G567" t="inlineStr">
        <is>
          <t>ARVIKA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46316</v>
      </c>
      <c r="F568" t="inlineStr">
        <is>
          <t>VÄRMLANDS LÄN</t>
        </is>
      </c>
      <c r="G568" t="inlineStr">
        <is>
          <t>ARVIKA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19488-2026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46316</v>
      </c>
      <c r="F569" t="inlineStr">
        <is>
          <t>VÄRMLANDS LÄN</t>
        </is>
      </c>
      <c r="G569" t="inlineStr">
        <is>
          <t>ARVIKA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46316</v>
      </c>
      <c r="F570" t="inlineStr">
        <is>
          <t>VÄRMLANDS LÄN</t>
        </is>
      </c>
      <c r="G570" t="inlineStr">
        <is>
          <t>ARVIKA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46316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33521-2025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46316</v>
      </c>
      <c r="F572" t="inlineStr">
        <is>
          <t>VÄRMLANDS LÄN</t>
        </is>
      </c>
      <c r="G572" t="inlineStr">
        <is>
          <t>ARVIKA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45982</v>
      </c>
      <c r="E573" s="1" t="n">
        <v>46316</v>
      </c>
      <c r="F573" t="inlineStr">
        <is>
          <t>VÄRMLANDS LÄN</t>
        </is>
      </c>
      <c r="G573" t="inlineStr">
        <is>
          <t>ARVIKA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19829-2026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46135</v>
      </c>
      <c r="E574" s="1" t="n">
        <v>46316</v>
      </c>
      <c r="F574" t="inlineStr">
        <is>
          <t>VÄRMLANDS LÄN</t>
        </is>
      </c>
      <c r="G574" t="inlineStr">
        <is>
          <t>ARVIKA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46316</v>
      </c>
      <c r="F575" t="inlineStr">
        <is>
          <t>VÄRMLANDS LÄN</t>
        </is>
      </c>
      <c r="G575" t="inlineStr">
        <is>
          <t>ARVIKA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19489-2026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46316</v>
      </c>
      <c r="F576" t="inlineStr">
        <is>
          <t>VÄRMLANDS LÄN</t>
        </is>
      </c>
      <c r="G576" t="inlineStr">
        <is>
          <t>ARVIKA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45366</v>
      </c>
      <c r="E577" s="1" t="n">
        <v>46316</v>
      </c>
      <c r="F577" t="inlineStr">
        <is>
          <t>VÄRMLANDS LÄN</t>
        </is>
      </c>
      <c r="G577" t="inlineStr">
        <is>
          <t>ARVIKA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47343-2023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45202</v>
      </c>
      <c r="E578" s="1" t="n">
        <v>46316</v>
      </c>
      <c r="F578" t="inlineStr">
        <is>
          <t>VÄRMLANDS LÄN</t>
        </is>
      </c>
      <c r="G578" t="inlineStr">
        <is>
          <t>ARVIKA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47380-2023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45202</v>
      </c>
      <c r="E579" s="1" t="n">
        <v>46316</v>
      </c>
      <c r="F579" t="inlineStr">
        <is>
          <t>VÄRMLANDS LÄN</t>
        </is>
      </c>
      <c r="G579" t="inlineStr">
        <is>
          <t>ARVIKA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28627-2023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45103</v>
      </c>
      <c r="E580" s="1" t="n">
        <v>46316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45300-2023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46316</v>
      </c>
      <c r="F581" t="inlineStr">
        <is>
          <t>VÄRMLANDS LÄN</t>
        </is>
      </c>
      <c r="G581" t="inlineStr">
        <is>
          <t>ARVIKA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46316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46316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35503-2024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45531</v>
      </c>
      <c r="E584" s="1" t="n">
        <v>46316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46316</v>
      </c>
      <c r="F585" t="inlineStr">
        <is>
          <t>VÄRMLANDS LÄN</t>
        </is>
      </c>
      <c r="G585" t="inlineStr">
        <is>
          <t>ARVIKA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45988</v>
      </c>
      <c r="E586" s="1" t="n">
        <v>46316</v>
      </c>
      <c r="F586" t="inlineStr">
        <is>
          <t>VÄRMLANDS LÄN</t>
        </is>
      </c>
      <c r="G586" t="inlineStr">
        <is>
          <t>ARVIKA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46316</v>
      </c>
      <c r="F587" t="inlineStr">
        <is>
          <t>VÄRMLANDS LÄN</t>
        </is>
      </c>
      <c r="G587" t="inlineStr">
        <is>
          <t>ARVIKA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58220-2023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45245</v>
      </c>
      <c r="E588" s="1" t="n">
        <v>46316</v>
      </c>
      <c r="F588" t="inlineStr">
        <is>
          <t>VÄRMLANDS LÄN</t>
        </is>
      </c>
      <c r="G588" t="inlineStr">
        <is>
          <t>ARVIKA</t>
        </is>
      </c>
      <c r="H588" t="inlineStr">
        <is>
          <t>Övriga Aktiebolag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7980-2025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45707</v>
      </c>
      <c r="E589" s="1" t="n">
        <v>46316</v>
      </c>
      <c r="F589" t="inlineStr">
        <is>
          <t>VÄRMLANDS LÄN</t>
        </is>
      </c>
      <c r="G589" t="inlineStr">
        <is>
          <t>ARVIKA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46316</v>
      </c>
      <c r="F590" t="inlineStr">
        <is>
          <t>VÄRMLANDS LÄN</t>
        </is>
      </c>
      <c r="G590" t="inlineStr">
        <is>
          <t>ARVIKA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46316</v>
      </c>
      <c r="F591" t="inlineStr">
        <is>
          <t>VÄRMLANDS LÄN</t>
        </is>
      </c>
      <c r="G591" t="inlineStr">
        <is>
          <t>ARVIKA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46316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14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45680</v>
      </c>
      <c r="E593" s="1" t="n">
        <v>46316</v>
      </c>
      <c r="F593" t="inlineStr">
        <is>
          <t>VÄRMLANDS LÄN</t>
        </is>
      </c>
      <c r="G593" t="inlineStr">
        <is>
          <t>ARVIKA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59943-2025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45993</v>
      </c>
      <c r="E594" s="1" t="n">
        <v>46316</v>
      </c>
      <c r="F594" t="inlineStr">
        <is>
          <t>VÄRMLANDS LÄN</t>
        </is>
      </c>
      <c r="G594" t="inlineStr">
        <is>
          <t>ARVIKA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22041-2025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46316</v>
      </c>
      <c r="F595" t="inlineStr">
        <is>
          <t>VÄRMLANDS LÄN</t>
        </is>
      </c>
      <c r="G595" t="inlineStr">
        <is>
          <t>ARVIKA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46316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34285-2025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46316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34284-2025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45846</v>
      </c>
      <c r="E598" s="1" t="n">
        <v>46316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46316</v>
      </c>
      <c r="F599" t="inlineStr">
        <is>
          <t>VÄRMLANDS LÄN</t>
        </is>
      </c>
      <c r="G599" t="inlineStr">
        <is>
          <t>ARVIKA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45677</v>
      </c>
      <c r="E600" s="1" t="n">
        <v>46316</v>
      </c>
      <c r="F600" t="inlineStr">
        <is>
          <t>VÄRMLANDS LÄN</t>
        </is>
      </c>
      <c r="G600" t="inlineStr">
        <is>
          <t>ARVIKA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50764-2022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44867</v>
      </c>
      <c r="E601" s="1" t="n">
        <v>46316</v>
      </c>
      <c r="F601" t="inlineStr">
        <is>
          <t>VÄRMLANDS LÄN</t>
        </is>
      </c>
      <c r="G601" t="inlineStr">
        <is>
          <t>ARVIKA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45936</v>
      </c>
      <c r="E602" s="1" t="n">
        <v>46316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44741</v>
      </c>
      <c r="E603" s="1" t="n">
        <v>46316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7855-2023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44973</v>
      </c>
      <c r="E604" s="1" t="n">
        <v>46316</v>
      </c>
      <c r="F604" t="inlineStr">
        <is>
          <t>VÄRMLANDS LÄN</t>
        </is>
      </c>
      <c r="G604" t="inlineStr">
        <is>
          <t>ARVIKA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29615-2025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45825</v>
      </c>
      <c r="E605" s="1" t="n">
        <v>46316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62169-2024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45657</v>
      </c>
      <c r="E606" s="1" t="n">
        <v>46316</v>
      </c>
      <c r="F606" t="inlineStr">
        <is>
          <t>VÄRMLANDS LÄN</t>
        </is>
      </c>
      <c r="G606" t="inlineStr">
        <is>
          <t>ARVIKA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22992-2025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45790</v>
      </c>
      <c r="E607" s="1" t="n">
        <v>46316</v>
      </c>
      <c r="F607" t="inlineStr">
        <is>
          <t>VÄRMLANDS LÄN</t>
        </is>
      </c>
      <c r="G607" t="inlineStr">
        <is>
          <t>ARVIKA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46316</v>
      </c>
      <c r="F608" t="inlineStr">
        <is>
          <t>VÄRMLANDS LÄN</t>
        </is>
      </c>
      <c r="G608" t="inlineStr">
        <is>
          <t>ARVIKA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45051</v>
      </c>
      <c r="E609" s="1" t="n">
        <v>46316</v>
      </c>
      <c r="F609" t="inlineStr">
        <is>
          <t>VÄRMLANDS LÄN</t>
        </is>
      </c>
      <c r="G609" t="inlineStr">
        <is>
          <t>ARVIKA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60627-2025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45996</v>
      </c>
      <c r="E610" s="1" t="n">
        <v>46316</v>
      </c>
      <c r="F610" t="inlineStr">
        <is>
          <t>VÄRMLANDS LÄN</t>
        </is>
      </c>
      <c r="G610" t="inlineStr">
        <is>
          <t>ARVIKA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45727</v>
      </c>
      <c r="E611" s="1" t="n">
        <v>46316</v>
      </c>
      <c r="F611" t="inlineStr">
        <is>
          <t>VÄRMLANDS LÄN</t>
        </is>
      </c>
      <c r="G611" t="inlineStr">
        <is>
          <t>ARVIKA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53188-2025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45958</v>
      </c>
      <c r="E612" s="1" t="n">
        <v>46316</v>
      </c>
      <c r="F612" t="inlineStr">
        <is>
          <t>VÄRMLANDS LÄN</t>
        </is>
      </c>
      <c r="G612" t="inlineStr">
        <is>
          <t>ARVIKA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39835-2022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44819</v>
      </c>
      <c r="E613" s="1" t="n">
        <v>46316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13.1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45959</v>
      </c>
      <c r="E614" s="1" t="n">
        <v>46316</v>
      </c>
      <c r="F614" t="inlineStr">
        <is>
          <t>VÄRMLANDS LÄN</t>
        </is>
      </c>
      <c r="G614" t="inlineStr">
        <is>
          <t>ARVIKA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45855</v>
      </c>
      <c r="E615" s="1" t="n">
        <v>46316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13956-2023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45007</v>
      </c>
      <c r="E616" s="1" t="n">
        <v>46316</v>
      </c>
      <c r="F616" t="inlineStr">
        <is>
          <t>VÄRMLANDS LÄN</t>
        </is>
      </c>
      <c r="G616" t="inlineStr">
        <is>
          <t>ARVIKA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45854</v>
      </c>
      <c r="E617" s="1" t="n">
        <v>46316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44718</v>
      </c>
      <c r="E618" s="1" t="n">
        <v>46316</v>
      </c>
      <c r="F618" t="inlineStr">
        <is>
          <t>VÄRMLANDS LÄN</t>
        </is>
      </c>
      <c r="G618" t="inlineStr">
        <is>
          <t>ARVIKA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61246-2025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46316</v>
      </c>
      <c r="F619" t="inlineStr">
        <is>
          <t>VÄRMLANDS LÄN</t>
        </is>
      </c>
      <c r="G619" t="inlineStr">
        <is>
          <t>ARVIKA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42399-2025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45905</v>
      </c>
      <c r="E620" s="1" t="n">
        <v>46316</v>
      </c>
      <c r="F620" t="inlineStr">
        <is>
          <t>VÄRMLANDS LÄN</t>
        </is>
      </c>
      <c r="G620" t="inlineStr">
        <is>
          <t>ARVIKA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37144-2024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45538</v>
      </c>
      <c r="E621" s="1" t="n">
        <v>46316</v>
      </c>
      <c r="F621" t="inlineStr">
        <is>
          <t>VÄRMLANDS LÄN</t>
        </is>
      </c>
      <c r="G621" t="inlineStr">
        <is>
          <t>ARVIKA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45713</v>
      </c>
      <c r="E622" s="1" t="n">
        <v>46316</v>
      </c>
      <c r="F622" t="inlineStr">
        <is>
          <t>VÄRMLANDS LÄN</t>
        </is>
      </c>
      <c r="G622" t="inlineStr">
        <is>
          <t>ARVIKA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54041-2025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45963</v>
      </c>
      <c r="E623" s="1" t="n">
        <v>46316</v>
      </c>
      <c r="F623" t="inlineStr">
        <is>
          <t>VÄRMLANDS LÄN</t>
        </is>
      </c>
      <c r="G623" t="inlineStr">
        <is>
          <t>ARVIKA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45692</v>
      </c>
      <c r="E624" s="1" t="n">
        <v>46316</v>
      </c>
      <c r="F624" t="inlineStr">
        <is>
          <t>VÄRMLANDS LÄN</t>
        </is>
      </c>
      <c r="G624" t="inlineStr">
        <is>
          <t>ARVIKA</t>
        </is>
      </c>
      <c r="H624" t="inlineStr">
        <is>
          <t>Kommuner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22714-2025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45788</v>
      </c>
      <c r="E625" s="1" t="n">
        <v>46316</v>
      </c>
      <c r="F625" t="inlineStr">
        <is>
          <t>VÄRMLANDS LÄN</t>
        </is>
      </c>
      <c r="G625" t="inlineStr">
        <is>
          <t>ARVIKA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45856</v>
      </c>
      <c r="E626" s="1" t="n">
        <v>46316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61865-2024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45651</v>
      </c>
      <c r="E627" s="1" t="n">
        <v>46316</v>
      </c>
      <c r="F627" t="inlineStr">
        <is>
          <t>VÄRMLANDS LÄN</t>
        </is>
      </c>
      <c r="G627" t="inlineStr">
        <is>
          <t>ARVIKA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46316</v>
      </c>
      <c r="F628" t="inlineStr">
        <is>
          <t>VÄRMLANDS LÄN</t>
        </is>
      </c>
      <c r="G628" t="inlineStr">
        <is>
          <t>ARVIKA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23601-2023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46316</v>
      </c>
      <c r="F629" t="inlineStr">
        <is>
          <t>VÄRMLANDS LÄN</t>
        </is>
      </c>
      <c r="G629" t="inlineStr">
        <is>
          <t>ARVIKA</t>
        </is>
      </c>
      <c r="I629" t="n">
        <v>10.6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35676-2025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45859</v>
      </c>
      <c r="E630" s="1" t="n">
        <v>46316</v>
      </c>
      <c r="F630" t="inlineStr">
        <is>
          <t>VÄRMLANDS LÄN</t>
        </is>
      </c>
      <c r="G630" t="inlineStr">
        <is>
          <t>ARVIKA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61866-2024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45651</v>
      </c>
      <c r="E631" s="1" t="n">
        <v>46316</v>
      </c>
      <c r="F631" t="inlineStr">
        <is>
          <t>VÄRMLANDS LÄN</t>
        </is>
      </c>
      <c r="G631" t="inlineStr">
        <is>
          <t>ARVIKA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35818-2025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45861</v>
      </c>
      <c r="E632" s="1" t="n">
        <v>46316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45932</v>
      </c>
      <c r="E633" s="1" t="n">
        <v>46316</v>
      </c>
      <c r="F633" t="inlineStr">
        <is>
          <t>VÄRMLANDS LÄN</t>
        </is>
      </c>
      <c r="G633" t="inlineStr">
        <is>
          <t>ARVIKA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46316</v>
      </c>
      <c r="F634" t="inlineStr">
        <is>
          <t>VÄRMLANDS LÄN</t>
        </is>
      </c>
      <c r="G634" t="inlineStr">
        <is>
          <t>ARVIKA</t>
        </is>
      </c>
      <c r="H634" t="inlineStr">
        <is>
          <t>Kommuner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45880</v>
      </c>
      <c r="E635" s="1" t="n">
        <v>46316</v>
      </c>
      <c r="F635" t="inlineStr">
        <is>
          <t>VÄRMLANDS LÄN</t>
        </is>
      </c>
      <c r="G635" t="inlineStr">
        <is>
          <t>ARVIKA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45631</v>
      </c>
      <c r="E636" s="1" t="n">
        <v>46316</v>
      </c>
      <c r="F636" t="inlineStr">
        <is>
          <t>VÄRMLANDS LÄN</t>
        </is>
      </c>
      <c r="G636" t="inlineStr">
        <is>
          <t>ARVIKA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5072-2025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46316</v>
      </c>
      <c r="F637" t="inlineStr">
        <is>
          <t>VÄRMLANDS LÄN</t>
        </is>
      </c>
      <c r="G637" t="inlineStr">
        <is>
          <t>ARVIKA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46316</v>
      </c>
      <c r="F638" t="inlineStr">
        <is>
          <t>VÄRMLANDS LÄN</t>
        </is>
      </c>
      <c r="G638" t="inlineStr">
        <is>
          <t>ARVIKA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36042-2025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45866</v>
      </c>
      <c r="E639" s="1" t="n">
        <v>46316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45812</v>
      </c>
      <c r="E640" s="1" t="n">
        <v>46316</v>
      </c>
      <c r="F640" t="inlineStr">
        <is>
          <t>VÄRMLANDS LÄN</t>
        </is>
      </c>
      <c r="G640" t="inlineStr">
        <is>
          <t>ARVIKA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46316</v>
      </c>
      <c r="F641" t="inlineStr">
        <is>
          <t>VÄRMLANDS LÄN</t>
        </is>
      </c>
      <c r="G641" t="inlineStr">
        <is>
          <t>ARVIKA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45232</v>
      </c>
      <c r="E642" s="1" t="n">
        <v>46316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17142-2025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45755</v>
      </c>
      <c r="E643" s="1" t="n">
        <v>46316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47540-2024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45587</v>
      </c>
      <c r="E644" s="1" t="n">
        <v>46316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34920-2025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46316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45869</v>
      </c>
      <c r="E646" s="1" t="n">
        <v>46316</v>
      </c>
      <c r="F646" t="inlineStr">
        <is>
          <t>VÄRMLANDS LÄN</t>
        </is>
      </c>
      <c r="G646" t="inlineStr">
        <is>
          <t>ARVIKA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45817</v>
      </c>
      <c r="E647" s="1" t="n">
        <v>46316</v>
      </c>
      <c r="F647" t="inlineStr">
        <is>
          <t>VÄRMLANDS LÄN</t>
        </is>
      </c>
      <c r="G647" t="inlineStr">
        <is>
          <t>ARVIKA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45813</v>
      </c>
      <c r="E648" s="1" t="n">
        <v>46316</v>
      </c>
      <c r="F648" t="inlineStr">
        <is>
          <t>VÄRMLANDS LÄN</t>
        </is>
      </c>
      <c r="G648" t="inlineStr">
        <is>
          <t>ARVIKA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36431-2025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45869</v>
      </c>
      <c r="E649" s="1" t="n">
        <v>46316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27708-2025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45813</v>
      </c>
      <c r="E650" s="1" t="n">
        <v>46316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45485</v>
      </c>
      <c r="E651" s="1" t="n">
        <v>46316</v>
      </c>
      <c r="F651" t="inlineStr">
        <is>
          <t>VÄRMLANDS LÄN</t>
        </is>
      </c>
      <c r="G651" t="inlineStr">
        <is>
          <t>ARVIKA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38666-2024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45547</v>
      </c>
      <c r="E652" s="1" t="n">
        <v>46316</v>
      </c>
      <c r="F652" t="inlineStr">
        <is>
          <t>VÄRMLANDS LÄN</t>
        </is>
      </c>
      <c r="G652" t="inlineStr">
        <is>
          <t>ARVIKA</t>
        </is>
      </c>
      <c r="H652" t="inlineStr">
        <is>
          <t>Kommuner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9857-2022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44620</v>
      </c>
      <c r="E653" s="1" t="n">
        <v>46316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46316</v>
      </c>
      <c r="F654" t="inlineStr">
        <is>
          <t>VÄRMLANDS LÄN</t>
        </is>
      </c>
      <c r="G654" t="inlineStr">
        <is>
          <t>ARVIKA</t>
        </is>
      </c>
      <c r="I654" t="n">
        <v>16.2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45711</v>
      </c>
      <c r="E655" s="1" t="n">
        <v>46316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45411</v>
      </c>
      <c r="E656" s="1" t="n">
        <v>46316</v>
      </c>
      <c r="F656" t="inlineStr">
        <is>
          <t>VÄRMLANDS LÄN</t>
        </is>
      </c>
      <c r="G656" t="inlineStr">
        <is>
          <t>ARVIKA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29156-2025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45821</v>
      </c>
      <c r="E657" s="1" t="n">
        <v>46316</v>
      </c>
      <c r="F657" t="inlineStr">
        <is>
          <t>VÄRMLANDS LÄN</t>
        </is>
      </c>
      <c r="G657" t="inlineStr">
        <is>
          <t>ARVIKA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33605-2024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46316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48462-2023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45206</v>
      </c>
      <c r="E659" s="1" t="n">
        <v>46316</v>
      </c>
      <c r="F659" t="inlineStr">
        <is>
          <t>VÄRMLANDS LÄN</t>
        </is>
      </c>
      <c r="G659" t="inlineStr">
        <is>
          <t>ARVIKA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61008-2024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45645</v>
      </c>
      <c r="E660" s="1" t="n">
        <v>46316</v>
      </c>
      <c r="F660" t="inlineStr">
        <is>
          <t>VÄRMLANDS LÄN</t>
        </is>
      </c>
      <c r="G660" t="inlineStr">
        <is>
          <t>ARVIKA</t>
        </is>
      </c>
      <c r="I660" t="n">
        <v>38.7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53964-2024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45616</v>
      </c>
      <c r="E661" s="1" t="n">
        <v>46316</v>
      </c>
      <c r="F661" t="inlineStr">
        <is>
          <t>VÄRMLANDS LÄN</t>
        </is>
      </c>
      <c r="G661" t="inlineStr">
        <is>
          <t>ARVIKA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44270-2022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44839</v>
      </c>
      <c r="E662" s="1" t="n">
        <v>46316</v>
      </c>
      <c r="F662" t="inlineStr">
        <is>
          <t>VÄRMLANDS LÄN</t>
        </is>
      </c>
      <c r="G662" t="inlineStr">
        <is>
          <t>ARVIKA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33641-2024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45520</v>
      </c>
      <c r="E663" s="1" t="n">
        <v>46316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35250-2025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45853</v>
      </c>
      <c r="E664" s="1" t="n">
        <v>46316</v>
      </c>
      <c r="F664" t="inlineStr">
        <is>
          <t>VÄRMLANDS LÄN</t>
        </is>
      </c>
      <c r="G664" t="inlineStr">
        <is>
          <t>ARVIKA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45728</v>
      </c>
      <c r="E665" s="1" t="n">
        <v>46316</v>
      </c>
      <c r="F665" t="inlineStr">
        <is>
          <t>VÄRMLANDS LÄN</t>
        </is>
      </c>
      <c r="G665" t="inlineStr">
        <is>
          <t>ARVIKA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46316</v>
      </c>
      <c r="F666" t="inlineStr">
        <is>
          <t>VÄRMLANDS LÄN</t>
        </is>
      </c>
      <c r="G666" t="inlineStr">
        <is>
          <t>ARVIKA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51075-2025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45946</v>
      </c>
      <c r="E667" s="1" t="n">
        <v>46316</v>
      </c>
      <c r="F667" t="inlineStr">
        <is>
          <t>VÄRMLANDS LÄN</t>
        </is>
      </c>
      <c r="G667" t="inlineStr">
        <is>
          <t>ARVIKA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19932-2024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45433</v>
      </c>
      <c r="E668" s="1" t="n">
        <v>46316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41713-2025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45902</v>
      </c>
      <c r="E669" s="1" t="n">
        <v>46316</v>
      </c>
      <c r="F669" t="inlineStr">
        <is>
          <t>VÄRMLANDS LÄN</t>
        </is>
      </c>
      <c r="G669" t="inlineStr">
        <is>
          <t>ARVIKA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41714-2025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46316</v>
      </c>
      <c r="F670" t="inlineStr">
        <is>
          <t>VÄRMLANDS LÄN</t>
        </is>
      </c>
      <c r="G670" t="inlineStr">
        <is>
          <t>ARVIKA</t>
        </is>
      </c>
      <c r="I670" t="n">
        <v>6.8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45786</v>
      </c>
      <c r="E671" s="1" t="n">
        <v>46316</v>
      </c>
      <c r="F671" t="inlineStr">
        <is>
          <t>VÄRMLANDS LÄN</t>
        </is>
      </c>
      <c r="G671" t="inlineStr">
        <is>
          <t>ARVIKA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8061-2025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45707</v>
      </c>
      <c r="E672" s="1" t="n">
        <v>46316</v>
      </c>
      <c r="F672" t="inlineStr">
        <is>
          <t>VÄRMLANDS LÄN</t>
        </is>
      </c>
      <c r="G672" t="inlineStr">
        <is>
          <t>ARVIKA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50914-2024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45602</v>
      </c>
      <c r="E673" s="1" t="n">
        <v>46316</v>
      </c>
      <c r="F673" t="inlineStr">
        <is>
          <t>VÄRMLANDS LÄN</t>
        </is>
      </c>
      <c r="G673" t="inlineStr">
        <is>
          <t>ARVIKA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37029-2025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45874</v>
      </c>
      <c r="E674" s="1" t="n">
        <v>46316</v>
      </c>
      <c r="F674" t="inlineStr">
        <is>
          <t>VÄRMLANDS LÄN</t>
        </is>
      </c>
      <c r="G674" t="inlineStr">
        <is>
          <t>ARVIKA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37030-2025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45874</v>
      </c>
      <c r="E675" s="1" t="n">
        <v>46316</v>
      </c>
      <c r="F675" t="inlineStr">
        <is>
          <t>VÄRMLANDS LÄN</t>
        </is>
      </c>
      <c r="G675" t="inlineStr">
        <is>
          <t>ARVIKA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37031-2025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45874</v>
      </c>
      <c r="E676" s="1" t="n">
        <v>46316</v>
      </c>
      <c r="F676" t="inlineStr">
        <is>
          <t>VÄRMLANDS LÄN</t>
        </is>
      </c>
      <c r="G676" t="inlineStr">
        <is>
          <t>ARVIKA</t>
        </is>
      </c>
      <c r="I676" t="n">
        <v>12.4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38549-2025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45884</v>
      </c>
      <c r="E677" s="1" t="n">
        <v>46316</v>
      </c>
      <c r="F677" t="inlineStr">
        <is>
          <t>VÄRMLANDS LÄN</t>
        </is>
      </c>
      <c r="G677" t="inlineStr">
        <is>
          <t>ARVIKA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36826-2025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45874</v>
      </c>
      <c r="E678" s="1" t="n">
        <v>46316</v>
      </c>
      <c r="F678" t="inlineStr">
        <is>
          <t>VÄRMLANDS LÄN</t>
        </is>
      </c>
      <c r="G678" t="inlineStr">
        <is>
          <t>ARVIKA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36852-2025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45874</v>
      </c>
      <c r="E679" s="1" t="n">
        <v>46316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18477-2025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45762</v>
      </c>
      <c r="E680" s="1" t="n">
        <v>46316</v>
      </c>
      <c r="F680" t="inlineStr">
        <is>
          <t>VÄRMLANDS LÄN</t>
        </is>
      </c>
      <c r="G680" t="inlineStr">
        <is>
          <t>ARVIKA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41712-2025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45902</v>
      </c>
      <c r="E681" s="1" t="n">
        <v>46316</v>
      </c>
      <c r="F681" t="inlineStr">
        <is>
          <t>VÄRMLANDS LÄN</t>
        </is>
      </c>
      <c r="G681" t="inlineStr">
        <is>
          <t>ARVIKA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22485-2025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45786</v>
      </c>
      <c r="E682" s="1" t="n">
        <v>46316</v>
      </c>
      <c r="F682" t="inlineStr">
        <is>
          <t>VÄRMLANDS LÄN</t>
        </is>
      </c>
      <c r="G682" t="inlineStr">
        <is>
          <t>ARVIKA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31083-2023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46316</v>
      </c>
      <c r="F683" t="inlineStr">
        <is>
          <t>VÄRMLANDS LÄN</t>
        </is>
      </c>
      <c r="G683" t="inlineStr">
        <is>
          <t>ARVIKA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45645</v>
      </c>
      <c r="E684" s="1" t="n">
        <v>46316</v>
      </c>
      <c r="F684" t="inlineStr">
        <is>
          <t>VÄRMLANDS LÄN</t>
        </is>
      </c>
      <c r="G684" t="inlineStr">
        <is>
          <t>ARVIKA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43935-2024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45572</v>
      </c>
      <c r="E685" s="1" t="n">
        <v>46316</v>
      </c>
      <c r="F685" t="inlineStr">
        <is>
          <t>VÄRMLANDS LÄN</t>
        </is>
      </c>
      <c r="G685" t="inlineStr">
        <is>
          <t>ARVIKA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59172-2025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45988</v>
      </c>
      <c r="E686" s="1" t="n">
        <v>46316</v>
      </c>
      <c r="F686" t="inlineStr">
        <is>
          <t>VÄRMLANDS LÄN</t>
        </is>
      </c>
      <c r="G686" t="inlineStr">
        <is>
          <t>ARVIKA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13982-2024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46316</v>
      </c>
      <c r="F687" t="inlineStr">
        <is>
          <t>VÄRMLANDS LÄN</t>
        </is>
      </c>
      <c r="G687" t="inlineStr">
        <is>
          <t>ARVIKA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60059-2022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44909</v>
      </c>
      <c r="E688" s="1" t="n">
        <v>46316</v>
      </c>
      <c r="F688" t="inlineStr">
        <is>
          <t>VÄRMLANDS LÄN</t>
        </is>
      </c>
      <c r="G688" t="inlineStr">
        <is>
          <t>ARVIKA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59100-2024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45637</v>
      </c>
      <c r="E689" s="1" t="n">
        <v>46316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45877</v>
      </c>
      <c r="E690" s="1" t="n">
        <v>46316</v>
      </c>
      <c r="F690" t="inlineStr">
        <is>
          <t>VÄRMLANDS LÄN</t>
        </is>
      </c>
      <c r="G690" t="inlineStr">
        <is>
          <t>ARVIKA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45166</v>
      </c>
      <c r="E691" s="1" t="n">
        <v>46316</v>
      </c>
      <c r="F691" t="inlineStr">
        <is>
          <t>VÄRMLANDS LÄN</t>
        </is>
      </c>
      <c r="G691" t="inlineStr">
        <is>
          <t>ARVIKA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13399-2022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44645</v>
      </c>
      <c r="E692" s="1" t="n">
        <v>46316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8854-2023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44978</v>
      </c>
      <c r="E693" s="1" t="n">
        <v>46316</v>
      </c>
      <c r="F693" t="inlineStr">
        <is>
          <t>VÄRMLANDS LÄN</t>
        </is>
      </c>
      <c r="G693" t="inlineStr">
        <is>
          <t>ARVIKA</t>
        </is>
      </c>
      <c r="H693" t="inlineStr">
        <is>
          <t>Kyrkan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32503-2024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45513</v>
      </c>
      <c r="E694" s="1" t="n">
        <v>46316</v>
      </c>
      <c r="F694" t="inlineStr">
        <is>
          <t>VÄRMLANDS LÄN</t>
        </is>
      </c>
      <c r="G694" t="inlineStr">
        <is>
          <t>ARVIKA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45309</v>
      </c>
      <c r="E695" s="1" t="n">
        <v>46316</v>
      </c>
      <c r="F695" t="inlineStr">
        <is>
          <t>VÄRMLANDS LÄN</t>
        </is>
      </c>
      <c r="G695" t="inlineStr">
        <is>
          <t>ARVIKA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39073-2022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44817</v>
      </c>
      <c r="E696" s="1" t="n">
        <v>46316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18269-2025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45762</v>
      </c>
      <c r="E697" s="1" t="n">
        <v>46316</v>
      </c>
      <c r="F697" t="inlineStr">
        <is>
          <t>VÄRMLANDS LÄN</t>
        </is>
      </c>
      <c r="G697" t="inlineStr">
        <is>
          <t>ARVIKA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4997-2025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45691</v>
      </c>
      <c r="E698" s="1" t="n">
        <v>46316</v>
      </c>
      <c r="F698" t="inlineStr">
        <is>
          <t>VÄRMLANDS LÄN</t>
        </is>
      </c>
      <c r="G698" t="inlineStr">
        <is>
          <t>ARVIKA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48457-2023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45206</v>
      </c>
      <c r="E699" s="1" t="n">
        <v>46316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20716-2026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46141</v>
      </c>
      <c r="E700" s="1" t="n">
        <v>46316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20725-2026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46316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9285-2023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44980</v>
      </c>
      <c r="E702" s="1" t="n">
        <v>46316</v>
      </c>
      <c r="F702" t="inlineStr">
        <is>
          <t>VÄRMLANDS LÄN</t>
        </is>
      </c>
      <c r="G702" t="inlineStr">
        <is>
          <t>ARVIKA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37838-2025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45881</v>
      </c>
      <c r="E703" s="1" t="n">
        <v>46316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41127-2024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45559</v>
      </c>
      <c r="E704" s="1" t="n">
        <v>46316</v>
      </c>
      <c r="F704" t="inlineStr">
        <is>
          <t>VÄRMLANDS LÄN</t>
        </is>
      </c>
      <c r="G704" t="inlineStr">
        <is>
          <t>ARVIKA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45660</v>
      </c>
      <c r="E705" s="1" t="n">
        <v>46316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45324</v>
      </c>
      <c r="E706" s="1" t="n">
        <v>46316</v>
      </c>
      <c r="F706" t="inlineStr">
        <is>
          <t>VÄRMLANDS LÄN</t>
        </is>
      </c>
      <c r="G706" t="inlineStr">
        <is>
          <t>ARVIKA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37836-2025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45881</v>
      </c>
      <c r="E707" s="1" t="n">
        <v>46316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46141</v>
      </c>
      <c r="E708" s="1" t="n">
        <v>46316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11696-2026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46084</v>
      </c>
      <c r="E709" s="1" t="n">
        <v>46316</v>
      </c>
      <c r="F709" t="inlineStr">
        <is>
          <t>VÄRMLANDS LÄN</t>
        </is>
      </c>
      <c r="G709" t="inlineStr">
        <is>
          <t>ARVIKA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44985</v>
      </c>
      <c r="E710" s="1" t="n">
        <v>46316</v>
      </c>
      <c r="F710" t="inlineStr">
        <is>
          <t>VÄRMLANDS LÄN</t>
        </is>
      </c>
      <c r="G710" t="inlineStr">
        <is>
          <t>ARVIKA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9574-2024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45360</v>
      </c>
      <c r="E711" s="1" t="n">
        <v>46316</v>
      </c>
      <c r="F711" t="inlineStr">
        <is>
          <t>VÄRMLANDS LÄN</t>
        </is>
      </c>
      <c r="G711" t="inlineStr">
        <is>
          <t>ARVIKA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32009-2022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44778</v>
      </c>
      <c r="E712" s="1" t="n">
        <v>46316</v>
      </c>
      <c r="F712" t="inlineStr">
        <is>
          <t>VÄRMLANDS LÄN</t>
        </is>
      </c>
      <c r="G712" t="inlineStr">
        <is>
          <t>ARVIKA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45300</v>
      </c>
      <c r="E713" s="1" t="n">
        <v>46316</v>
      </c>
      <c r="F713" t="inlineStr">
        <is>
          <t>VÄRMLANDS LÄN</t>
        </is>
      </c>
      <c r="G713" t="inlineStr">
        <is>
          <t>ARVIKA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38311-2025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45883</v>
      </c>
      <c r="E714" s="1" t="n">
        <v>46316</v>
      </c>
      <c r="F714" t="inlineStr">
        <is>
          <t>VÄRMLANDS LÄN</t>
        </is>
      </c>
      <c r="G714" t="inlineStr">
        <is>
          <t>ARVIKA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14829-2022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44656</v>
      </c>
      <c r="E715" s="1" t="n">
        <v>46316</v>
      </c>
      <c r="F715" t="inlineStr">
        <is>
          <t>VÄRMLANDS LÄN</t>
        </is>
      </c>
      <c r="G715" t="inlineStr">
        <is>
          <t>ARVIKA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45484</v>
      </c>
      <c r="E716" s="1" t="n">
        <v>46316</v>
      </c>
      <c r="F716" t="inlineStr">
        <is>
          <t>VÄRMLANDS LÄN</t>
        </is>
      </c>
      <c r="G716" t="inlineStr">
        <is>
          <t>ARVIKA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38141-2025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45882</v>
      </c>
      <c r="E717" s="1" t="n">
        <v>46316</v>
      </c>
      <c r="F717" t="inlineStr">
        <is>
          <t>VÄRMLANDS LÄN</t>
        </is>
      </c>
      <c r="G717" t="inlineStr">
        <is>
          <t>ARVIKA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61908-2022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44917</v>
      </c>
      <c r="E718" s="1" t="n">
        <v>46316</v>
      </c>
      <c r="F718" t="inlineStr">
        <is>
          <t>VÄRMLANDS LÄN</t>
        </is>
      </c>
      <c r="G718" t="inlineStr">
        <is>
          <t>ARVIKA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62485-2022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44924</v>
      </c>
      <c r="E719" s="1" t="n">
        <v>46316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45703</v>
      </c>
      <c r="E720" s="1" t="n">
        <v>46316</v>
      </c>
      <c r="F720" t="inlineStr">
        <is>
          <t>VÄRMLANDS LÄN</t>
        </is>
      </c>
      <c r="G720" t="inlineStr">
        <is>
          <t>ARVIKA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38513-2025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46316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38504-2025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45884</v>
      </c>
      <c r="E722" s="1" t="n">
        <v>46316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44005-2023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45188</v>
      </c>
      <c r="E723" s="1" t="n">
        <v>46316</v>
      </c>
      <c r="F723" t="inlineStr">
        <is>
          <t>VÄRMLANDS LÄN</t>
        </is>
      </c>
      <c r="G723" t="inlineStr">
        <is>
          <t>ARVIKA</t>
        </is>
      </c>
      <c r="I723" t="n">
        <v>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22316-2023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46316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9061-2023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44979</v>
      </c>
      <c r="E725" s="1" t="n">
        <v>46316</v>
      </c>
      <c r="F725" t="inlineStr">
        <is>
          <t>VÄRMLANDS LÄN</t>
        </is>
      </c>
      <c r="G725" t="inlineStr">
        <is>
          <t>ARVIKA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41310-2023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46316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26321-2023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45091</v>
      </c>
      <c r="E727" s="1" t="n">
        <v>46316</v>
      </c>
      <c r="F727" t="inlineStr">
        <is>
          <t>VÄRMLANDS LÄN</t>
        </is>
      </c>
      <c r="G727" t="inlineStr">
        <is>
          <t>ARVIKA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26324-2023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45091</v>
      </c>
      <c r="E728" s="1" t="n">
        <v>46316</v>
      </c>
      <c r="F728" t="inlineStr">
        <is>
          <t>VÄRMLANDS LÄN</t>
        </is>
      </c>
      <c r="G728" t="inlineStr">
        <is>
          <t>ARVIKA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45659</v>
      </c>
      <c r="E729" s="1" t="n">
        <v>46316</v>
      </c>
      <c r="F729" t="inlineStr">
        <is>
          <t>VÄRMLANDS LÄN</t>
        </is>
      </c>
      <c r="G729" t="inlineStr">
        <is>
          <t>ARVIKA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45090</v>
      </c>
      <c r="E730" s="1" t="n">
        <v>46316</v>
      </c>
      <c r="F730" t="inlineStr">
        <is>
          <t>VÄRMLANDS LÄN</t>
        </is>
      </c>
      <c r="G730" t="inlineStr">
        <is>
          <t>ARVIKA</t>
        </is>
      </c>
      <c r="I730" t="n">
        <v>6.6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32619-2023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45121</v>
      </c>
      <c r="E731" s="1" t="n">
        <v>46316</v>
      </c>
      <c r="F731" t="inlineStr">
        <is>
          <t>VÄRMLANDS LÄN</t>
        </is>
      </c>
      <c r="G731" t="inlineStr">
        <is>
          <t>ARVIKA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19928-2024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45433</v>
      </c>
      <c r="E732" s="1" t="n">
        <v>46316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19930-2024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45433</v>
      </c>
      <c r="E733" s="1" t="n">
        <v>46316</v>
      </c>
      <c r="F733" t="inlineStr">
        <is>
          <t>VÄRMLANDS LÄN</t>
        </is>
      </c>
      <c r="G733" t="inlineStr">
        <is>
          <t>ARVIKA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74330-2021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44559</v>
      </c>
      <c r="E734" s="1" t="n">
        <v>46316</v>
      </c>
      <c r="F734" t="inlineStr">
        <is>
          <t>VÄRMLANDS LÄN</t>
        </is>
      </c>
      <c r="G734" t="inlineStr">
        <is>
          <t>ARVIKA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21667-2026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46149</v>
      </c>
      <c r="E735" s="1" t="n">
        <v>46316</v>
      </c>
      <c r="F735" t="inlineStr">
        <is>
          <t>VÄRMLANDS LÄN</t>
        </is>
      </c>
      <c r="G735" t="inlineStr">
        <is>
          <t>ARVIKA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21719-2026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46149</v>
      </c>
      <c r="E736" s="1" t="n">
        <v>46316</v>
      </c>
      <c r="F736" t="inlineStr">
        <is>
          <t>VÄRMLANDS LÄN</t>
        </is>
      </c>
      <c r="G736" t="inlineStr">
        <is>
          <t>ARVIKA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7198-2024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45344</v>
      </c>
      <c r="E737" s="1" t="n">
        <v>46316</v>
      </c>
      <c r="F737" t="inlineStr">
        <is>
          <t>VÄRMLANDS LÄN</t>
        </is>
      </c>
      <c r="G737" t="inlineStr">
        <is>
          <t>ARVIKA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54929-2025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45967</v>
      </c>
      <c r="E738" s="1" t="n">
        <v>46316</v>
      </c>
      <c r="F738" t="inlineStr">
        <is>
          <t>VÄRMLANDS LÄN</t>
        </is>
      </c>
      <c r="G738" t="inlineStr">
        <is>
          <t>ARVIKA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26090-2022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44734</v>
      </c>
      <c r="E739" s="1" t="n">
        <v>46316</v>
      </c>
      <c r="F739" t="inlineStr">
        <is>
          <t>VÄRMLANDS LÄN</t>
        </is>
      </c>
      <c r="G739" t="inlineStr">
        <is>
          <t>ARVIKA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14780-2024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45397</v>
      </c>
      <c r="E740" s="1" t="n">
        <v>46316</v>
      </c>
      <c r="F740" t="inlineStr">
        <is>
          <t>VÄRMLANDS LÄN</t>
        </is>
      </c>
      <c r="G740" t="inlineStr">
        <is>
          <t>ARVIKA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1411-2025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45667</v>
      </c>
      <c r="E741" s="1" t="n">
        <v>46316</v>
      </c>
      <c r="F741" t="inlineStr">
        <is>
          <t>VÄRMLANDS LÄN</t>
        </is>
      </c>
      <c r="G741" t="inlineStr">
        <is>
          <t>ARVIKA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10475-2025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45720</v>
      </c>
      <c r="E742" s="1" t="n">
        <v>46316</v>
      </c>
      <c r="F742" t="inlineStr">
        <is>
          <t>VÄRMLANDS LÄN</t>
        </is>
      </c>
      <c r="G742" t="inlineStr">
        <is>
          <t>ARVIKA</t>
        </is>
      </c>
      <c r="H742" t="inlineStr">
        <is>
          <t>Kyrkan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44256-2025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46316</v>
      </c>
      <c r="F743" t="inlineStr">
        <is>
          <t>VÄRMLANDS LÄN</t>
        </is>
      </c>
      <c r="G743" t="inlineStr">
        <is>
          <t>ARVIKA</t>
        </is>
      </c>
      <c r="H743" t="inlineStr">
        <is>
          <t>Kyrkan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54652-2024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45618</v>
      </c>
      <c r="E744" s="1" t="n">
        <v>46316</v>
      </c>
      <c r="F744" t="inlineStr">
        <is>
          <t>VÄRMLANDS LÄN</t>
        </is>
      </c>
      <c r="G744" t="inlineStr">
        <is>
          <t>ARVIKA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53243-2024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45613</v>
      </c>
      <c r="E745" s="1" t="n">
        <v>46316</v>
      </c>
      <c r="F745" t="inlineStr">
        <is>
          <t>VÄRMLANDS LÄN</t>
        </is>
      </c>
      <c r="G745" t="inlineStr">
        <is>
          <t>ARVIKA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45446-2025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45922</v>
      </c>
      <c r="E746" s="1" t="n">
        <v>46316</v>
      </c>
      <c r="F746" t="inlineStr">
        <is>
          <t>VÄRMLANDS LÄN</t>
        </is>
      </c>
      <c r="G746" t="inlineStr">
        <is>
          <t>ARVIKA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45631</v>
      </c>
      <c r="E747" s="1" t="n">
        <v>46316</v>
      </c>
      <c r="F747" t="inlineStr">
        <is>
          <t>VÄRMLANDS LÄN</t>
        </is>
      </c>
      <c r="G747" t="inlineStr">
        <is>
          <t>ARVIKA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40033-2023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45168</v>
      </c>
      <c r="E748" s="1" t="n">
        <v>46316</v>
      </c>
      <c r="F748" t="inlineStr">
        <is>
          <t>VÄRMLANDS LÄN</t>
        </is>
      </c>
      <c r="G748" t="inlineStr">
        <is>
          <t>ARVIKA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45316</v>
      </c>
      <c r="E749" s="1" t="n">
        <v>46316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45296</v>
      </c>
      <c r="E750" s="1" t="n">
        <v>46316</v>
      </c>
      <c r="F750" t="inlineStr">
        <is>
          <t>VÄRMLANDS LÄN</t>
        </is>
      </c>
      <c r="G750" t="inlineStr">
        <is>
          <t>ARVIKA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45971-2024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45580</v>
      </c>
      <c r="E751" s="1" t="n">
        <v>46316</v>
      </c>
      <c r="F751" t="inlineStr">
        <is>
          <t>VÄRMLANDS LÄN</t>
        </is>
      </c>
      <c r="G751" t="inlineStr">
        <is>
          <t>ARVIKA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32856-2023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45124</v>
      </c>
      <c r="E752" s="1" t="n">
        <v>46316</v>
      </c>
      <c r="F752" t="inlineStr">
        <is>
          <t>VÄRMLANDS LÄN</t>
        </is>
      </c>
      <c r="G752" t="inlineStr">
        <is>
          <t>ARVIKA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46316</v>
      </c>
      <c r="F753" t="inlineStr">
        <is>
          <t>VÄRMLANDS LÄN</t>
        </is>
      </c>
      <c r="G753" t="inlineStr">
        <is>
          <t>ARVIKA</t>
        </is>
      </c>
      <c r="H753" t="inlineStr">
        <is>
          <t>Kommuner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58153-2022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44900</v>
      </c>
      <c r="E754" s="1" t="n">
        <v>46316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54158-2024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45616</v>
      </c>
      <c r="E755" s="1" t="n">
        <v>46316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46316</v>
      </c>
      <c r="F756" t="inlineStr">
        <is>
          <t>VÄRMLANDS LÄN</t>
        </is>
      </c>
      <c r="G756" t="inlineStr">
        <is>
          <t>ARVIKA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33885-2024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45523</v>
      </c>
      <c r="E757" s="1" t="n">
        <v>46316</v>
      </c>
      <c r="F757" t="inlineStr">
        <is>
          <t>VÄRMLANDS LÄN</t>
        </is>
      </c>
      <c r="G757" t="inlineStr">
        <is>
          <t>ARVIKA</t>
        </is>
      </c>
      <c r="I757" t="n">
        <v>5.4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42299-2023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45180</v>
      </c>
      <c r="E758" s="1" t="n">
        <v>46316</v>
      </c>
      <c r="F758" t="inlineStr">
        <is>
          <t>VÄRMLANDS LÄN</t>
        </is>
      </c>
      <c r="G758" t="inlineStr">
        <is>
          <t>ARVIKA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23169-2026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46161</v>
      </c>
      <c r="E759" s="1" t="n">
        <v>46316</v>
      </c>
      <c r="F759" t="inlineStr">
        <is>
          <t>VÄRMLANDS LÄN</t>
        </is>
      </c>
      <c r="G759" t="inlineStr">
        <is>
          <t>ARVIKA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27153-2024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45471</v>
      </c>
      <c r="E760" s="1" t="n">
        <v>46316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58399-2022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44901</v>
      </c>
      <c r="E761" s="1" t="n">
        <v>46316</v>
      </c>
      <c r="F761" t="inlineStr">
        <is>
          <t>VÄRMLANDS LÄN</t>
        </is>
      </c>
      <c r="G761" t="inlineStr">
        <is>
          <t>ARVIKA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46316</v>
      </c>
      <c r="F762" t="inlineStr">
        <is>
          <t>VÄRMLANDS LÄN</t>
        </is>
      </c>
      <c r="G762" t="inlineStr">
        <is>
          <t>ARVIKA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14551-2023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45013</v>
      </c>
      <c r="E763" s="1" t="n">
        <v>46316</v>
      </c>
      <c r="F763" t="inlineStr">
        <is>
          <t>VÄRMLANDS LÄN</t>
        </is>
      </c>
      <c r="G763" t="inlineStr">
        <is>
          <t>ARVIKA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8789-2023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44978</v>
      </c>
      <c r="E764" s="1" t="n">
        <v>46316</v>
      </c>
      <c r="F764" t="inlineStr">
        <is>
          <t>VÄRMLANDS LÄN</t>
        </is>
      </c>
      <c r="G764" t="inlineStr">
        <is>
          <t>ARVIKA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45329</v>
      </c>
      <c r="E765" s="1" t="n">
        <v>46316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24702-2025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46316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13690-2026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46097</v>
      </c>
      <c r="E767" s="1" t="n">
        <v>46316</v>
      </c>
      <c r="F767" t="inlineStr">
        <is>
          <t>VÄRMLANDS LÄN</t>
        </is>
      </c>
      <c r="G767" t="inlineStr">
        <is>
          <t>ARVIKA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4238-2025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45685</v>
      </c>
      <c r="E768" s="1" t="n">
        <v>46316</v>
      </c>
      <c r="F768" t="inlineStr">
        <is>
          <t>VÄRMLANDS LÄN</t>
        </is>
      </c>
      <c r="G768" t="inlineStr">
        <is>
          <t>ARVIKA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46163</v>
      </c>
      <c r="E769" s="1" t="n">
        <v>46316</v>
      </c>
      <c r="F769" t="inlineStr">
        <is>
          <t>VÄRMLANDS LÄN</t>
        </is>
      </c>
      <c r="G769" t="inlineStr">
        <is>
          <t>ARVIKA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7741-2025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46316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23279-2026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46162</v>
      </c>
      <c r="E771" s="1" t="n">
        <v>46316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23401-2026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46316</v>
      </c>
      <c r="F772" t="inlineStr">
        <is>
          <t>VÄRMLANDS LÄN</t>
        </is>
      </c>
      <c r="G772" t="inlineStr">
        <is>
          <t>ARVIKA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46316</v>
      </c>
      <c r="F773" t="inlineStr">
        <is>
          <t>VÄRMLANDS LÄN</t>
        </is>
      </c>
      <c r="G773" t="inlineStr">
        <is>
          <t>ARVIKA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23903-2026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46316</v>
      </c>
      <c r="F774" t="inlineStr">
        <is>
          <t>VÄRMLANDS LÄN</t>
        </is>
      </c>
      <c r="G774" t="inlineStr">
        <is>
          <t>ARVIKA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23909-2026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46167</v>
      </c>
      <c r="E775" s="1" t="n">
        <v>46316</v>
      </c>
      <c r="F775" t="inlineStr">
        <is>
          <t>VÄRMLANDS LÄN</t>
        </is>
      </c>
      <c r="G775" t="inlineStr">
        <is>
          <t>ARVIKA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51729-2024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45607</v>
      </c>
      <c r="E776" s="1" t="n">
        <v>46316</v>
      </c>
      <c r="F776" t="inlineStr">
        <is>
          <t>VÄRMLANDS LÄN</t>
        </is>
      </c>
      <c r="G776" t="inlineStr">
        <is>
          <t>ARVIKA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48451-2024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45590</v>
      </c>
      <c r="E777" s="1" t="n">
        <v>46316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7792-2025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45706</v>
      </c>
      <c r="E778" s="1" t="n">
        <v>46316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51658-2023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45222</v>
      </c>
      <c r="E779" s="1" t="n">
        <v>46316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29578-2022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44754</v>
      </c>
      <c r="E780" s="1" t="n">
        <v>46316</v>
      </c>
      <c r="F780" t="inlineStr">
        <is>
          <t>VÄRMLANDS LÄN</t>
        </is>
      </c>
      <c r="G780" t="inlineStr">
        <is>
          <t>ARVIKA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15917-2023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45022</v>
      </c>
      <c r="E781" s="1" t="n">
        <v>46316</v>
      </c>
      <c r="F781" t="inlineStr">
        <is>
          <t>VÄRMLANDS LÄN</t>
        </is>
      </c>
      <c r="G781" t="inlineStr">
        <is>
          <t>ARVIKA</t>
        </is>
      </c>
      <c r="I781" t="n">
        <v>18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24167-2026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46168</v>
      </c>
      <c r="E782" s="1" t="n">
        <v>46316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17387-2024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45414</v>
      </c>
      <c r="E783" s="1" t="n">
        <v>46316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24304-2026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46169</v>
      </c>
      <c r="E784" s="1" t="n">
        <v>46316</v>
      </c>
      <c r="F784" t="inlineStr">
        <is>
          <t>VÄRMLANDS LÄN</t>
        </is>
      </c>
      <c r="G784" t="inlineStr">
        <is>
          <t>ARVIKA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46316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49913-2024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45597</v>
      </c>
      <c r="E786" s="1" t="n">
        <v>46316</v>
      </c>
      <c r="F786" t="inlineStr">
        <is>
          <t>VÄRMLANDS LÄN</t>
        </is>
      </c>
      <c r="G786" t="inlineStr">
        <is>
          <t>ARVIKA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24993-2026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46174</v>
      </c>
      <c r="E787" s="1" t="n">
        <v>46316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63128-2023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45273</v>
      </c>
      <c r="E788" s="1" t="n">
        <v>46316</v>
      </c>
      <c r="F788" t="inlineStr">
        <is>
          <t>VÄRMLANDS LÄN</t>
        </is>
      </c>
      <c r="G788" t="inlineStr">
        <is>
          <t>ARVIKA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24997-2026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46316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4299-2022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44588</v>
      </c>
      <c r="E790" s="1" t="n">
        <v>46316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24890-2026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46316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24913-2026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46174</v>
      </c>
      <c r="E792" s="1" t="n">
        <v>46316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46379-2023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46316</v>
      </c>
      <c r="F793" t="inlineStr">
        <is>
          <t>VÄRMLANDS LÄN</t>
        </is>
      </c>
      <c r="G793" t="inlineStr">
        <is>
          <t>ARVIKA</t>
        </is>
      </c>
      <c r="H793" t="inlineStr">
        <is>
          <t>Kyrkan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25931-2023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45090</v>
      </c>
      <c r="E794" s="1" t="n">
        <v>46316</v>
      </c>
      <c r="F794" t="inlineStr">
        <is>
          <t>VÄRMLANDS LÄN</t>
        </is>
      </c>
      <c r="G794" t="inlineStr">
        <is>
          <t>ARVIKA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74129-2021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44557</v>
      </c>
      <c r="E795" s="1" t="n">
        <v>46316</v>
      </c>
      <c r="F795" t="inlineStr">
        <is>
          <t>VÄRMLANDS LÄN</t>
        </is>
      </c>
      <c r="G795" t="inlineStr">
        <is>
          <t>ARVIKA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43978-2024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45572</v>
      </c>
      <c r="E796" s="1" t="n">
        <v>46316</v>
      </c>
      <c r="F796" t="inlineStr">
        <is>
          <t>VÄRMLANDS LÄN</t>
        </is>
      </c>
      <c r="G796" t="inlineStr">
        <is>
          <t>ARVIKA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45076</v>
      </c>
      <c r="E797" s="1" t="n">
        <v>46316</v>
      </c>
      <c r="F797" t="inlineStr">
        <is>
          <t>VÄRMLANDS LÄN</t>
        </is>
      </c>
      <c r="G797" t="inlineStr">
        <is>
          <t>ARVIKA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51300-2024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45604</v>
      </c>
      <c r="E798" s="1" t="n">
        <v>46316</v>
      </c>
      <c r="F798" t="inlineStr">
        <is>
          <t>VÄRMLANDS LÄN</t>
        </is>
      </c>
      <c r="G798" t="inlineStr">
        <is>
          <t>ARVIKA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32280-2023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45120</v>
      </c>
      <c r="E799" s="1" t="n">
        <v>46316</v>
      </c>
      <c r="F799" t="inlineStr">
        <is>
          <t>VÄRMLANDS LÄN</t>
        </is>
      </c>
      <c r="G799" t="inlineStr">
        <is>
          <t>ARVIKA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69354-2021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44531</v>
      </c>
      <c r="E800" s="1" t="n">
        <v>46316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6237-2025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45698</v>
      </c>
      <c r="E801" s="1" t="n">
        <v>46316</v>
      </c>
      <c r="F801" t="inlineStr">
        <is>
          <t>VÄRMLANDS LÄN</t>
        </is>
      </c>
      <c r="G801" t="inlineStr">
        <is>
          <t>ARVIKA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29067-2022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44750</v>
      </c>
      <c r="E802" s="1" t="n">
        <v>46316</v>
      </c>
      <c r="F802" t="inlineStr">
        <is>
          <t>VÄRMLANDS LÄN</t>
        </is>
      </c>
      <c r="G802" t="inlineStr">
        <is>
          <t>ARVIKA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25813-2026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46178</v>
      </c>
      <c r="E803" s="1" t="n">
        <v>46316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44928</v>
      </c>
      <c r="E804" s="1" t="n">
        <v>46316</v>
      </c>
      <c r="F804" t="inlineStr">
        <is>
          <t>VÄRMLANDS LÄN</t>
        </is>
      </c>
      <c r="G804" t="inlineStr">
        <is>
          <t>ARVIKA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20106-2022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44697</v>
      </c>
      <c r="E805" s="1" t="n">
        <v>46316</v>
      </c>
      <c r="F805" t="inlineStr">
        <is>
          <t>VÄRMLANDS LÄN</t>
        </is>
      </c>
      <c r="G805" t="inlineStr">
        <is>
          <t>ARVIKA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25802-2026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46178</v>
      </c>
      <c r="E806" s="1" t="n">
        <v>46316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9721-2025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45716</v>
      </c>
      <c r="E807" s="1" t="n">
        <v>46316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13188-2023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45002</v>
      </c>
      <c r="E808" s="1" t="n">
        <v>46316</v>
      </c>
      <c r="F808" t="inlineStr">
        <is>
          <t>VÄRMLANDS LÄN</t>
        </is>
      </c>
      <c r="G808" t="inlineStr">
        <is>
          <t>ARVIKA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26175-2024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45468</v>
      </c>
      <c r="E809" s="1" t="n">
        <v>46316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25960-2026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46181</v>
      </c>
      <c r="E810" s="1" t="n">
        <v>46316</v>
      </c>
      <c r="F810" t="inlineStr">
        <is>
          <t>VÄRMLANDS LÄN</t>
        </is>
      </c>
      <c r="G810" t="inlineStr">
        <is>
          <t>ARVIKA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46316</v>
      </c>
      <c r="F811" t="inlineStr">
        <is>
          <t>VÄRMLANDS LÄN</t>
        </is>
      </c>
      <c r="G811" t="inlineStr">
        <is>
          <t>ARVIKA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46175</v>
      </c>
      <c r="E812" s="1" t="n">
        <v>46316</v>
      </c>
      <c r="F812" t="inlineStr">
        <is>
          <t>VÄRMLANDS LÄN</t>
        </is>
      </c>
      <c r="G812" t="inlineStr">
        <is>
          <t>ARVIKA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41235-2024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45559</v>
      </c>
      <c r="E813" s="1" t="n">
        <v>46316</v>
      </c>
      <c r="F813" t="inlineStr">
        <is>
          <t>VÄRMLANDS LÄN</t>
        </is>
      </c>
      <c r="G813" t="inlineStr">
        <is>
          <t>ARVIKA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26378-2026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46316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21188-2023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45057</v>
      </c>
      <c r="E815" s="1" t="n">
        <v>46316</v>
      </c>
      <c r="F815" t="inlineStr">
        <is>
          <t>VÄRMLANDS LÄN</t>
        </is>
      </c>
      <c r="G815" t="inlineStr">
        <is>
          <t>ARVIKA</t>
        </is>
      </c>
      <c r="I815" t="n">
        <v>9.699999999999999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48449-2024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46316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27287-2026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46188</v>
      </c>
      <c r="E817" s="1" t="n">
        <v>46316</v>
      </c>
      <c r="F817" t="inlineStr">
        <is>
          <t>VÄRMLANDS LÄN</t>
        </is>
      </c>
      <c r="G817" t="inlineStr">
        <is>
          <t>ARVIKA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46316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14467-2023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45012</v>
      </c>
      <c r="E819" s="1" t="n">
        <v>46316</v>
      </c>
      <c r="F819" t="inlineStr">
        <is>
          <t>VÄRMLANDS LÄN</t>
        </is>
      </c>
      <c r="G819" t="inlineStr">
        <is>
          <t>ARVIKA</t>
        </is>
      </c>
      <c r="I819" t="n">
        <v>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11091-2023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44992</v>
      </c>
      <c r="E820" s="1" t="n">
        <v>46316</v>
      </c>
      <c r="F820" t="inlineStr">
        <is>
          <t>VÄRMLANDS LÄN</t>
        </is>
      </c>
      <c r="G820" t="inlineStr">
        <is>
          <t>ARVIKA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46316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27355-2026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46316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46316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46316</v>
      </c>
      <c r="F824" t="inlineStr">
        <is>
          <t>VÄRMLANDS LÄN</t>
        </is>
      </c>
      <c r="G824" t="inlineStr">
        <is>
          <t>ARVIKA</t>
        </is>
      </c>
      <c r="I824" t="n">
        <v>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20349-2025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45775</v>
      </c>
      <c r="E825" s="1" t="n">
        <v>46316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18344-2024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45422</v>
      </c>
      <c r="E826" s="1" t="n">
        <v>46316</v>
      </c>
      <c r="F826" t="inlineStr">
        <is>
          <t>VÄRMLANDS LÄN</t>
        </is>
      </c>
      <c r="G826" t="inlineStr">
        <is>
          <t>ARVIKA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46316</v>
      </c>
      <c r="F827" t="inlineStr">
        <is>
          <t>VÄRMLANDS LÄN</t>
        </is>
      </c>
      <c r="G827" t="inlineStr">
        <is>
          <t>ARVIKA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46316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27035-2026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46316</v>
      </c>
      <c r="F829" t="inlineStr">
        <is>
          <t>VÄRMLANDS LÄN</t>
        </is>
      </c>
      <c r="G829" t="inlineStr">
        <is>
          <t>ARVIKA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60343-2025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45994</v>
      </c>
      <c r="E830" s="1" t="n">
        <v>46316</v>
      </c>
      <c r="F830" t="inlineStr">
        <is>
          <t>VÄRMLANDS LÄN</t>
        </is>
      </c>
      <c r="G830" t="inlineStr">
        <is>
          <t>ARVIKA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27535-2026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46190</v>
      </c>
      <c r="E831" s="1" t="n">
        <v>46316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46316</v>
      </c>
      <c r="F832" t="inlineStr">
        <is>
          <t>VÄRMLANDS LÄN</t>
        </is>
      </c>
      <c r="G832" t="inlineStr">
        <is>
          <t>ARVIKA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46316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46191</v>
      </c>
      <c r="E834" s="1" t="n">
        <v>46316</v>
      </c>
      <c r="F834" t="inlineStr">
        <is>
          <t>VÄRMLANDS LÄN</t>
        </is>
      </c>
      <c r="G834" t="inlineStr">
        <is>
          <t>ARVIKA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50847-2024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46316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2564-2025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45674</v>
      </c>
      <c r="E836" s="1" t="n">
        <v>46316</v>
      </c>
      <c r="F836" t="inlineStr">
        <is>
          <t>VÄRMLANDS LÄN</t>
        </is>
      </c>
      <c r="G836" t="inlineStr">
        <is>
          <t>ARVIKA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42050-2024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45561</v>
      </c>
      <c r="E837" s="1" t="n">
        <v>46316</v>
      </c>
      <c r="F837" t="inlineStr">
        <is>
          <t>VÄRMLANDS LÄN</t>
        </is>
      </c>
      <c r="G837" t="inlineStr">
        <is>
          <t>ARVIKA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44922</v>
      </c>
      <c r="E838" s="1" t="n">
        <v>46316</v>
      </c>
      <c r="F838" t="inlineStr">
        <is>
          <t>VÄRMLANDS LÄN</t>
        </is>
      </c>
      <c r="G838" t="inlineStr">
        <is>
          <t>ARVIKA</t>
        </is>
      </c>
      <c r="I838" t="n">
        <v>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44941</v>
      </c>
      <c r="E839" s="1" t="n">
        <v>46316</v>
      </c>
      <c r="F839" t="inlineStr">
        <is>
          <t>VÄRMLANDS LÄN</t>
        </is>
      </c>
      <c r="G839" t="inlineStr">
        <is>
          <t>ARVIKA</t>
        </is>
      </c>
      <c r="I839" t="n">
        <v>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46316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19425-2024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45429</v>
      </c>
      <c r="E841" s="1" t="n">
        <v>46316</v>
      </c>
      <c r="F841" t="inlineStr">
        <is>
          <t>VÄRMLANDS LÄN</t>
        </is>
      </c>
      <c r="G841" t="inlineStr">
        <is>
          <t>ARVIKA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28083-2026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46316</v>
      </c>
      <c r="F842" t="inlineStr">
        <is>
          <t>VÄRMLANDS LÄN</t>
        </is>
      </c>
      <c r="G842" t="inlineStr">
        <is>
          <t>ARVIKA</t>
        </is>
      </c>
      <c r="I842" t="n">
        <v>4.6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28084-2026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46195</v>
      </c>
      <c r="E843" s="1" t="n">
        <v>46316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28275-2026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46196</v>
      </c>
      <c r="E844" s="1" t="n">
        <v>46316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32176-2022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44780</v>
      </c>
      <c r="E845" s="1" t="n">
        <v>46316</v>
      </c>
      <c r="F845" t="inlineStr">
        <is>
          <t>VÄRMLANDS LÄN</t>
        </is>
      </c>
      <c r="G845" t="inlineStr">
        <is>
          <t>ARVIKA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28209-2026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46196</v>
      </c>
      <c r="E846" s="1" t="n">
        <v>46316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28373-2026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46196</v>
      </c>
      <c r="E847" s="1" t="n">
        <v>46316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28831-2026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46316</v>
      </c>
      <c r="F848" t="inlineStr">
        <is>
          <t>VÄRMLANDS LÄN</t>
        </is>
      </c>
      <c r="G848" t="inlineStr">
        <is>
          <t>ARVIKA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28833-2026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46316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28491-2026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46316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37658-2023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45159</v>
      </c>
      <c r="E851" s="1" t="n">
        <v>46316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58133-2022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44900</v>
      </c>
      <c r="E852" s="1" t="n">
        <v>46316</v>
      </c>
      <c r="F852" t="inlineStr">
        <is>
          <t>VÄRMLANDS LÄN</t>
        </is>
      </c>
      <c r="G852" t="inlineStr">
        <is>
          <t>ARVIKA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28606-2026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46197</v>
      </c>
      <c r="E853" s="1" t="n">
        <v>46316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28779-2026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46316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45299</v>
      </c>
      <c r="E855" s="1" t="n">
        <v>46316</v>
      </c>
      <c r="F855" t="inlineStr">
        <is>
          <t>VÄRMLANDS LÄN</t>
        </is>
      </c>
      <c r="G855" t="inlineStr">
        <is>
          <t>ARVIKA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46316</v>
      </c>
      <c r="F856" t="inlineStr">
        <is>
          <t>VÄRMLANDS LÄN</t>
        </is>
      </c>
      <c r="G856" t="inlineStr">
        <is>
          <t>ARVIKA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28549-2026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46316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46197</v>
      </c>
      <c r="E858" s="1" t="n">
        <v>46316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28554-2026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46316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44941</v>
      </c>
      <c r="E860" s="1" t="n">
        <v>46316</v>
      </c>
      <c r="F860" t="inlineStr">
        <is>
          <t>VÄRMLANDS LÄN</t>
        </is>
      </c>
      <c r="G860" t="inlineStr">
        <is>
          <t>ARVIKA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3610-2025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45681</v>
      </c>
      <c r="E861" s="1" t="n">
        <v>46316</v>
      </c>
      <c r="F861" t="inlineStr">
        <is>
          <t>VÄRMLANDS LÄN</t>
        </is>
      </c>
      <c r="G861" t="inlineStr">
        <is>
          <t>ARVIKA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20319-2025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45775</v>
      </c>
      <c r="E862" s="1" t="n">
        <v>46316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6978-2025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45701</v>
      </c>
      <c r="E863" s="1" t="n">
        <v>46316</v>
      </c>
      <c r="F863" t="inlineStr">
        <is>
          <t>VÄRMLANDS LÄN</t>
        </is>
      </c>
      <c r="G863" t="inlineStr">
        <is>
          <t>ARVIKA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50678-2024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45601</v>
      </c>
      <c r="E864" s="1" t="n">
        <v>46316</v>
      </c>
      <c r="F864" t="inlineStr">
        <is>
          <t>VÄRMLANDS LÄN</t>
        </is>
      </c>
      <c r="G864" t="inlineStr">
        <is>
          <t>ARVIKA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19764-2022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44694</v>
      </c>
      <c r="E865" s="1" t="n">
        <v>46316</v>
      </c>
      <c r="F865" t="inlineStr">
        <is>
          <t>VÄRMLANDS LÄN</t>
        </is>
      </c>
      <c r="G865" t="inlineStr">
        <is>
          <t>ARVIKA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64664-2021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44512</v>
      </c>
      <c r="E866" s="1" t="n">
        <v>46316</v>
      </c>
      <c r="F866" t="inlineStr">
        <is>
          <t>VÄRMLANDS LÄN</t>
        </is>
      </c>
      <c r="G866" t="inlineStr">
        <is>
          <t>ARVIKA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37854-2023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45158</v>
      </c>
      <c r="E867" s="1" t="n">
        <v>46316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29441-2026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46203</v>
      </c>
      <c r="E868" s="1" t="n">
        <v>46316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45678</v>
      </c>
      <c r="E869" s="1" t="n">
        <v>46316</v>
      </c>
      <c r="F869" t="inlineStr">
        <is>
          <t>VÄRMLANDS LÄN</t>
        </is>
      </c>
      <c r="G869" t="inlineStr">
        <is>
          <t>ARVIKA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49295-2023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45210</v>
      </c>
      <c r="E870" s="1" t="n">
        <v>46316</v>
      </c>
      <c r="F870" t="inlineStr">
        <is>
          <t>VÄRMLANDS LÄN</t>
        </is>
      </c>
      <c r="G870" t="inlineStr">
        <is>
          <t>ARVIKA</t>
        </is>
      </c>
      <c r="I870" t="n">
        <v>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36655-2025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46316</v>
      </c>
      <c r="F871" t="inlineStr">
        <is>
          <t>VÄRMLANDS LÄN</t>
        </is>
      </c>
      <c r="G871" t="inlineStr">
        <is>
          <t>ARVIKA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17484-2023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45036</v>
      </c>
      <c r="E872" s="1" t="n">
        <v>46316</v>
      </c>
      <c r="F872" t="inlineStr">
        <is>
          <t>VÄRMLANDS LÄN</t>
        </is>
      </c>
      <c r="G872" t="inlineStr">
        <is>
          <t>ARVIKA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29659-2026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46204</v>
      </c>
      <c r="E873" s="1" t="n">
        <v>46316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29665-2026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46204</v>
      </c>
      <c r="E874" s="1" t="n">
        <v>46316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4.3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30020-2026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46316</v>
      </c>
      <c r="F875" t="inlineStr">
        <is>
          <t>VÄRMLANDS LÄN</t>
        </is>
      </c>
      <c r="G875" t="inlineStr">
        <is>
          <t>ARVIKA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45132-2023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45191</v>
      </c>
      <c r="E876" s="1" t="n">
        <v>46316</v>
      </c>
      <c r="F876" t="inlineStr">
        <is>
          <t>VÄRMLANDS LÄN</t>
        </is>
      </c>
      <c r="G876" t="inlineStr">
        <is>
          <t>ARVIKA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46205</v>
      </c>
      <c r="E877" s="1" t="n">
        <v>46316</v>
      </c>
      <c r="F877" t="inlineStr">
        <is>
          <t>VÄRMLANDS LÄN</t>
        </is>
      </c>
      <c r="G877" t="inlineStr">
        <is>
          <t>ARVIKA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45293</v>
      </c>
      <c r="E878" s="1" t="n">
        <v>46316</v>
      </c>
      <c r="F878" t="inlineStr">
        <is>
          <t>VÄRMLANDS LÄN</t>
        </is>
      </c>
      <c r="G878" t="inlineStr">
        <is>
          <t>ARVIKA</t>
        </is>
      </c>
      <c r="H878" t="inlineStr">
        <is>
          <t>Kyrkan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46316</v>
      </c>
      <c r="F879" t="inlineStr">
        <is>
          <t>VÄRMLANDS LÄN</t>
        </is>
      </c>
      <c r="G879" t="inlineStr">
        <is>
          <t>ARVIKA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44922</v>
      </c>
      <c r="E880" s="1" t="n">
        <v>46316</v>
      </c>
      <c r="F880" t="inlineStr">
        <is>
          <t>VÄRMLANDS LÄN</t>
        </is>
      </c>
      <c r="G880" t="inlineStr">
        <is>
          <t>ARVIKA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30119-2026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46206</v>
      </c>
      <c r="E881" s="1" t="n">
        <v>46316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14626-2025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45742</v>
      </c>
      <c r="E882" s="1" t="n">
        <v>46316</v>
      </c>
      <c r="F882" t="inlineStr">
        <is>
          <t>VÄRMLANDS LÄN</t>
        </is>
      </c>
      <c r="G882" t="inlineStr">
        <is>
          <t>ARVIKA</t>
        </is>
      </c>
      <c r="I882" t="n">
        <v>14.9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4430-2023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44956</v>
      </c>
      <c r="E883" s="1" t="n">
        <v>46316</v>
      </c>
      <c r="F883" t="inlineStr">
        <is>
          <t>VÄRMLANDS LÄN</t>
        </is>
      </c>
      <c r="G883" t="inlineStr">
        <is>
          <t>ARVIKA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26863-2024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45470</v>
      </c>
      <c r="E884" s="1" t="n">
        <v>46316</v>
      </c>
      <c r="F884" t="inlineStr">
        <is>
          <t>VÄRMLANDS LÄN</t>
        </is>
      </c>
      <c r="G884" t="inlineStr">
        <is>
          <t>ARVIKA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59014-2022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44903</v>
      </c>
      <c r="E885" s="1" t="n">
        <v>46316</v>
      </c>
      <c r="F885" t="inlineStr">
        <is>
          <t>VÄRMLANDS LÄN</t>
        </is>
      </c>
      <c r="G885" t="inlineStr">
        <is>
          <t>ARVIKA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13074-2023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45001</v>
      </c>
      <c r="E886" s="1" t="n">
        <v>46316</v>
      </c>
      <c r="F886" t="inlineStr">
        <is>
          <t>VÄRMLANDS LÄN</t>
        </is>
      </c>
      <c r="G886" t="inlineStr">
        <is>
          <t>ARVIKA</t>
        </is>
      </c>
      <c r="I886" t="n">
        <v>21.1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25077-2025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45799</v>
      </c>
      <c r="E887" s="1" t="n">
        <v>46316</v>
      </c>
      <c r="F887" t="inlineStr">
        <is>
          <t>VÄRMLANDS LÄN</t>
        </is>
      </c>
      <c r="G887" t="inlineStr">
        <is>
          <t>ARVIKA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11178-2022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44629</v>
      </c>
      <c r="E888" s="1" t="n">
        <v>46316</v>
      </c>
      <c r="F888" t="inlineStr">
        <is>
          <t>VÄRMLANDS LÄN</t>
        </is>
      </c>
      <c r="G888" t="inlineStr">
        <is>
          <t>ARVIKA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19320-2024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45428</v>
      </c>
      <c r="E889" s="1" t="n">
        <v>46316</v>
      </c>
      <c r="F889" t="inlineStr">
        <is>
          <t>VÄRMLANDS LÄN</t>
        </is>
      </c>
      <c r="G889" t="inlineStr">
        <is>
          <t>ARVIKA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44588</v>
      </c>
      <c r="E890" s="1" t="n">
        <v>46316</v>
      </c>
      <c r="F890" t="inlineStr">
        <is>
          <t>VÄRMLANDS LÄN</t>
        </is>
      </c>
      <c r="G890" t="inlineStr">
        <is>
          <t>ARVIKA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31124-2026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46216</v>
      </c>
      <c r="E891" s="1" t="n">
        <v>46316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31109-2026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46216</v>
      </c>
      <c r="E892" s="1" t="n">
        <v>46316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47239-2022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44852</v>
      </c>
      <c r="E893" s="1" t="n">
        <v>46316</v>
      </c>
      <c r="F893" t="inlineStr">
        <is>
          <t>VÄRMLANDS LÄN</t>
        </is>
      </c>
      <c r="G893" t="inlineStr">
        <is>
          <t>ARVIKA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25520-2024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45463</v>
      </c>
      <c r="E894" s="1" t="n">
        <v>46316</v>
      </c>
      <c r="F894" t="inlineStr">
        <is>
          <t>VÄRMLANDS LÄN</t>
        </is>
      </c>
      <c r="G894" t="inlineStr">
        <is>
          <t>ARVIKA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45260</v>
      </c>
      <c r="E895" s="1" t="n">
        <v>46316</v>
      </c>
      <c r="F895" t="inlineStr">
        <is>
          <t>VÄRMLANDS LÄN</t>
        </is>
      </c>
      <c r="G895" t="inlineStr">
        <is>
          <t>ARVIKA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31282-2026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46218</v>
      </c>
      <c r="E896" s="1" t="n">
        <v>46316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24620-2024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45460</v>
      </c>
      <c r="E897" s="1" t="n">
        <v>46316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50263-2022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46316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52943-2024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45610</v>
      </c>
      <c r="E899" s="1" t="n">
        <v>46316</v>
      </c>
      <c r="F899" t="inlineStr">
        <is>
          <t>VÄRMLANDS LÄN</t>
        </is>
      </c>
      <c r="G899" t="inlineStr">
        <is>
          <t>ARVIKA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45665</v>
      </c>
      <c r="E900" s="1" t="n">
        <v>46316</v>
      </c>
      <c r="F900" t="inlineStr">
        <is>
          <t>VÄRMLANDS LÄN</t>
        </is>
      </c>
      <c r="G900" t="inlineStr">
        <is>
          <t>ARVIKA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45665</v>
      </c>
      <c r="E901" s="1" t="n">
        <v>46316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58586-2023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45251</v>
      </c>
      <c r="E902" s="1" t="n">
        <v>46316</v>
      </c>
      <c r="F902" t="inlineStr">
        <is>
          <t>VÄRMLANDS LÄN</t>
        </is>
      </c>
      <c r="G902" t="inlineStr">
        <is>
          <t>ARVIKA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31436-2026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46220</v>
      </c>
      <c r="E903" s="1" t="n">
        <v>46316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56710-2022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44893</v>
      </c>
      <c r="E904" s="1" t="n">
        <v>46316</v>
      </c>
      <c r="F904" t="inlineStr">
        <is>
          <t>VÄRMLANDS LÄN</t>
        </is>
      </c>
      <c r="G904" t="inlineStr">
        <is>
          <t>ARVIKA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31374-2026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46219</v>
      </c>
      <c r="E905" s="1" t="n">
        <v>46316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24329-2023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45081</v>
      </c>
      <c r="E906" s="1" t="n">
        <v>46316</v>
      </c>
      <c r="F906" t="inlineStr">
        <is>
          <t>VÄRMLANDS LÄN</t>
        </is>
      </c>
      <c r="G906" t="inlineStr">
        <is>
          <t>ARVIKA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3980-2023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44952</v>
      </c>
      <c r="E907" s="1" t="n">
        <v>46316</v>
      </c>
      <c r="F907" t="inlineStr">
        <is>
          <t>VÄRMLANDS LÄN</t>
        </is>
      </c>
      <c r="G907" t="inlineStr">
        <is>
          <t>ARVIKA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37852-2023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45158</v>
      </c>
      <c r="E908" s="1" t="n">
        <v>46316</v>
      </c>
      <c r="F908" t="inlineStr">
        <is>
          <t>VÄRMLANDS LÄN</t>
        </is>
      </c>
      <c r="G908" t="inlineStr">
        <is>
          <t>ARVIKA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19586-2025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45770</v>
      </c>
      <c r="E909" s="1" t="n">
        <v>46316</v>
      </c>
      <c r="F909" t="inlineStr">
        <is>
          <t>VÄRMLANDS LÄN</t>
        </is>
      </c>
      <c r="G909" t="inlineStr">
        <is>
          <t>ARVIKA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19591-2025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45770</v>
      </c>
      <c r="E910" s="1" t="n">
        <v>46316</v>
      </c>
      <c r="F910" t="inlineStr">
        <is>
          <t>VÄRMLANDS LÄN</t>
        </is>
      </c>
      <c r="G910" t="inlineStr">
        <is>
          <t>ARVIKA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31752-2026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46227</v>
      </c>
      <c r="E911" s="1" t="n">
        <v>46316</v>
      </c>
      <c r="F911" t="inlineStr">
        <is>
          <t>VÄRMLANDS LÄN</t>
        </is>
      </c>
      <c r="G911" t="inlineStr">
        <is>
          <t>ARVIKA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31981-2026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46232</v>
      </c>
      <c r="E912" s="1" t="n">
        <v>46316</v>
      </c>
      <c r="F912" t="inlineStr">
        <is>
          <t>VÄRMLANDS LÄN</t>
        </is>
      </c>
      <c r="G912" t="inlineStr">
        <is>
          <t>ARVIKA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37323-2026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46275</v>
      </c>
      <c r="E913" s="1" t="n">
        <v>46316</v>
      </c>
      <c r="F913" t="inlineStr">
        <is>
          <t>VÄRMLANDS LÄN</t>
        </is>
      </c>
      <c r="G913" t="inlineStr">
        <is>
          <t>ARVIKA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2849-2023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44945</v>
      </c>
      <c r="E914" s="1" t="n">
        <v>46316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37465-2026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46275</v>
      </c>
      <c r="E915" s="1" t="n">
        <v>46316</v>
      </c>
      <c r="F915" t="inlineStr">
        <is>
          <t>VÄRMLANDS LÄN</t>
        </is>
      </c>
      <c r="G915" t="inlineStr">
        <is>
          <t>ARVIKA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37319-2026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46275</v>
      </c>
      <c r="E916" s="1" t="n">
        <v>46316</v>
      </c>
      <c r="F916" t="inlineStr">
        <is>
          <t>VÄRMLANDS LÄN</t>
        </is>
      </c>
      <c r="G916" t="inlineStr">
        <is>
          <t>ARVIKA</t>
        </is>
      </c>
      <c r="I916" t="n">
        <v>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21523-2023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45063</v>
      </c>
      <c r="E917" s="1" t="n">
        <v>46316</v>
      </c>
      <c r="F917" t="inlineStr">
        <is>
          <t>VÄRMLANDS LÄN</t>
        </is>
      </c>
      <c r="G917" t="inlineStr">
        <is>
          <t>ARVIKA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31931-2026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46232</v>
      </c>
      <c r="E918" s="1" t="n">
        <v>46316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31926-2026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46231</v>
      </c>
      <c r="E919" s="1" t="n">
        <v>46316</v>
      </c>
      <c r="F919" t="inlineStr">
        <is>
          <t>VÄRMLANDS LÄN</t>
        </is>
      </c>
      <c r="G919" t="inlineStr">
        <is>
          <t>ARVIKA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31927-2026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46231</v>
      </c>
      <c r="E920" s="1" t="n">
        <v>46316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4466-2025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45686</v>
      </c>
      <c r="E921" s="1" t="n">
        <v>46316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60595-2022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44906</v>
      </c>
      <c r="E922" s="1" t="n">
        <v>46316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60607-2022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44906</v>
      </c>
      <c r="E923" s="1" t="n">
        <v>46316</v>
      </c>
      <c r="F923" t="inlineStr">
        <is>
          <t>VÄRMLANDS LÄN</t>
        </is>
      </c>
      <c r="G923" t="inlineStr">
        <is>
          <t>ARVIKA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37768-2026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46279</v>
      </c>
      <c r="E924" s="1" t="n">
        <v>46316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71399-2021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44540</v>
      </c>
      <c r="E925" s="1" t="n">
        <v>46316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32082-2026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46234</v>
      </c>
      <c r="E926" s="1" t="n">
        <v>46316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45908-2022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44846</v>
      </c>
      <c r="E927" s="1" t="n">
        <v>46316</v>
      </c>
      <c r="F927" t="inlineStr">
        <is>
          <t>VÄRMLANDS LÄN</t>
        </is>
      </c>
      <c r="G927" t="inlineStr">
        <is>
          <t>ARVIKA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37829-2026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46279</v>
      </c>
      <c r="E928" s="1" t="n">
        <v>46316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71886-2021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44543</v>
      </c>
      <c r="E929" s="1" t="n">
        <v>46316</v>
      </c>
      <c r="F929" t="inlineStr">
        <is>
          <t>VÄRMLANDS LÄN</t>
        </is>
      </c>
      <c r="G929" t="inlineStr">
        <is>
          <t>ARVIKA</t>
        </is>
      </c>
      <c r="I929" t="n">
        <v>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47534-2024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45587</v>
      </c>
      <c r="E930" s="1" t="n">
        <v>46316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13671-2025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45736</v>
      </c>
      <c r="E931" s="1" t="n">
        <v>46316</v>
      </c>
      <c r="F931" t="inlineStr">
        <is>
          <t>VÄRMLANDS LÄN</t>
        </is>
      </c>
      <c r="G931" t="inlineStr">
        <is>
          <t>ARVIKA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47383-2023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45202</v>
      </c>
      <c r="E932" s="1" t="n">
        <v>46316</v>
      </c>
      <c r="F932" t="inlineStr">
        <is>
          <t>VÄRMLANDS LÄN</t>
        </is>
      </c>
      <c r="G932" t="inlineStr">
        <is>
          <t>ARVIKA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37763-2026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46279</v>
      </c>
      <c r="E933" s="1" t="n">
        <v>46316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32041-2026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46233</v>
      </c>
      <c r="E934" s="1" t="n">
        <v>46316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4.5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32231-2026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46237</v>
      </c>
      <c r="E935" s="1" t="n">
        <v>46316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12.4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44519-2023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45189</v>
      </c>
      <c r="E936" s="1" t="n">
        <v>46316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12020-2023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44995</v>
      </c>
      <c r="E937" s="1" t="n">
        <v>46316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21464-2023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45063</v>
      </c>
      <c r="E938" s="1" t="n">
        <v>46316</v>
      </c>
      <c r="F938" t="inlineStr">
        <is>
          <t>VÄRMLANDS LÄN</t>
        </is>
      </c>
      <c r="G938" t="inlineStr">
        <is>
          <t>ARVIKA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32160-2026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46237</v>
      </c>
      <c r="E939" s="1" t="n">
        <v>46316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46687-2023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45198</v>
      </c>
      <c r="E940" s="1" t="n">
        <v>46316</v>
      </c>
      <c r="F940" t="inlineStr">
        <is>
          <t>VÄRMLANDS LÄN</t>
        </is>
      </c>
      <c r="G940" t="inlineStr">
        <is>
          <t>ARVIKA</t>
        </is>
      </c>
      <c r="I940" t="n">
        <v>14.9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10513-2024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45366</v>
      </c>
      <c r="E941" s="1" t="n">
        <v>46316</v>
      </c>
      <c r="F941" t="inlineStr">
        <is>
          <t>VÄRMLANDS LÄN</t>
        </is>
      </c>
      <c r="G941" t="inlineStr">
        <is>
          <t>ARVIKA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22720-2024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45448</v>
      </c>
      <c r="E942" s="1" t="n">
        <v>46316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32496-2026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46239</v>
      </c>
      <c r="E943" s="1" t="n">
        <v>46316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26698-2023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45093</v>
      </c>
      <c r="E944" s="1" t="n">
        <v>46316</v>
      </c>
      <c r="F944" t="inlineStr">
        <is>
          <t>VÄRMLANDS LÄN</t>
        </is>
      </c>
      <c r="G944" t="inlineStr">
        <is>
          <t>ARVIKA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38681-2026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46283</v>
      </c>
      <c r="E945" s="1" t="n">
        <v>46316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8165-2024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45351</v>
      </c>
      <c r="E946" s="1" t="n">
        <v>46316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31703-2024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45508</v>
      </c>
      <c r="E947" s="1" t="n">
        <v>46316</v>
      </c>
      <c r="F947" t="inlineStr">
        <is>
          <t>VÄRMLANDS LÄN</t>
        </is>
      </c>
      <c r="G947" t="inlineStr">
        <is>
          <t>ARVIKA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4751-2022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44592</v>
      </c>
      <c r="E948" s="1" t="n">
        <v>46316</v>
      </c>
      <c r="F948" t="inlineStr">
        <is>
          <t>VÄRMLANDS LÄN</t>
        </is>
      </c>
      <c r="G948" t="inlineStr">
        <is>
          <t>ARVIKA</t>
        </is>
      </c>
      <c r="I948" t="n">
        <v>4.2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54756-2022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44883</v>
      </c>
      <c r="E949" s="1" t="n">
        <v>46316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50530-2023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45217</v>
      </c>
      <c r="E950" s="1" t="n">
        <v>46316</v>
      </c>
      <c r="F950" t="inlineStr">
        <is>
          <t>VÄRMLANDS LÄN</t>
        </is>
      </c>
      <c r="G950" t="inlineStr">
        <is>
          <t>ARVIKA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38590-2026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46283</v>
      </c>
      <c r="E951" s="1" t="n">
        <v>46316</v>
      </c>
      <c r="F951" t="inlineStr">
        <is>
          <t>VÄRMLANDS LÄN</t>
        </is>
      </c>
      <c r="G951" t="inlineStr">
        <is>
          <t>ARVIKA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32565-2026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46239</v>
      </c>
      <c r="E952" s="1" t="n">
        <v>46316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38435-2026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46282</v>
      </c>
      <c r="E953" s="1" t="n">
        <v>46316</v>
      </c>
      <c r="F953" t="inlineStr">
        <is>
          <t>VÄRMLANDS LÄN</t>
        </is>
      </c>
      <c r="G953" t="inlineStr">
        <is>
          <t>ARVIKA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38382-2026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46282</v>
      </c>
      <c r="E954" s="1" t="n">
        <v>46316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53993-2022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44881</v>
      </c>
      <c r="E955" s="1" t="n">
        <v>46316</v>
      </c>
      <c r="F955" t="inlineStr">
        <is>
          <t>VÄRMLANDS LÄN</t>
        </is>
      </c>
      <c r="G955" t="inlineStr">
        <is>
          <t>ARVIKA</t>
        </is>
      </c>
      <c r="I955" t="n">
        <v>7.2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38929-2026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46286</v>
      </c>
      <c r="E956" s="1" t="n">
        <v>46316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29392-2023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45106</v>
      </c>
      <c r="E957" s="1" t="n">
        <v>46316</v>
      </c>
      <c r="F957" t="inlineStr">
        <is>
          <t>VÄRMLANDS LÄN</t>
        </is>
      </c>
      <c r="G957" t="inlineStr">
        <is>
          <t>ARVIKA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7985-2025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45707</v>
      </c>
      <c r="E958" s="1" t="n">
        <v>46316</v>
      </c>
      <c r="F958" t="inlineStr">
        <is>
          <t>VÄRMLANDS LÄN</t>
        </is>
      </c>
      <c r="G958" t="inlineStr">
        <is>
          <t>ARVIKA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65036-2023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45287</v>
      </c>
      <c r="E959" s="1" t="n">
        <v>46316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4.1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51400-2022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44869</v>
      </c>
      <c r="E960" s="1" t="n">
        <v>46316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39052-2026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46287</v>
      </c>
      <c r="E961" s="1" t="n">
        <v>46316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16.2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39057-2026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46287</v>
      </c>
      <c r="E962" s="1" t="n">
        <v>46316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45882</v>
      </c>
      <c r="E963" s="1" t="n">
        <v>46316</v>
      </c>
      <c r="F963" t="inlineStr">
        <is>
          <t>VÄRMLANDS LÄN</t>
        </is>
      </c>
      <c r="G963" t="inlineStr">
        <is>
          <t>ARVIKA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32747-2026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46241</v>
      </c>
      <c r="E964" s="1" t="n">
        <v>46316</v>
      </c>
      <c r="F964" t="inlineStr">
        <is>
          <t>VÄRMLANDS LÄN</t>
        </is>
      </c>
      <c r="G964" t="inlineStr">
        <is>
          <t>ARVIKA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47191-2023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45202</v>
      </c>
      <c r="E965" s="1" t="n">
        <v>46316</v>
      </c>
      <c r="F965" t="inlineStr">
        <is>
          <t>VÄRMLANDS LÄN</t>
        </is>
      </c>
      <c r="G965" t="inlineStr">
        <is>
          <t>ARVIKA</t>
        </is>
      </c>
      <c r="I965" t="n">
        <v>7.7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42051-2024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45561</v>
      </c>
      <c r="E966" s="1" t="n">
        <v>46316</v>
      </c>
      <c r="F966" t="inlineStr">
        <is>
          <t>VÄRMLANDS LÄN</t>
        </is>
      </c>
      <c r="G966" t="inlineStr">
        <is>
          <t>ARVIKA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38943-2026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46286</v>
      </c>
      <c r="E967" s="1" t="n">
        <v>46316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38705-2022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44814</v>
      </c>
      <c r="E968" s="1" t="n">
        <v>46316</v>
      </c>
      <c r="F968" t="inlineStr">
        <is>
          <t>VÄRMLANDS LÄN</t>
        </is>
      </c>
      <c r="G968" t="inlineStr">
        <is>
          <t>ARVIKA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39118-2026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46287</v>
      </c>
      <c r="E969" s="1" t="n">
        <v>46316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13341-2023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45005</v>
      </c>
      <c r="E970" s="1" t="n">
        <v>46316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32854-2026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46244</v>
      </c>
      <c r="E971" s="1" t="n">
        <v>46316</v>
      </c>
      <c r="F971" t="inlineStr">
        <is>
          <t>VÄRMLANDS LÄN</t>
        </is>
      </c>
      <c r="G971" t="inlineStr">
        <is>
          <t>ARVIKA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33088-2022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44785</v>
      </c>
      <c r="E972" s="1" t="n">
        <v>46316</v>
      </c>
      <c r="F972" t="inlineStr">
        <is>
          <t>VÄRMLANDS LÄN</t>
        </is>
      </c>
      <c r="G972" t="inlineStr">
        <is>
          <t>ARVIKA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42894-2023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45182</v>
      </c>
      <c r="E973" s="1" t="n">
        <v>46316</v>
      </c>
      <c r="F973" t="inlineStr">
        <is>
          <t>VÄRMLANDS LÄN</t>
        </is>
      </c>
      <c r="G973" t="inlineStr">
        <is>
          <t>ARVIKA</t>
        </is>
      </c>
      <c r="I973" t="n">
        <v>4.5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21959-2023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45068</v>
      </c>
      <c r="E974" s="1" t="n">
        <v>46316</v>
      </c>
      <c r="F974" t="inlineStr">
        <is>
          <t>VÄRMLANDS LÄN</t>
        </is>
      </c>
      <c r="G974" t="inlineStr">
        <is>
          <t>ARVIKA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45063-2023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45191</v>
      </c>
      <c r="E975" s="1" t="n">
        <v>46316</v>
      </c>
      <c r="F975" t="inlineStr">
        <is>
          <t>VÄRMLANDS LÄN</t>
        </is>
      </c>
      <c r="G975" t="inlineStr">
        <is>
          <t>ARVIKA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54155-2024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45616</v>
      </c>
      <c r="E976" s="1" t="n">
        <v>46316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45069-2023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45191</v>
      </c>
      <c r="E977" s="1" t="n">
        <v>46316</v>
      </c>
      <c r="F977" t="inlineStr">
        <is>
          <t>VÄRMLANDS LÄN</t>
        </is>
      </c>
      <c r="G977" t="inlineStr">
        <is>
          <t>ARVIKA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45081-2023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45191</v>
      </c>
      <c r="E978" s="1" t="n">
        <v>46316</v>
      </c>
      <c r="F978" t="inlineStr">
        <is>
          <t>VÄRMLANDS LÄN</t>
        </is>
      </c>
      <c r="G978" t="inlineStr">
        <is>
          <t>ARVIKA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7685-2023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44972</v>
      </c>
      <c r="E979" s="1" t="n">
        <v>46316</v>
      </c>
      <c r="F979" t="inlineStr">
        <is>
          <t>VÄRMLANDS LÄN</t>
        </is>
      </c>
      <c r="G979" t="inlineStr">
        <is>
          <t>ARVIKA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39026-2026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46287</v>
      </c>
      <c r="E980" s="1" t="n">
        <v>46316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63627-2021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44496</v>
      </c>
      <c r="E981" s="1" t="n">
        <v>46316</v>
      </c>
      <c r="F981" t="inlineStr">
        <is>
          <t>VÄRMLANDS LÄN</t>
        </is>
      </c>
      <c r="G981" t="inlineStr">
        <is>
          <t>ARVIKA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7313-2022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44606</v>
      </c>
      <c r="E982" s="1" t="n">
        <v>46316</v>
      </c>
      <c r="F982" t="inlineStr">
        <is>
          <t>VÄRMLANDS LÄN</t>
        </is>
      </c>
      <c r="G982" t="inlineStr">
        <is>
          <t>ARVIKA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33079-2026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46244</v>
      </c>
      <c r="E983" s="1" t="n">
        <v>46316</v>
      </c>
      <c r="F983" t="inlineStr">
        <is>
          <t>VÄRMLANDS LÄN</t>
        </is>
      </c>
      <c r="G983" t="inlineStr">
        <is>
          <t>ARVIKA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39071-2026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46287</v>
      </c>
      <c r="E984" s="1" t="n">
        <v>46316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60593-2022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44906</v>
      </c>
      <c r="E985" s="1" t="n">
        <v>46316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60627-2022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44906</v>
      </c>
      <c r="E986" s="1" t="n">
        <v>46316</v>
      </c>
      <c r="F986" t="inlineStr">
        <is>
          <t>VÄRMLANDS LÄN</t>
        </is>
      </c>
      <c r="G986" t="inlineStr">
        <is>
          <t>ARVIKA</t>
        </is>
      </c>
      <c r="I986" t="n">
        <v>6.5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27578-2024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45474</v>
      </c>
      <c r="E987" s="1" t="n">
        <v>46316</v>
      </c>
      <c r="F987" t="inlineStr">
        <is>
          <t>VÄRMLANDS LÄN</t>
        </is>
      </c>
      <c r="G987" t="inlineStr">
        <is>
          <t>ARVIKA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46514-2025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45926</v>
      </c>
      <c r="E988" s="1" t="n">
        <v>46316</v>
      </c>
      <c r="F988" t="inlineStr">
        <is>
          <t>VÄRMLANDS LÄN</t>
        </is>
      </c>
      <c r="G988" t="inlineStr">
        <is>
          <t>ARVIKA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61927-2024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45653</v>
      </c>
      <c r="E989" s="1" t="n">
        <v>46316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58061-2024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45631</v>
      </c>
      <c r="E990" s="1" t="n">
        <v>46316</v>
      </c>
      <c r="F990" t="inlineStr">
        <is>
          <t>VÄRMLANDS LÄN</t>
        </is>
      </c>
      <c r="G990" t="inlineStr">
        <is>
          <t>ARVIKA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39574-2026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46289</v>
      </c>
      <c r="E991" s="1" t="n">
        <v>46316</v>
      </c>
      <c r="F991" t="inlineStr">
        <is>
          <t>VÄRMLANDS LÄN</t>
        </is>
      </c>
      <c r="G991" t="inlineStr">
        <is>
          <t>ARVIKA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47041-2024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45586</v>
      </c>
      <c r="E992" s="1" t="n">
        <v>46316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39313-2026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46288</v>
      </c>
      <c r="E993" s="1" t="n">
        <v>46316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26544-2023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45092</v>
      </c>
      <c r="E994" s="1" t="n">
        <v>46316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33264-2026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46246</v>
      </c>
      <c r="E995" s="1" t="n">
        <v>46316</v>
      </c>
      <c r="F995" t="inlineStr">
        <is>
          <t>VÄRMLANDS LÄN</t>
        </is>
      </c>
      <c r="G995" t="inlineStr">
        <is>
          <t>ARVIKA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37630-2024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45541</v>
      </c>
      <c r="E996" s="1" t="n">
        <v>46316</v>
      </c>
      <c r="F996" t="inlineStr">
        <is>
          <t>VÄRMLANDS LÄN</t>
        </is>
      </c>
      <c r="G996" t="inlineStr">
        <is>
          <t>ARVIKA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33654-2026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46248</v>
      </c>
      <c r="E997" s="1" t="n">
        <v>46316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35969-2022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44802</v>
      </c>
      <c r="E998" s="1" t="n">
        <v>46316</v>
      </c>
      <c r="F998" t="inlineStr">
        <is>
          <t>VÄRMLANDS LÄN</t>
        </is>
      </c>
      <c r="G998" t="inlineStr">
        <is>
          <t>ARVIKA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7686-2023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44972</v>
      </c>
      <c r="E999" s="1" t="n">
        <v>46316</v>
      </c>
      <c r="F999" t="inlineStr">
        <is>
          <t>VÄRMLANDS LÄN</t>
        </is>
      </c>
      <c r="G999" t="inlineStr">
        <is>
          <t>ARVIKA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10581-2023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44988</v>
      </c>
      <c r="E1000" s="1" t="n">
        <v>46316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40131-2026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46293</v>
      </c>
      <c r="E1001" s="1" t="n">
        <v>46316</v>
      </c>
      <c r="F1001" t="inlineStr">
        <is>
          <t>VÄRMLANDS LÄN</t>
        </is>
      </c>
      <c r="G1001" t="inlineStr">
        <is>
          <t>ARVIKA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21468-2023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45063</v>
      </c>
      <c r="E1002" s="1" t="n">
        <v>46316</v>
      </c>
      <c r="F1002" t="inlineStr">
        <is>
          <t>VÄRMLANDS LÄN</t>
        </is>
      </c>
      <c r="G1002" t="inlineStr">
        <is>
          <t>ARVIKA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40299-2023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45169</v>
      </c>
      <c r="E1003" s="1" t="n">
        <v>46316</v>
      </c>
      <c r="F1003" t="inlineStr">
        <is>
          <t>VÄRMLANDS LÄN</t>
        </is>
      </c>
      <c r="G1003" t="inlineStr">
        <is>
          <t>ARVIKA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33610-2026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46248</v>
      </c>
      <c r="E1004" s="1" t="n">
        <v>46316</v>
      </c>
      <c r="F1004" t="inlineStr">
        <is>
          <t>VÄRMLANDS LÄN</t>
        </is>
      </c>
      <c r="G1004" t="inlineStr">
        <is>
          <t>ARVIKA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33432-2026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46247</v>
      </c>
      <c r="E1005" s="1" t="n">
        <v>46316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46171-2023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45196</v>
      </c>
      <c r="E1006" s="1" t="n">
        <v>46316</v>
      </c>
      <c r="F1006" t="inlineStr">
        <is>
          <t>VÄRMLANDS LÄN</t>
        </is>
      </c>
      <c r="G1006" t="inlineStr">
        <is>
          <t>ARVIKA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14488-2025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45741</v>
      </c>
      <c r="E1007" s="1" t="n">
        <v>46316</v>
      </c>
      <c r="F1007" t="inlineStr">
        <is>
          <t>VÄRMLANDS LÄN</t>
        </is>
      </c>
      <c r="G1007" t="inlineStr">
        <is>
          <t>ARVIKA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41607-2023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45175</v>
      </c>
      <c r="E1008" s="1" t="n">
        <v>46316</v>
      </c>
      <c r="F1008" t="inlineStr">
        <is>
          <t>VÄRMLANDS LÄN</t>
        </is>
      </c>
      <c r="G1008" t="inlineStr">
        <is>
          <t>ARVIKA</t>
        </is>
      </c>
      <c r="I1008" t="n">
        <v>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33668-2026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46248</v>
      </c>
      <c r="E1009" s="1" t="n">
        <v>46316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33616-2026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46316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40074-2026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46293</v>
      </c>
      <c r="E1011" s="1" t="n">
        <v>46316</v>
      </c>
      <c r="F1011" t="inlineStr">
        <is>
          <t>VÄRMLANDS LÄN</t>
        </is>
      </c>
      <c r="G1011" t="inlineStr">
        <is>
          <t>ARVIKA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33639-2024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45520</v>
      </c>
      <c r="E1012" s="1" t="n">
        <v>46316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28411-2024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45477</v>
      </c>
      <c r="E1013" s="1" t="n">
        <v>46316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61864-2024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45650</v>
      </c>
      <c r="E1014" s="1" t="n">
        <v>46316</v>
      </c>
      <c r="F1014" t="inlineStr">
        <is>
          <t>VÄRMLANDS LÄN</t>
        </is>
      </c>
      <c r="G1014" t="inlineStr">
        <is>
          <t>ARVIKA</t>
        </is>
      </c>
      <c r="I1014" t="n">
        <v>13.3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59104-2024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45637</v>
      </c>
      <c r="E1015" s="1" t="n">
        <v>46316</v>
      </c>
      <c r="F1015" t="inlineStr">
        <is>
          <t>VÄRMLANDS LÄN</t>
        </is>
      </c>
      <c r="G1015" t="inlineStr">
        <is>
          <t>ARVIKA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32263-2024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45512</v>
      </c>
      <c r="E1016" s="1" t="n">
        <v>46316</v>
      </c>
      <c r="F1016" t="inlineStr">
        <is>
          <t>VÄRMLANDS LÄN</t>
        </is>
      </c>
      <c r="G1016" t="inlineStr">
        <is>
          <t>ARVIKA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54027-2025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45962</v>
      </c>
      <c r="E1017" s="1" t="n">
        <v>46316</v>
      </c>
      <c r="F1017" t="inlineStr">
        <is>
          <t>VÄRMLANDS LÄN</t>
        </is>
      </c>
      <c r="G1017" t="inlineStr">
        <is>
          <t>ARVIKA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40291-2026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46294</v>
      </c>
      <c r="E1018" s="1" t="n">
        <v>46316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47945-2024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46316</v>
      </c>
      <c r="F1019" t="inlineStr">
        <is>
          <t>VÄRMLANDS LÄN</t>
        </is>
      </c>
      <c r="G1019" t="inlineStr">
        <is>
          <t>ARVIKA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31452-2023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45114</v>
      </c>
      <c r="E1020" s="1" t="n">
        <v>46316</v>
      </c>
      <c r="F1020" t="inlineStr">
        <is>
          <t>VÄRMLANDS LÄN</t>
        </is>
      </c>
      <c r="G1020" t="inlineStr">
        <is>
          <t>ARVIKA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26703-2023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45093</v>
      </c>
      <c r="E1021" s="1" t="n">
        <v>46316</v>
      </c>
      <c r="F1021" t="inlineStr">
        <is>
          <t>VÄRMLANDS LÄN</t>
        </is>
      </c>
      <c r="G1021" t="inlineStr">
        <is>
          <t>ARVIKA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26710-2023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45093</v>
      </c>
      <c r="E1022" s="1" t="n">
        <v>46316</v>
      </c>
      <c r="F1022" t="inlineStr">
        <is>
          <t>VÄRMLANDS LÄN</t>
        </is>
      </c>
      <c r="G1022" t="inlineStr">
        <is>
          <t>ARVIKA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40251-2026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46294</v>
      </c>
      <c r="E1023" s="1" t="n">
        <v>46316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14622-2025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45742</v>
      </c>
      <c r="E1024" s="1" t="n">
        <v>46316</v>
      </c>
      <c r="F1024" t="inlineStr">
        <is>
          <t>VÄRMLANDS LÄN</t>
        </is>
      </c>
      <c r="G1024" t="inlineStr">
        <is>
          <t>ARVIKA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56430-2023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45243</v>
      </c>
      <c r="E1025" s="1" t="n">
        <v>46316</v>
      </c>
      <c r="F1025" t="inlineStr">
        <is>
          <t>VÄRMLANDS LÄN</t>
        </is>
      </c>
      <c r="G1025" t="inlineStr">
        <is>
          <t>ARVIKA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23813-2022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44722</v>
      </c>
      <c r="E1026" s="1" t="n">
        <v>46316</v>
      </c>
      <c r="F1026" t="inlineStr">
        <is>
          <t>VÄRMLANDS LÄN</t>
        </is>
      </c>
      <c r="G1026" t="inlineStr">
        <is>
          <t>ARVIKA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40451-2026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46294</v>
      </c>
      <c r="E1027" s="1" t="n">
        <v>46316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9321-2022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44616</v>
      </c>
      <c r="E1028" s="1" t="n">
        <v>46316</v>
      </c>
      <c r="F1028" t="inlineStr">
        <is>
          <t>VÄRMLANDS LÄN</t>
        </is>
      </c>
      <c r="G1028" t="inlineStr">
        <is>
          <t>ARVIKA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3643-2022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44586</v>
      </c>
      <c r="E1029" s="1" t="n">
        <v>46316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41493-2024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45560</v>
      </c>
      <c r="E1030" s="1" t="n">
        <v>46316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3.8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40330-2026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46294</v>
      </c>
      <c r="E1031" s="1" t="n">
        <v>46316</v>
      </c>
      <c r="F1031" t="inlineStr">
        <is>
          <t>VÄRMLANDS LÄN</t>
        </is>
      </c>
      <c r="G1031" t="inlineStr">
        <is>
          <t>ARVIKA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23660-2023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45077</v>
      </c>
      <c r="E1032" s="1" t="n">
        <v>46316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33745-2026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46251</v>
      </c>
      <c r="E1033" s="1" t="n">
        <v>46316</v>
      </c>
      <c r="F1033" t="inlineStr">
        <is>
          <t>VÄRMLANDS LÄN</t>
        </is>
      </c>
      <c r="G1033" t="inlineStr">
        <is>
          <t>ARVIKA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46253</v>
      </c>
      <c r="E1034" s="1" t="n">
        <v>46316</v>
      </c>
      <c r="F1034" t="inlineStr">
        <is>
          <t>VÄRMLANDS LÄN</t>
        </is>
      </c>
      <c r="G1034" t="inlineStr">
        <is>
          <t>ARVIKA</t>
        </is>
      </c>
      <c r="I1034" t="n">
        <v>6.1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34480-2026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46254</v>
      </c>
      <c r="E1035" s="1" t="n">
        <v>46316</v>
      </c>
      <c r="F1035" t="inlineStr">
        <is>
          <t>VÄRMLANDS LÄN</t>
        </is>
      </c>
      <c r="G1035" t="inlineStr">
        <is>
          <t>ARVIKA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39470-2026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46288</v>
      </c>
      <c r="E1036" s="1" t="n">
        <v>46316</v>
      </c>
      <c r="F1036" t="inlineStr">
        <is>
          <t>VÄRMLANDS LÄN</t>
        </is>
      </c>
      <c r="G1036" t="inlineStr">
        <is>
          <t>ARVIKA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45659</v>
      </c>
      <c r="E1037" s="1" t="n">
        <v>46316</v>
      </c>
      <c r="F1037" t="inlineStr">
        <is>
          <t>VÄRMLANDS LÄN</t>
        </is>
      </c>
      <c r="G1037" t="inlineStr">
        <is>
          <t>ARVIKA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34252-2026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46253</v>
      </c>
      <c r="E1038" s="1" t="n">
        <v>46316</v>
      </c>
      <c r="F1038" t="inlineStr">
        <is>
          <t>VÄRMLANDS LÄN</t>
        </is>
      </c>
      <c r="G1038" t="inlineStr">
        <is>
          <t>ARVIKA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44951</v>
      </c>
      <c r="E1039" s="1" t="n">
        <v>46316</v>
      </c>
      <c r="F1039" t="inlineStr">
        <is>
          <t>VÄRMLANDS LÄN</t>
        </is>
      </c>
      <c r="G1039" t="inlineStr">
        <is>
          <t>ARVIKA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45756-2024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45579</v>
      </c>
      <c r="E1040" s="1" t="n">
        <v>46316</v>
      </c>
      <c r="F1040" t="inlineStr">
        <is>
          <t>VÄRMLANDS LÄN</t>
        </is>
      </c>
      <c r="G1040" t="inlineStr">
        <is>
          <t>ARVIKA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14772-2023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45014</v>
      </c>
      <c r="E1041" s="1" t="n">
        <v>46316</v>
      </c>
      <c r="F1041" t="inlineStr">
        <is>
          <t>VÄRMLANDS LÄN</t>
        </is>
      </c>
      <c r="G1041" t="inlineStr">
        <is>
          <t>ARVIKA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40648-2026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46296</v>
      </c>
      <c r="E1042" s="1" t="n">
        <v>46316</v>
      </c>
      <c r="F1042" t="inlineStr">
        <is>
          <t>VÄRMLANDS LÄN</t>
        </is>
      </c>
      <c r="G1042" t="inlineStr">
        <is>
          <t>ARVIKA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20071-2025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45772</v>
      </c>
      <c r="E1043" s="1" t="n">
        <v>46316</v>
      </c>
      <c r="F1043" t="inlineStr">
        <is>
          <t>VÄRMLANDS LÄN</t>
        </is>
      </c>
      <c r="G1043" t="inlineStr">
        <is>
          <t>ARVIKA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23072-2022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44718</v>
      </c>
      <c r="E1044" s="1" t="n">
        <v>46316</v>
      </c>
      <c r="F1044" t="inlineStr">
        <is>
          <t>VÄRMLANDS LÄN</t>
        </is>
      </c>
      <c r="G1044" t="inlineStr">
        <is>
          <t>ARVIKA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8784-2023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44978</v>
      </c>
      <c r="E1045" s="1" t="n">
        <v>46316</v>
      </c>
      <c r="F1045" t="inlineStr">
        <is>
          <t>VÄRMLANDS LÄN</t>
        </is>
      </c>
      <c r="G1045" t="inlineStr">
        <is>
          <t>ARVIKA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12744-2024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45384</v>
      </c>
      <c r="E1046" s="1" t="n">
        <v>46316</v>
      </c>
      <c r="F1046" t="inlineStr">
        <is>
          <t>VÄRMLANDS LÄN</t>
        </is>
      </c>
      <c r="G1046" t="inlineStr">
        <is>
          <t>ARVIKA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24999-2024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45461</v>
      </c>
      <c r="E1047" s="1" t="n">
        <v>46316</v>
      </c>
      <c r="F1047" t="inlineStr">
        <is>
          <t>VÄRMLANDS LÄN</t>
        </is>
      </c>
      <c r="G1047" t="inlineStr">
        <is>
          <t>ARVIKA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58591-2023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45251</v>
      </c>
      <c r="E1048" s="1" t="n">
        <v>46316</v>
      </c>
      <c r="F1048" t="inlineStr">
        <is>
          <t>VÄRMLANDS LÄN</t>
        </is>
      </c>
      <c r="G1048" t="inlineStr">
        <is>
          <t>ARVIKA</t>
        </is>
      </c>
      <c r="I1048" t="n">
        <v>15.3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34871-2026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46258</v>
      </c>
      <c r="E1049" s="1" t="n">
        <v>46316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61945-2024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45653</v>
      </c>
      <c r="E1050" s="1" t="n">
        <v>46316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35992-2023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45149</v>
      </c>
      <c r="E1051" s="1" t="n">
        <v>46316</v>
      </c>
      <c r="F1051" t="inlineStr">
        <is>
          <t>VÄRMLANDS LÄN</t>
        </is>
      </c>
      <c r="G1051" t="inlineStr">
        <is>
          <t>ARVIKA</t>
        </is>
      </c>
      <c r="H1051" t="inlineStr">
        <is>
          <t>Kyrkan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45296-2023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45191</v>
      </c>
      <c r="E1052" s="1" t="n">
        <v>46316</v>
      </c>
      <c r="F1052" t="inlineStr">
        <is>
          <t>VÄRMLANDS LÄN</t>
        </is>
      </c>
      <c r="G1052" t="inlineStr">
        <is>
          <t>ARVIKA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45298-2023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46316</v>
      </c>
      <c r="F1053" t="inlineStr">
        <is>
          <t>VÄRMLANDS LÄN</t>
        </is>
      </c>
      <c r="G1053" t="inlineStr">
        <is>
          <t>ARVIKA</t>
        </is>
      </c>
      <c r="I1053" t="n">
        <v>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46258</v>
      </c>
      <c r="E1054" s="1" t="n">
        <v>46316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34400-2023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45132</v>
      </c>
      <c r="E1055" s="1" t="n">
        <v>46316</v>
      </c>
      <c r="F1055" t="inlineStr">
        <is>
          <t>VÄRMLANDS LÄN</t>
        </is>
      </c>
      <c r="G1055" t="inlineStr">
        <is>
          <t>ARVIKA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34537-2026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46255</v>
      </c>
      <c r="E1056" s="1" t="n">
        <v>46316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42179-2022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44830</v>
      </c>
      <c r="E1057" s="1" t="n">
        <v>46316</v>
      </c>
      <c r="F1057" t="inlineStr">
        <is>
          <t>VÄRMLANDS LÄN</t>
        </is>
      </c>
      <c r="G1057" t="inlineStr">
        <is>
          <t>ARVIKA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35339-2024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45530</v>
      </c>
      <c r="E1058" s="1" t="n">
        <v>46316</v>
      </c>
      <c r="F1058" t="inlineStr">
        <is>
          <t>VÄRMLANDS LÄN</t>
        </is>
      </c>
      <c r="G1058" t="inlineStr">
        <is>
          <t>ARVIKA</t>
        </is>
      </c>
      <c r="I1058" t="n">
        <v>3.2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49337-2023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45210</v>
      </c>
      <c r="E1059" s="1" t="n">
        <v>46316</v>
      </c>
      <c r="F1059" t="inlineStr">
        <is>
          <t>VÄRMLANDS LÄN</t>
        </is>
      </c>
      <c r="G1059" t="inlineStr">
        <is>
          <t>ARVIKA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3355-2022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44585</v>
      </c>
      <c r="E1060" s="1" t="n">
        <v>46316</v>
      </c>
      <c r="F1060" t="inlineStr">
        <is>
          <t>VÄRMLANDS LÄN</t>
        </is>
      </c>
      <c r="G1060" t="inlineStr">
        <is>
          <t>ARVIKA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60183-2021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44495</v>
      </c>
      <c r="E1061" s="1" t="n">
        <v>46316</v>
      </c>
      <c r="F1061" t="inlineStr">
        <is>
          <t>VÄRMLANDS LÄN</t>
        </is>
      </c>
      <c r="G1061" t="inlineStr">
        <is>
          <t>ARVIKA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41175-2024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45559</v>
      </c>
      <c r="E1062" s="1" t="n">
        <v>46316</v>
      </c>
      <c r="F1062" t="inlineStr">
        <is>
          <t>VÄRMLANDS LÄN</t>
        </is>
      </c>
      <c r="G1062" t="inlineStr">
        <is>
          <t>ARVIKA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11892-2025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45728</v>
      </c>
      <c r="E1063" s="1" t="n">
        <v>46316</v>
      </c>
      <c r="F1063" t="inlineStr">
        <is>
          <t>VÄRMLANDS LÄN</t>
        </is>
      </c>
      <c r="G1063" t="inlineStr">
        <is>
          <t>ARVIKA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59625-2024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45638</v>
      </c>
      <c r="E1064" s="1" t="n">
        <v>46316</v>
      </c>
      <c r="F1064" t="inlineStr">
        <is>
          <t>VÄRMLANDS LÄN</t>
        </is>
      </c>
      <c r="G1064" t="inlineStr">
        <is>
          <t>ARVIKA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51815-2024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45607</v>
      </c>
      <c r="E1065" s="1" t="n">
        <v>46316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5744-2024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45335</v>
      </c>
      <c r="E1066" s="1" t="n">
        <v>46316</v>
      </c>
      <c r="F1066" t="inlineStr">
        <is>
          <t>VÄRMLANDS LÄN</t>
        </is>
      </c>
      <c r="G1066" t="inlineStr">
        <is>
          <t>ARVIKA</t>
        </is>
      </c>
      <c r="I1066" t="n">
        <v>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41970-2026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46303</v>
      </c>
      <c r="E1067" s="1" t="n">
        <v>46316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57346-2022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44896</v>
      </c>
      <c r="E1068" s="1" t="n">
        <v>46316</v>
      </c>
      <c r="F1068" t="inlineStr">
        <is>
          <t>VÄRMLANDS LÄN</t>
        </is>
      </c>
      <c r="G1068" t="inlineStr">
        <is>
          <t>ARVIKA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55061-2023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45237</v>
      </c>
      <c r="E1069" s="1" t="n">
        <v>46316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73936-2021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44552</v>
      </c>
      <c r="E1070" s="1" t="n">
        <v>46316</v>
      </c>
      <c r="F1070" t="inlineStr">
        <is>
          <t>VÄRMLANDS LÄN</t>
        </is>
      </c>
      <c r="G1070" t="inlineStr">
        <is>
          <t>ARVIKA</t>
        </is>
      </c>
      <c r="I1070" t="n">
        <v>4.7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1410-2025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45667</v>
      </c>
      <c r="E1071" s="1" t="n">
        <v>46316</v>
      </c>
      <c r="F1071" t="inlineStr">
        <is>
          <t>VÄRMLANDS LÄN</t>
        </is>
      </c>
      <c r="G1071" t="inlineStr">
        <is>
          <t>ARVIKA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34446-2023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45135</v>
      </c>
      <c r="E1072" s="1" t="n">
        <v>46316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6255-2023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44965</v>
      </c>
      <c r="E1073" s="1" t="n">
        <v>46316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50234-2023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45216</v>
      </c>
      <c r="E1074" s="1" t="n">
        <v>46316</v>
      </c>
      <c r="F1074" t="inlineStr">
        <is>
          <t>VÄRMLANDS LÄN</t>
        </is>
      </c>
      <c r="G1074" t="inlineStr">
        <is>
          <t>ARVIKA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20345-2022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44699</v>
      </c>
      <c r="E1075" s="1" t="n">
        <v>46316</v>
      </c>
      <c r="F1075" t="inlineStr">
        <is>
          <t>VÄRMLANDS LÄN</t>
        </is>
      </c>
      <c r="G1075" t="inlineStr">
        <is>
          <t>ARVIKA</t>
        </is>
      </c>
      <c r="I1075" t="n">
        <v>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35677-2025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45859</v>
      </c>
      <c r="E1076" s="1" t="n">
        <v>46316</v>
      </c>
      <c r="F1076" t="inlineStr">
        <is>
          <t>VÄRMLANDS LÄN</t>
        </is>
      </c>
      <c r="G1076" t="inlineStr">
        <is>
          <t>ARVIKA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34811-2026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46258</v>
      </c>
      <c r="E1077" s="1" t="n">
        <v>46316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3.8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34805-2026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46258</v>
      </c>
      <c r="E1078" s="1" t="n">
        <v>46316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8.5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41966-2026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46303</v>
      </c>
      <c r="E1079" s="1" t="n">
        <v>46316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34976-2026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46259</v>
      </c>
      <c r="E1080" s="1" t="n">
        <v>46316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19.3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4065-2025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45684</v>
      </c>
      <c r="E1081" s="1" t="n">
        <v>46316</v>
      </c>
      <c r="F1081" t="inlineStr">
        <is>
          <t>VÄRMLANDS LÄN</t>
        </is>
      </c>
      <c r="G1081" t="inlineStr">
        <is>
          <t>ARVIKA</t>
        </is>
      </c>
      <c r="I1081" t="n">
        <v>4.5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35004-2026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46259</v>
      </c>
      <c r="E1082" s="1" t="n">
        <v>46316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6.1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35010-2026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46259</v>
      </c>
      <c r="E1083" s="1" t="n">
        <v>46316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20171-2025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45772</v>
      </c>
      <c r="E1084" s="1" t="n">
        <v>46316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60516-2024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45643</v>
      </c>
      <c r="E1085" s="1" t="n">
        <v>46316</v>
      </c>
      <c r="F1085" t="inlineStr">
        <is>
          <t>VÄRMLANDS LÄN</t>
        </is>
      </c>
      <c r="G1085" t="inlineStr">
        <is>
          <t>ARVIKA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35375-2026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46261</v>
      </c>
      <c r="E1086" s="1" t="n">
        <v>46316</v>
      </c>
      <c r="F1086" t="inlineStr">
        <is>
          <t>VÄRMLANDS LÄN</t>
        </is>
      </c>
      <c r="G1086" t="inlineStr">
        <is>
          <t>ARVIKA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35351-2026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46261</v>
      </c>
      <c r="E1087" s="1" t="n">
        <v>46316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33047-2024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45517</v>
      </c>
      <c r="E1088" s="1" t="n">
        <v>46316</v>
      </c>
      <c r="F1088" t="inlineStr">
        <is>
          <t>VÄRMLANDS LÄN</t>
        </is>
      </c>
      <c r="G1088" t="inlineStr">
        <is>
          <t>ARVIKA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HYPERLINK("https://klasma.github.io/Logging_1784/knärot/A 33047-2024 karta knärot.png", "A 33047-2024")</f>
        <v/>
      </c>
      <c r="AA1088">
        <f>HYPERLINK("https://klasma.github.io/Logging_1784/klagomål/A 33047-2024 FSC-klagomål.docx", "A 33047-2024")</f>
        <v/>
      </c>
      <c r="AB1088">
        <f>HYPERLINK("https://klasma.github.io/Logging_1784/klagomålsmail/A 33047-2024 FSC-klagomål mail.docx", "A 33047-2024")</f>
        <v/>
      </c>
      <c r="AC1088">
        <f>HYPERLINK("https://klasma.github.io/Logging_1784/tillsyn/A 33047-2024 tillsynsbegäran.docx", "A 33047-2024")</f>
        <v/>
      </c>
      <c r="AD1088">
        <f>HYPERLINK("https://klasma.github.io/Logging_1784/tillsynsmail/A 33047-2024 tillsynsbegäran mail.docx", "A 33047-2024")</f>
        <v/>
      </c>
    </row>
    <row r="1089" ht="15" customHeight="1">
      <c r="A1089" t="inlineStr">
        <is>
          <t>A 58066-2024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45631</v>
      </c>
      <c r="E1089" s="1" t="n">
        <v>46316</v>
      </c>
      <c r="F1089" t="inlineStr">
        <is>
          <t>VÄRMLANDS LÄN</t>
        </is>
      </c>
      <c r="G1089" t="inlineStr">
        <is>
          <t>ARVIKA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71778-2021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44543</v>
      </c>
      <c r="E1090" s="1" t="n">
        <v>46316</v>
      </c>
      <c r="F1090" t="inlineStr">
        <is>
          <t>VÄRMLANDS LÄN</t>
        </is>
      </c>
      <c r="G1090" t="inlineStr">
        <is>
          <t>ARVIKA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58151-2024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45632</v>
      </c>
      <c r="E1091" s="1" t="n">
        <v>46316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58153-2024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45632</v>
      </c>
      <c r="E1092" s="1" t="n">
        <v>46316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39597-2023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45163</v>
      </c>
      <c r="E1093" s="1" t="n">
        <v>46316</v>
      </c>
      <c r="F1093" t="inlineStr">
        <is>
          <t>VÄRMLANDS LÄN</t>
        </is>
      </c>
      <c r="G1093" t="inlineStr">
        <is>
          <t>ARVIKA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39601-2023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45163</v>
      </c>
      <c r="E1094" s="1" t="n">
        <v>46316</v>
      </c>
      <c r="F1094" t="inlineStr">
        <is>
          <t>VÄRMLANDS LÄN</t>
        </is>
      </c>
      <c r="G1094" t="inlineStr">
        <is>
          <t>ARVIKA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61555-2022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44916</v>
      </c>
      <c r="E1095" s="1" t="n">
        <v>46316</v>
      </c>
      <c r="F1095" t="inlineStr">
        <is>
          <t>VÄRMLANDS LÄN</t>
        </is>
      </c>
      <c r="G1095" t="inlineStr">
        <is>
          <t>ARVIKA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51316-2024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45604</v>
      </c>
      <c r="E1096" s="1" t="n">
        <v>46316</v>
      </c>
      <c r="F1096" t="inlineStr">
        <is>
          <t>VÄRMLANDS LÄN</t>
        </is>
      </c>
      <c r="G1096" t="inlineStr">
        <is>
          <t>ARVIKA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42038-2026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46304</v>
      </c>
      <c r="E1097" s="1" t="n">
        <v>46316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6.7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59341-2022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44904</v>
      </c>
      <c r="E1098" s="1" t="n">
        <v>46316</v>
      </c>
      <c r="F1098" t="inlineStr">
        <is>
          <t>VÄRMLANDS LÄN</t>
        </is>
      </c>
      <c r="G1098" t="inlineStr">
        <is>
          <t>ARVIKA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46515-2023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45197</v>
      </c>
      <c r="E1099" s="1" t="n">
        <v>46316</v>
      </c>
      <c r="F1099" t="inlineStr">
        <is>
          <t>VÄRMLANDS LÄN</t>
        </is>
      </c>
      <c r="G1099" t="inlineStr">
        <is>
          <t>ARVIKA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49925-2024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45597</v>
      </c>
      <c r="E1100" s="1" t="n">
        <v>46316</v>
      </c>
      <c r="F1100" t="inlineStr">
        <is>
          <t>VÄRMLANDS LÄN</t>
        </is>
      </c>
      <c r="G1100" t="inlineStr">
        <is>
          <t>ARVIKA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55734-2024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45622</v>
      </c>
      <c r="E1101" s="1" t="n">
        <v>46316</v>
      </c>
      <c r="F1101" t="inlineStr">
        <is>
          <t>VÄRMLANDS LÄN</t>
        </is>
      </c>
      <c r="G1101" t="inlineStr">
        <is>
          <t>ARVIKA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42044-2026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46304</v>
      </c>
      <c r="E1102" s="1" t="n">
        <v>46316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5.2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67196-2021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44523</v>
      </c>
      <c r="E1103" s="1" t="n">
        <v>46316</v>
      </c>
      <c r="F1103" t="inlineStr">
        <is>
          <t>VÄRMLANDS LÄN</t>
        </is>
      </c>
      <c r="G1103" t="inlineStr">
        <is>
          <t>ARVIKA</t>
        </is>
      </c>
      <c r="I1103" t="n">
        <v>4.7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65357-2021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44515</v>
      </c>
      <c r="E1104" s="1" t="n">
        <v>46316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35408-2026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46261</v>
      </c>
      <c r="E1105" s="1" t="n">
        <v>46316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33423-2026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46247</v>
      </c>
      <c r="E1106" s="1" t="n">
        <v>46316</v>
      </c>
      <c r="F1106" t="inlineStr">
        <is>
          <t>VÄRMLANDS LÄN</t>
        </is>
      </c>
      <c r="G1106" t="inlineStr">
        <is>
          <t>ARVIKA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33869-2024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45520</v>
      </c>
      <c r="E1107" s="1" t="n">
        <v>46316</v>
      </c>
      <c r="F1107" t="inlineStr">
        <is>
          <t>VÄRMLANDS LÄN</t>
        </is>
      </c>
      <c r="G1107" t="inlineStr">
        <is>
          <t>ARVIKA</t>
        </is>
      </c>
      <c r="I1107" t="n">
        <v>5.2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35788-2026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46265</v>
      </c>
      <c r="E1108" s="1" t="n">
        <v>46316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5.5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35655-2026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46265</v>
      </c>
      <c r="E1109" s="1" t="n">
        <v>46316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7348-2025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45703</v>
      </c>
      <c r="E1110" s="1" t="n">
        <v>46316</v>
      </c>
      <c r="F1110" t="inlineStr">
        <is>
          <t>VÄRMLANDS LÄN</t>
        </is>
      </c>
      <c r="G1110" t="inlineStr">
        <is>
          <t>ARVIKA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35786-2026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46265</v>
      </c>
      <c r="E1111" s="1" t="n">
        <v>46316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8795-2023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44978</v>
      </c>
      <c r="E1112" s="1" t="n">
        <v>46316</v>
      </c>
      <c r="F1112" t="inlineStr">
        <is>
          <t>VÄRMLANDS LÄN</t>
        </is>
      </c>
      <c r="G1112" t="inlineStr">
        <is>
          <t>ARVIKA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27760-2023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45098</v>
      </c>
      <c r="E1113" s="1" t="n">
        <v>46316</v>
      </c>
      <c r="F1113" t="inlineStr">
        <is>
          <t>VÄRMLANDS LÄN</t>
        </is>
      </c>
      <c r="G1113" t="inlineStr">
        <is>
          <t>ARVIKA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10850-2022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44627</v>
      </c>
      <c r="E1114" s="1" t="n">
        <v>46316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17363-2023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45035</v>
      </c>
      <c r="E1115" s="1" t="n">
        <v>46316</v>
      </c>
      <c r="F1115" t="inlineStr">
        <is>
          <t>VÄRMLANDS LÄN</t>
        </is>
      </c>
      <c r="G1115" t="inlineStr">
        <is>
          <t>ARVIKA</t>
        </is>
      </c>
      <c r="I1115" t="n">
        <v>19.4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60366-2023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45259</v>
      </c>
      <c r="E1116" s="1" t="n">
        <v>46316</v>
      </c>
      <c r="F1116" t="inlineStr">
        <is>
          <t>VÄRMLANDS LÄN</t>
        </is>
      </c>
      <c r="G1116" t="inlineStr">
        <is>
          <t>ARVIKA</t>
        </is>
      </c>
      <c r="I1116" t="n">
        <v>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42502-2026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46308</v>
      </c>
      <c r="E1117" s="1" t="n">
        <v>46316</v>
      </c>
      <c r="F1117" t="inlineStr">
        <is>
          <t>VÄRMLANDS LÄN</t>
        </is>
      </c>
      <c r="G1117" t="inlineStr">
        <is>
          <t>ARVIKA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46750-2024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45583</v>
      </c>
      <c r="E1118" s="1" t="n">
        <v>46316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35827-2026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46265</v>
      </c>
      <c r="E1119" s="1" t="n">
        <v>46316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33714-2026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46251</v>
      </c>
      <c r="E1120" s="1" t="n">
        <v>46316</v>
      </c>
      <c r="F1120" t="inlineStr">
        <is>
          <t>VÄRMLANDS LÄN</t>
        </is>
      </c>
      <c r="G1120" t="inlineStr">
        <is>
          <t>ARVIKA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66226-2021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44518</v>
      </c>
      <c r="E1121" s="1" t="n">
        <v>46316</v>
      </c>
      <c r="F1121" t="inlineStr">
        <is>
          <t>VÄRMLANDS LÄN</t>
        </is>
      </c>
      <c r="G1121" t="inlineStr">
        <is>
          <t>ARVIKA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45805-2024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45579</v>
      </c>
      <c r="E1122" s="1" t="n">
        <v>46316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36246-2026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46268</v>
      </c>
      <c r="E1123" s="1" t="n">
        <v>46316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26.7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58062-2024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45631</v>
      </c>
      <c r="E1124" s="1" t="n">
        <v>46316</v>
      </c>
      <c r="F1124" t="inlineStr">
        <is>
          <t>VÄRMLANDS LÄN</t>
        </is>
      </c>
      <c r="G1124" t="inlineStr">
        <is>
          <t>ARVIKA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25400-2023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46316</v>
      </c>
      <c r="F1125" t="inlineStr">
        <is>
          <t>VÄRMLANDS LÄN</t>
        </is>
      </c>
      <c r="G1125" t="inlineStr">
        <is>
          <t>ARVIKA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25405-2023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45089</v>
      </c>
      <c r="E1126" s="1" t="n">
        <v>46316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40436-2024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45555</v>
      </c>
      <c r="E1127" s="1" t="n">
        <v>46316</v>
      </c>
      <c r="F1127" t="inlineStr">
        <is>
          <t>VÄRMLANDS LÄN</t>
        </is>
      </c>
      <c r="G1127" t="inlineStr">
        <is>
          <t>ARVIKA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40441-2024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45555</v>
      </c>
      <c r="E1128" s="1" t="n">
        <v>46316</v>
      </c>
      <c r="F1128" t="inlineStr">
        <is>
          <t>VÄRMLANDS LÄN</t>
        </is>
      </c>
      <c r="G1128" t="inlineStr">
        <is>
          <t>ARVIKA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46530-2022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44848</v>
      </c>
      <c r="E1129" s="1" t="n">
        <v>46316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49245-2023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45210</v>
      </c>
      <c r="E1130" s="1" t="n">
        <v>46316</v>
      </c>
      <c r="F1130" t="inlineStr">
        <is>
          <t>VÄRMLANDS LÄN</t>
        </is>
      </c>
      <c r="G1130" t="inlineStr">
        <is>
          <t>ARVIKA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36303-2024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45534</v>
      </c>
      <c r="E1131" s="1" t="n">
        <v>46316</v>
      </c>
      <c r="F1131" t="inlineStr">
        <is>
          <t>VÄRMLANDS LÄN</t>
        </is>
      </c>
      <c r="G1131" t="inlineStr">
        <is>
          <t>ARVIKA</t>
        </is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26056-2024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45468</v>
      </c>
      <c r="E1132" s="1" t="n">
        <v>46316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25491-2023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45089</v>
      </c>
      <c r="E1133" s="1" t="n">
        <v>46316</v>
      </c>
      <c r="F1133" t="inlineStr">
        <is>
          <t>VÄRMLANDS LÄN</t>
        </is>
      </c>
      <c r="G1133" t="inlineStr">
        <is>
          <t>ARVIKA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42871-2026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46310</v>
      </c>
      <c r="E1134" s="1" t="n">
        <v>46316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6.4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38536-2023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45162</v>
      </c>
      <c r="E1135" s="1" t="n">
        <v>46316</v>
      </c>
      <c r="F1135" t="inlineStr">
        <is>
          <t>VÄRMLANDS LÄN</t>
        </is>
      </c>
      <c r="G1135" t="inlineStr">
        <is>
          <t>ARVIKA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3974-2023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44952</v>
      </c>
      <c r="E1136" s="1" t="n">
        <v>46316</v>
      </c>
      <c r="F1136" t="inlineStr">
        <is>
          <t>VÄRMLANDS LÄN</t>
        </is>
      </c>
      <c r="G1136" t="inlineStr">
        <is>
          <t>ARVIKA</t>
        </is>
      </c>
      <c r="I1136" t="n">
        <v>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36469-2026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46269</v>
      </c>
      <c r="E1137" s="1" t="n">
        <v>46316</v>
      </c>
      <c r="F1137" t="inlineStr">
        <is>
          <t>VÄRMLANDS LÄN</t>
        </is>
      </c>
      <c r="G1137" t="inlineStr">
        <is>
          <t>ARVIKA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39124-2024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45548</v>
      </c>
      <c r="E1138" s="1" t="n">
        <v>46316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31053-2023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45113</v>
      </c>
      <c r="E1139" s="1" t="n">
        <v>46316</v>
      </c>
      <c r="F1139" t="inlineStr">
        <is>
          <t>VÄRMLANDS LÄN</t>
        </is>
      </c>
      <c r="G1139" t="inlineStr">
        <is>
          <t>ARVIKA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43198-2026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46314</v>
      </c>
      <c r="E1140" s="1" t="n">
        <v>46316</v>
      </c>
      <c r="F1140" t="inlineStr">
        <is>
          <t>VÄRMLANDS LÄN</t>
        </is>
      </c>
      <c r="G1140" t="inlineStr">
        <is>
          <t>ARVIKA</t>
        </is>
      </c>
      <c r="I1140" t="n">
        <v>11.5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57998-2023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45247</v>
      </c>
      <c r="E1141" s="1" t="n">
        <v>46316</v>
      </c>
      <c r="F1141" t="inlineStr">
        <is>
          <t>VÄRMLANDS LÄN</t>
        </is>
      </c>
      <c r="G1141" t="inlineStr">
        <is>
          <t>ARVIKA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25482-2023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45089</v>
      </c>
      <c r="E1142" s="1" t="n">
        <v>46316</v>
      </c>
      <c r="F1142" t="inlineStr">
        <is>
          <t>VÄRMLANDS LÄN</t>
        </is>
      </c>
      <c r="G1142" t="inlineStr">
        <is>
          <t>ARVIKA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43547-2026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46315</v>
      </c>
      <c r="E1143" s="1" t="n">
        <v>46316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5.4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42381-2026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46307</v>
      </c>
      <c r="E1144" s="1" t="n">
        <v>46316</v>
      </c>
      <c r="F1144" t="inlineStr">
        <is>
          <t>VÄRMLANDS LÄN</t>
        </is>
      </c>
      <c r="G1144" t="inlineStr">
        <is>
          <t>ARVIKA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36804-2026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46272</v>
      </c>
      <c r="E1145" s="1" t="n">
        <v>46316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18.5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43195-2026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46313</v>
      </c>
      <c r="E1146" s="1" t="n">
        <v>46316</v>
      </c>
      <c r="F1146" t="inlineStr">
        <is>
          <t>VÄRMLANDS LÄN</t>
        </is>
      </c>
      <c r="G1146" t="inlineStr">
        <is>
          <t>ARVIKA</t>
        </is>
      </c>
      <c r="H1146" t="inlineStr">
        <is>
          <t>Kyrkan</t>
        </is>
      </c>
      <c r="I1146" t="n">
        <v>10.5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36256-2026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46268</v>
      </c>
      <c r="E1147" s="1" t="n">
        <v>46316</v>
      </c>
      <c r="F1147" t="inlineStr">
        <is>
          <t>VÄRMLANDS LÄN</t>
        </is>
      </c>
      <c r="G1147" t="inlineStr">
        <is>
          <t>ARVIKA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36541-2026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46269</v>
      </c>
      <c r="E1148" s="1" t="n">
        <v>46316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36783-2026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46272</v>
      </c>
      <c r="E1149" s="1" t="n">
        <v>46316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16.5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43197-2026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46314</v>
      </c>
      <c r="E1150" s="1" t="n">
        <v>46316</v>
      </c>
      <c r="F1150" t="inlineStr">
        <is>
          <t>VÄRMLANDS LÄN</t>
        </is>
      </c>
      <c r="G1150" t="inlineStr">
        <is>
          <t>ARVIKA</t>
        </is>
      </c>
      <c r="H1150" t="inlineStr">
        <is>
          <t>Kyrkan</t>
        </is>
      </c>
      <c r="I1150" t="n">
        <v>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36497-2026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46269</v>
      </c>
      <c r="E1151" s="1" t="n">
        <v>46316</v>
      </c>
      <c r="F1151" t="inlineStr">
        <is>
          <t>VÄRMLANDS LÄN</t>
        </is>
      </c>
      <c r="G1151" t="inlineStr">
        <is>
          <t>ARVIKA</t>
        </is>
      </c>
      <c r="I1151" t="n">
        <v>9.6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42378-2026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46307</v>
      </c>
      <c r="E1152" s="1" t="n">
        <v>46316</v>
      </c>
      <c r="F1152" t="inlineStr">
        <is>
          <t>VÄRMLANDS LÄN</t>
        </is>
      </c>
      <c r="G1152" t="inlineStr">
        <is>
          <t>ARVIKA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56714-2022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44893</v>
      </c>
      <c r="E1153" s="1" t="n">
        <v>46316</v>
      </c>
      <c r="F1153" t="inlineStr">
        <is>
          <t>VÄRMLANDS LÄN</t>
        </is>
      </c>
      <c r="G1153" t="inlineStr">
        <is>
          <t>ARVIKA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40949-2022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44825</v>
      </c>
      <c r="E1154" s="1" t="n">
        <v>46316</v>
      </c>
      <c r="F1154" t="inlineStr">
        <is>
          <t>VÄRMLANDS LÄN</t>
        </is>
      </c>
      <c r="G1154" t="inlineStr">
        <is>
          <t>ARVIKA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36125-2022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44803</v>
      </c>
      <c r="E1155" s="1" t="n">
        <v>46316</v>
      </c>
      <c r="F1155" t="inlineStr">
        <is>
          <t>VÄRMLANDS LÄN</t>
        </is>
      </c>
      <c r="G1155" t="inlineStr">
        <is>
          <t>ARVIKA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63217-2023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45273</v>
      </c>
      <c r="E1156" s="1" t="n">
        <v>46316</v>
      </c>
      <c r="F1156" t="inlineStr">
        <is>
          <t>VÄRMLANDS LÄN</t>
        </is>
      </c>
      <c r="G1156" t="inlineStr">
        <is>
          <t>ARVIKA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4049-2022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44588</v>
      </c>
      <c r="E1157" s="1" t="n">
        <v>46316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26722-2023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45093</v>
      </c>
      <c r="E1158" s="1" t="n">
        <v>46316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26728-2023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45093</v>
      </c>
      <c r="E1159" s="1" t="n">
        <v>46316</v>
      </c>
      <c r="F1159" t="inlineStr">
        <is>
          <t>VÄRMLANDS LÄN</t>
        </is>
      </c>
      <c r="G1159" t="inlineStr">
        <is>
          <t>ARVIKA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32577-2023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45121</v>
      </c>
      <c r="E1160" s="1" t="n">
        <v>46316</v>
      </c>
      <c r="F1160" t="inlineStr">
        <is>
          <t>VÄRMLANDS LÄN</t>
        </is>
      </c>
      <c r="G1160" t="inlineStr">
        <is>
          <t>ARVIKA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70453-2021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44536</v>
      </c>
      <c r="E1161" s="1" t="n">
        <v>46316</v>
      </c>
      <c r="F1161" t="inlineStr">
        <is>
          <t>VÄRMLANDS LÄN</t>
        </is>
      </c>
      <c r="G1161" t="inlineStr">
        <is>
          <t>ARVIKA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8780-2023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44978</v>
      </c>
      <c r="E1162" s="1" t="n">
        <v>46316</v>
      </c>
      <c r="F1162" t="inlineStr">
        <is>
          <t>VÄRMLANDS LÄN</t>
        </is>
      </c>
      <c r="G1162" t="inlineStr">
        <is>
          <t>ARVIKA</t>
        </is>
      </c>
      <c r="I1162" t="n">
        <v>0.3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6602-2024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45341</v>
      </c>
      <c r="E1163" s="1" t="n">
        <v>46316</v>
      </c>
      <c r="F1163" t="inlineStr">
        <is>
          <t>VÄRMLANDS LÄN</t>
        </is>
      </c>
      <c r="G1163" t="inlineStr">
        <is>
          <t>ARVIKA</t>
        </is>
      </c>
      <c r="I1163" t="n">
        <v>7.5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42997-2023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45182</v>
      </c>
      <c r="E1164" s="1" t="n">
        <v>46316</v>
      </c>
      <c r="F1164" t="inlineStr">
        <is>
          <t>VÄRMLANDS LÄN</t>
        </is>
      </c>
      <c r="G1164" t="inlineStr">
        <is>
          <t>ARVIKA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29175-2024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45482</v>
      </c>
      <c r="E1165" s="1" t="n">
        <v>46316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35579-2023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45147</v>
      </c>
      <c r="E1166" s="1" t="n">
        <v>46316</v>
      </c>
      <c r="F1166" t="inlineStr">
        <is>
          <t>VÄRMLANDS LÄN</t>
        </is>
      </c>
      <c r="G1166" t="inlineStr">
        <is>
          <t>ARVIKA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45962-2024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45580</v>
      </c>
      <c r="E1167" s="1" t="n">
        <v>46316</v>
      </c>
      <c r="F1167" t="inlineStr">
        <is>
          <t>VÄRMLANDS LÄN</t>
        </is>
      </c>
      <c r="G1167" t="inlineStr">
        <is>
          <t>ARVIKA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3645-2023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44950</v>
      </c>
      <c r="E1168" s="1" t="n">
        <v>46316</v>
      </c>
      <c r="F1168" t="inlineStr">
        <is>
          <t>VÄRMLANDS LÄN</t>
        </is>
      </c>
      <c r="G1168" t="inlineStr">
        <is>
          <t>ARVIKA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10427-2024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45365</v>
      </c>
      <c r="E1169" s="1" t="n">
        <v>46316</v>
      </c>
      <c r="F1169" t="inlineStr">
        <is>
          <t>VÄRMLANDS LÄN</t>
        </is>
      </c>
      <c r="G1169" t="inlineStr">
        <is>
          <t>ARVIKA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19109-2024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45428</v>
      </c>
      <c r="E1170" s="1" t="n">
        <v>46316</v>
      </c>
      <c r="F1170" t="inlineStr">
        <is>
          <t>VÄRMLANDS LÄN</t>
        </is>
      </c>
      <c r="G1170" t="inlineStr">
        <is>
          <t>ARVIKA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14735-2023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45013</v>
      </c>
      <c r="E1171" s="1" t="n">
        <v>46316</v>
      </c>
      <c r="F1171" t="inlineStr">
        <is>
          <t>VÄRMLANDS LÄN</t>
        </is>
      </c>
      <c r="G1171" t="inlineStr">
        <is>
          <t>ARVIKA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43968-2024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45572</v>
      </c>
      <c r="E1172" s="1" t="n">
        <v>46316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22714-2024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45448</v>
      </c>
      <c r="E1173" s="1" t="n">
        <v>46316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11154-2024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45371</v>
      </c>
      <c r="E1174" s="1" t="n">
        <v>46316</v>
      </c>
      <c r="F1174" t="inlineStr">
        <is>
          <t>VÄRMLANDS LÄN</t>
        </is>
      </c>
      <c r="G1174" t="inlineStr">
        <is>
          <t>ARVIKA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54852-2024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45618</v>
      </c>
      <c r="E1175" s="1" t="n">
        <v>46316</v>
      </c>
      <c r="F1175" t="inlineStr">
        <is>
          <t>VÄRMLANDS LÄN</t>
        </is>
      </c>
      <c r="G1175" t="inlineStr">
        <is>
          <t>ARVIKA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20375-2025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45775</v>
      </c>
      <c r="E1176" s="1" t="n">
        <v>46316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58399-2023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45245</v>
      </c>
      <c r="E1177" s="1" t="n">
        <v>46316</v>
      </c>
      <c r="F1177" t="inlineStr">
        <is>
          <t>VÄRMLANDS LÄN</t>
        </is>
      </c>
      <c r="G1177" t="inlineStr">
        <is>
          <t>ARVIKA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33187-2022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44785</v>
      </c>
      <c r="E1178" s="1" t="n">
        <v>46316</v>
      </c>
      <c r="F1178" t="inlineStr">
        <is>
          <t>VÄRMLANDS LÄN</t>
        </is>
      </c>
      <c r="G1178" t="inlineStr">
        <is>
          <t>ARVIKA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16731-2024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45410</v>
      </c>
      <c r="E1179" s="1" t="n">
        <v>46316</v>
      </c>
      <c r="F1179" t="inlineStr">
        <is>
          <t>VÄRMLANDS LÄN</t>
        </is>
      </c>
      <c r="G1179" t="inlineStr">
        <is>
          <t>ARVIKA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16739-2024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45410</v>
      </c>
      <c r="E1180" s="1" t="n">
        <v>46316</v>
      </c>
      <c r="F1180" t="inlineStr">
        <is>
          <t>VÄRMLANDS LÄN</t>
        </is>
      </c>
      <c r="G1180" t="inlineStr">
        <is>
          <t>ARVIKA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19683-2025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45770</v>
      </c>
      <c r="E1181" s="1" t="n">
        <v>46316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4754-2024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45328</v>
      </c>
      <c r="E1182" s="1" t="n">
        <v>46316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62610-2022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44917</v>
      </c>
      <c r="E1183" s="1" t="n">
        <v>46316</v>
      </c>
      <c r="F1183" t="inlineStr">
        <is>
          <t>VÄRMLANDS LÄN</t>
        </is>
      </c>
      <c r="G1183" t="inlineStr">
        <is>
          <t>ARVIKA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62619-2022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44917</v>
      </c>
      <c r="E1184" s="1" t="n">
        <v>46316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32823-2023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45109</v>
      </c>
      <c r="E1185" s="1" t="n">
        <v>46316</v>
      </c>
      <c r="F1185" t="inlineStr">
        <is>
          <t>VÄRMLANDS LÄN</t>
        </is>
      </c>
      <c r="G1185" t="inlineStr">
        <is>
          <t>ARVIKA</t>
        </is>
      </c>
      <c r="I1185" t="n">
        <v>3.8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16558-2025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45751</v>
      </c>
      <c r="E1186" s="1" t="n">
        <v>46316</v>
      </c>
      <c r="F1186" t="inlineStr">
        <is>
          <t>VÄRMLANDS LÄN</t>
        </is>
      </c>
      <c r="G1186" t="inlineStr">
        <is>
          <t>ARVIKA</t>
        </is>
      </c>
      <c r="H1186" t="inlineStr">
        <is>
          <t>Kommuner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17460-2023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45036</v>
      </c>
      <c r="E1187" s="1" t="n">
        <v>46316</v>
      </c>
      <c r="F1187" t="inlineStr">
        <is>
          <t>VÄRMLANDS LÄN</t>
        </is>
      </c>
      <c r="G1187" t="inlineStr">
        <is>
          <t>ARVIKA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62428-2022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44924</v>
      </c>
      <c r="E1188" s="1" t="n">
        <v>46316</v>
      </c>
      <c r="F1188" t="inlineStr">
        <is>
          <t>VÄRMLANDS LÄN</t>
        </is>
      </c>
      <c r="G1188" t="inlineStr">
        <is>
          <t>ARVIKA</t>
        </is>
      </c>
      <c r="I1188" t="n">
        <v>10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7583-2024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45348</v>
      </c>
      <c r="E1189" s="1" t="n">
        <v>46316</v>
      </c>
      <c r="F1189" t="inlineStr">
        <is>
          <t>VÄRMLANDS LÄN</t>
        </is>
      </c>
      <c r="G1189" t="inlineStr">
        <is>
          <t>ARVIKA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10574-2025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45721</v>
      </c>
      <c r="E1190" s="1" t="n">
        <v>46316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35571-2023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45147</v>
      </c>
      <c r="E1191" s="1" t="n">
        <v>46316</v>
      </c>
      <c r="F1191" t="inlineStr">
        <is>
          <t>VÄRMLANDS LÄN</t>
        </is>
      </c>
      <c r="G1191" t="inlineStr">
        <is>
          <t>ARVIKA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7456-2023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44971</v>
      </c>
      <c r="E1192" s="1" t="n">
        <v>46316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12271-2023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44998</v>
      </c>
      <c r="E1193" s="1" t="n">
        <v>46316</v>
      </c>
      <c r="F1193" t="inlineStr">
        <is>
          <t>VÄRMLANDS LÄN</t>
        </is>
      </c>
      <c r="G1193" t="inlineStr">
        <is>
          <t>ARVIKA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21693-2025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45783</v>
      </c>
      <c r="E1194" s="1" t="n">
        <v>46316</v>
      </c>
      <c r="F1194" t="inlineStr">
        <is>
          <t>VÄRMLANDS LÄN</t>
        </is>
      </c>
      <c r="G1194" t="inlineStr">
        <is>
          <t>ARVIKA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21580-2025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45782</v>
      </c>
      <c r="E1195" s="1" t="n">
        <v>46316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37213-2024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45539</v>
      </c>
      <c r="E1196" s="1" t="n">
        <v>46316</v>
      </c>
      <c r="F1196" t="inlineStr">
        <is>
          <t>VÄRMLANDS LÄN</t>
        </is>
      </c>
      <c r="G1196" t="inlineStr">
        <is>
          <t>ARVIKA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21907-2025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45784</v>
      </c>
      <c r="E1197" s="1" t="n">
        <v>46316</v>
      </c>
      <c r="F1197" t="inlineStr">
        <is>
          <t>VÄRMLANDS LÄN</t>
        </is>
      </c>
      <c r="G1197" t="inlineStr">
        <is>
          <t>ARVIKA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9525-2024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45359</v>
      </c>
      <c r="E1198" s="1" t="n">
        <v>46316</v>
      </c>
      <c r="F1198" t="inlineStr">
        <is>
          <t>VÄRMLANDS LÄN</t>
        </is>
      </c>
      <c r="G1198" t="inlineStr">
        <is>
          <t>ARVIKA</t>
        </is>
      </c>
      <c r="I1198" t="n">
        <v>3.3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22589-2025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45789</v>
      </c>
      <c r="E1199" s="1" t="n">
        <v>46316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20884-2024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45439</v>
      </c>
      <c r="E1200" s="1" t="n">
        <v>46316</v>
      </c>
      <c r="F1200" t="inlineStr">
        <is>
          <t>VÄRMLANDS LÄN</t>
        </is>
      </c>
      <c r="G1200" t="inlineStr">
        <is>
          <t>ARVIKA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387-2021</t>
        </is>
      </c>
      <c r="B1201" t="inlineStr">
        <is>
          <t>samrådsanmälan</t>
        </is>
      </c>
      <c r="C1201" t="inlineStr">
        <is>
          <t>Åtgärd i nyckelbiotop</t>
        </is>
      </c>
      <c r="D1201" s="1" t="n">
        <v>44256</v>
      </c>
      <c r="E1201" s="1" t="n">
        <v>46316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46316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2202-2020</t>
        </is>
      </c>
      <c r="B1203" t="inlineStr">
        <is>
          <t>samrådsanmälan</t>
        </is>
      </c>
      <c r="C1203" t="inlineStr">
        <is>
          <t>Skogsbilväg</t>
        </is>
      </c>
      <c r="D1203" s="1" t="n">
        <v>44104</v>
      </c>
      <c r="E1203" s="1" t="n">
        <v>46316</v>
      </c>
      <c r="F1203" t="inlineStr">
        <is>
          <t>VÄRMLANDS LÄN</t>
        </is>
      </c>
      <c r="G1203" t="inlineStr">
        <is>
          <t>ARVIKA</t>
        </is>
      </c>
      <c r="I1203" t="n">
        <v>0.3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2208-2020</t>
        </is>
      </c>
      <c r="B1204" t="inlineStr">
        <is>
          <t>samrådsanmälan</t>
        </is>
      </c>
      <c r="C1204" t="inlineStr">
        <is>
          <t>Dikesrensning</t>
        </is>
      </c>
      <c r="D1204" s="1" t="n">
        <v>44104</v>
      </c>
      <c r="E1204" s="1" t="n">
        <v>46316</v>
      </c>
      <c r="F1204" t="inlineStr">
        <is>
          <t>VÄRMLANDS LÄN</t>
        </is>
      </c>
      <c r="G1204" t="inlineStr">
        <is>
          <t>ARVIKA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665-2021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44279</v>
      </c>
      <c r="E1205" s="1" t="n">
        <v>46316</v>
      </c>
      <c r="F1205" t="inlineStr">
        <is>
          <t>VÄRMLANDS LÄN</t>
        </is>
      </c>
      <c r="G1205" t="inlineStr">
        <is>
          <t>ARVIKA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2182-2021</t>
        </is>
      </c>
      <c r="B1206" t="inlineStr">
        <is>
          <t>samrådsanmälan</t>
        </is>
      </c>
      <c r="C1206" t="inlineStr">
        <is>
          <t>Annan skogsbruksåtgärd</t>
        </is>
      </c>
      <c r="D1206" s="1" t="n">
        <v>44350</v>
      </c>
      <c r="E1206" s="1" t="n">
        <v>46316</v>
      </c>
      <c r="F1206" t="inlineStr">
        <is>
          <t>VÄRMLANDS LÄN</t>
        </is>
      </c>
      <c r="G1206" t="inlineStr">
        <is>
          <t>ARVIKA</t>
        </is>
      </c>
      <c r="I1206" t="n">
        <v>3.6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285-2022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9.9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330-2022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46316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50.8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46316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15.7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328-2022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46316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10233-2021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46316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10210-2021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46316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20.1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10226-2021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46316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10215-2021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46316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7135-2022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46316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10232-2021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46316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291-2022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46316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4.4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298-2022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46316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46316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46316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46316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46316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46316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293-2022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46316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6.1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10156-2021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46316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30.4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5027-2024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45635</v>
      </c>
      <c r="E1226" s="1" t="n">
        <v>46316</v>
      </c>
      <c r="F1226" t="inlineStr">
        <is>
          <t>VÄRMLANDS LÄN</t>
        </is>
      </c>
      <c r="G1226" t="inlineStr">
        <is>
          <t>ARVIKA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317-2022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44579</v>
      </c>
      <c r="E1227" s="1" t="n">
        <v>46316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25.8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327-2022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44579</v>
      </c>
      <c r="E1228" s="1" t="n">
        <v>46316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28.7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974-2025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45743</v>
      </c>
      <c r="E1229" s="1" t="n">
        <v>46316</v>
      </c>
      <c r="F1229" t="inlineStr">
        <is>
          <t>VÄRMLANDS LÄN</t>
        </is>
      </c>
      <c r="G1229" t="inlineStr">
        <is>
          <t>ARVIKA</t>
        </is>
      </c>
      <c r="I1229" t="n">
        <v>9.9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994-2025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45744</v>
      </c>
      <c r="E1230" s="1" t="n">
        <v>46316</v>
      </c>
      <c r="F1230" t="inlineStr">
        <is>
          <t>VÄRMLANDS LÄN</t>
        </is>
      </c>
      <c r="G1230" t="inlineStr">
        <is>
          <t>ARVIKA</t>
        </is>
      </c>
      <c r="I1230" t="n">
        <v>13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992-2025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45744</v>
      </c>
      <c r="E1231" s="1" t="n">
        <v>46316</v>
      </c>
      <c r="F1231" t="inlineStr">
        <is>
          <t>VÄRMLANDS LÄN</t>
        </is>
      </c>
      <c r="G1231" t="inlineStr">
        <is>
          <t>ARVIKA</t>
        </is>
      </c>
      <c r="I1231" t="n">
        <v>10.7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4895-2024</t>
        </is>
      </c>
      <c r="B1232" t="inlineStr">
        <is>
          <t>samrådsanmälan</t>
        </is>
      </c>
      <c r="C1232" t="inlineStr">
        <is>
          <t>Åtgärd i nyckelbiotop</t>
        </is>
      </c>
      <c r="D1232" s="1" t="n">
        <v>45622</v>
      </c>
      <c r="E1232" s="1" t="n">
        <v>46316</v>
      </c>
      <c r="F1232" t="inlineStr">
        <is>
          <t>VÄRMLANDS LÄN</t>
        </is>
      </c>
      <c r="G1232" t="inlineStr">
        <is>
          <t>ARVIKA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1205-2026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46140</v>
      </c>
      <c r="E1233" s="1" t="n">
        <v>46316</v>
      </c>
      <c r="F1233" t="inlineStr">
        <is>
          <t>VÄRMLANDS LÄN</t>
        </is>
      </c>
      <c r="G1233" t="inlineStr">
        <is>
          <t>ARVIKA</t>
        </is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>
      <c r="A1234" t="inlineStr">
        <is>
          <t>S 1677-2026</t>
        </is>
      </c>
      <c r="B1234" t="inlineStr">
        <is>
          <t>samrådsanmälan</t>
        </is>
      </c>
      <c r="C1234" t="inlineStr">
        <is>
          <t>Annan skogsbruksåtgärd</t>
        </is>
      </c>
      <c r="D1234" s="1" t="n">
        <v>46182</v>
      </c>
      <c r="E1234" s="1" t="n">
        <v>46316</v>
      </c>
      <c r="F1234" t="inlineStr">
        <is>
          <t>VÄRMLANDS LÄN</t>
        </is>
      </c>
      <c r="G1234" t="inlineStr">
        <is>
          <t>ARVIKA</t>
        </is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2026-10-21T02:01:42Z</dcterms:created>
  <dcterms:modified xmlns:dcterms="http://purl.org/dc/terms/" xmlns:xsi="http://www.w3.org/2001/XMLSchema-instance" xsi:type="dcterms:W3CDTF">2026-10-21T02:01:43Z</dcterms:modified>
</cp:coreProperties>
</file>