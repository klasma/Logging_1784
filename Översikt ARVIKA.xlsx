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45791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45791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45791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45791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45791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45791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45791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45791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45791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45791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45791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45791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45791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45791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45791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45791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45791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45791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45791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45791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45791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45791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45791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45791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45791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45791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45791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45791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45791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45791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45791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45791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45791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45791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45791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45791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45791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45791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45791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45791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45791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45791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45791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45791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45791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45791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45791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45791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45791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45791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45791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45791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45791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45791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45791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45791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45791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45791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45791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45791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45791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45791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45791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45791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45791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45791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45791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45791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45791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45791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45791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45791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45791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45791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45791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45791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19301-2025</t>
        </is>
      </c>
      <c r="B105" s="1" t="n">
        <v>45769</v>
      </c>
      <c r="C105" s="1" t="n">
        <v>45791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3.1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HYPERLINK("https://klasma.github.io/Logging_171784/artfynd/A 19301-2025 artfynd.xlsx", "A 19301-2025")</f>
        <v/>
      </c>
      <c r="T105">
        <f>HYPERLINK("https://klasma.github.io/Logging_171784/kartor/A 19301-2025 karta.png", "A 19301-2025")</f>
        <v/>
      </c>
      <c r="V105">
        <f>HYPERLINK("https://klasma.github.io/Logging_171784/klagomål/A 19301-2025 FSC-klagomål.docx", "A 19301-2025")</f>
        <v/>
      </c>
      <c r="W105">
        <f>HYPERLINK("https://klasma.github.io/Logging_171784/klagomålsmail/A 19301-2025 FSC-klagomål mail.docx", "A 19301-2025")</f>
        <v/>
      </c>
      <c r="X105">
        <f>HYPERLINK("https://klasma.github.io/Logging_171784/tillsyn/A 19301-2025 tillsynsbegäran.docx", "A 19301-2025")</f>
        <v/>
      </c>
      <c r="Y105">
        <f>HYPERLINK("https://klasma.github.io/Logging_171784/tillsynsmail/A 19301-2025 tillsynsbegäran mail.docx", "A 19301-2025")</f>
        <v/>
      </c>
      <c r="Z105">
        <f>HYPERLINK("https://klasma.github.io/Logging_171784/fåglar/A 19301-2025 prioriterade fågelarter.docx", "A 19301-2025")</f>
        <v/>
      </c>
    </row>
    <row r="106" ht="15" customHeight="1">
      <c r="A106" t="inlineStr">
        <is>
          <t>A 17779-2019</t>
        </is>
      </c>
      <c r="B106" s="1" t="n">
        <v>43556</v>
      </c>
      <c r="C106" s="1" t="n">
        <v>45791</v>
      </c>
      <c r="D106" t="inlineStr">
        <is>
          <t>VÄRMLANDS LÄN</t>
        </is>
      </c>
      <c r="E106" t="inlineStr">
        <is>
          <t>ARVIKA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18001-2019</t>
        </is>
      </c>
      <c r="B107" s="1" t="n">
        <v>43556</v>
      </c>
      <c r="C107" s="1" t="n">
        <v>45791</v>
      </c>
      <c r="D107" t="inlineStr">
        <is>
          <t>VÄRMLANDS LÄN</t>
        </is>
      </c>
      <c r="E107" t="inlineStr">
        <is>
          <t>ARVIKA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18243-2019</t>
        </is>
      </c>
      <c r="B108" s="1" t="n">
        <v>43557</v>
      </c>
      <c r="C108" s="1" t="n">
        <v>45791</v>
      </c>
      <c r="D108" t="inlineStr">
        <is>
          <t>VÄRMLANDS LÄN</t>
        </is>
      </c>
      <c r="E108" t="inlineStr">
        <is>
          <t>ARVIKA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18249-2019</t>
        </is>
      </c>
      <c r="B109" s="1" t="n">
        <v>43557</v>
      </c>
      <c r="C109" s="1" t="n">
        <v>45791</v>
      </c>
      <c r="D109" t="inlineStr">
        <is>
          <t>VÄRMLANDS LÄN</t>
        </is>
      </c>
      <c r="E109" t="inlineStr">
        <is>
          <t>ARVIKA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18117-2019</t>
        </is>
      </c>
      <c r="B110" s="1" t="n">
        <v>43558</v>
      </c>
      <c r="C110" s="1" t="n">
        <v>45791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18153-2019</t>
        </is>
      </c>
      <c r="B111" s="1" t="n">
        <v>43558</v>
      </c>
      <c r="C111" s="1" t="n">
        <v>45791</v>
      </c>
      <c r="D111" t="inlineStr">
        <is>
          <t>VÄRMLANDS LÄN</t>
        </is>
      </c>
      <c r="E111" t="inlineStr">
        <is>
          <t>ARVIKA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18574-2019</t>
        </is>
      </c>
      <c r="B112" s="1" t="n">
        <v>43560</v>
      </c>
      <c r="C112" s="1" t="n">
        <v>45791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19011-2019</t>
        </is>
      </c>
      <c r="B113" s="1" t="n">
        <v>43563</v>
      </c>
      <c r="C113" s="1" t="n">
        <v>45791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19096-2019</t>
        </is>
      </c>
      <c r="B114" s="1" t="n">
        <v>43564</v>
      </c>
      <c r="C114" s="1" t="n">
        <v>45791</v>
      </c>
      <c r="D114" t="inlineStr">
        <is>
          <t>VÄRMLANDS LÄN</t>
        </is>
      </c>
      <c r="E114" t="inlineStr">
        <is>
          <t>ARVIKA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19164-2019</t>
        </is>
      </c>
      <c r="B115" s="1" t="n">
        <v>43564</v>
      </c>
      <c r="C115" s="1" t="n">
        <v>45791</v>
      </c>
      <c r="D115" t="inlineStr">
        <is>
          <t>VÄRMLANDS LÄN</t>
        </is>
      </c>
      <c r="E115" t="inlineStr">
        <is>
          <t>ARVIKA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20364-2019</t>
        </is>
      </c>
      <c r="B116" s="1" t="n">
        <v>43571</v>
      </c>
      <c r="C116" s="1" t="n">
        <v>45791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20329-2019</t>
        </is>
      </c>
      <c r="B117" s="1" t="n">
        <v>43571</v>
      </c>
      <c r="C117" s="1" t="n">
        <v>45791</v>
      </c>
      <c r="D117" t="inlineStr">
        <is>
          <t>VÄRMLANDS LÄN</t>
        </is>
      </c>
      <c r="E117" t="inlineStr">
        <is>
          <t>ARVIKA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20927-2019</t>
        </is>
      </c>
      <c r="B118" s="1" t="n">
        <v>43578</v>
      </c>
      <c r="C118" s="1" t="n">
        <v>45791</v>
      </c>
      <c r="D118" t="inlineStr">
        <is>
          <t>VÄRMLANDS LÄN</t>
        </is>
      </c>
      <c r="E118" t="inlineStr">
        <is>
          <t>ARVIKA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21299-2019</t>
        </is>
      </c>
      <c r="B119" s="1" t="n">
        <v>43579</v>
      </c>
      <c r="C119" s="1" t="n">
        <v>45791</v>
      </c>
      <c r="D119" t="inlineStr">
        <is>
          <t>VÄRMLANDS LÄN</t>
        </is>
      </c>
      <c r="E119" t="inlineStr">
        <is>
          <t>ARVIKA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21447-2019</t>
        </is>
      </c>
      <c r="B120" s="1" t="n">
        <v>43580</v>
      </c>
      <c r="C120" s="1" t="n">
        <v>45791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21802-2019</t>
        </is>
      </c>
      <c r="B121" s="1" t="n">
        <v>43582</v>
      </c>
      <c r="C121" s="1" t="n">
        <v>45791</v>
      </c>
      <c r="D121" t="inlineStr">
        <is>
          <t>VÄRMLANDS LÄN</t>
        </is>
      </c>
      <c r="E121" t="inlineStr">
        <is>
          <t>ARVIKA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21804-2019</t>
        </is>
      </c>
      <c r="B122" s="1" t="n">
        <v>43582</v>
      </c>
      <c r="C122" s="1" t="n">
        <v>45791</v>
      </c>
      <c r="D122" t="inlineStr">
        <is>
          <t>VÄRMLANDS LÄN</t>
        </is>
      </c>
      <c r="E122" t="inlineStr">
        <is>
          <t>ARVIKA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23122-2019</t>
        </is>
      </c>
      <c r="B123" s="1" t="n">
        <v>43592</v>
      </c>
      <c r="C123" s="1" t="n">
        <v>45791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23646-2019</t>
        </is>
      </c>
      <c r="B124" s="1" t="n">
        <v>43594</v>
      </c>
      <c r="C124" s="1" t="n">
        <v>45791</v>
      </c>
      <c r="D124" t="inlineStr">
        <is>
          <t>VÄRMLANDS LÄN</t>
        </is>
      </c>
      <c r="E124" t="inlineStr">
        <is>
          <t>ARVIKA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24236-2019</t>
        </is>
      </c>
      <c r="B125" s="1" t="n">
        <v>43596</v>
      </c>
      <c r="C125" s="1" t="n">
        <v>45791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24240-2019</t>
        </is>
      </c>
      <c r="B126" s="1" t="n">
        <v>43596</v>
      </c>
      <c r="C126" s="1" t="n">
        <v>45791</v>
      </c>
      <c r="D126" t="inlineStr">
        <is>
          <t>VÄRMLANDS LÄN</t>
        </is>
      </c>
      <c r="E126" t="inlineStr">
        <is>
          <t>ARVIKA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24235-2019</t>
        </is>
      </c>
      <c r="B127" s="1" t="n">
        <v>43596</v>
      </c>
      <c r="C127" s="1" t="n">
        <v>45791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24249-2019</t>
        </is>
      </c>
      <c r="B128" s="1" t="n">
        <v>43596</v>
      </c>
      <c r="C128" s="1" t="n">
        <v>45791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24414-2019</t>
        </is>
      </c>
      <c r="B129" s="1" t="n">
        <v>43600</v>
      </c>
      <c r="C129" s="1" t="n">
        <v>45791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24468-2019</t>
        </is>
      </c>
      <c r="B130" s="1" t="n">
        <v>43600</v>
      </c>
      <c r="C130" s="1" t="n">
        <v>45791</v>
      </c>
      <c r="D130" t="inlineStr">
        <is>
          <t>VÄRMLANDS LÄN</t>
        </is>
      </c>
      <c r="E130" t="inlineStr">
        <is>
          <t>ARVIKA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24687-2019</t>
        </is>
      </c>
      <c r="B131" s="1" t="n">
        <v>43601</v>
      </c>
      <c r="C131" s="1" t="n">
        <v>45791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45791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45791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45791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45791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45791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45791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45791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45791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45791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45791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45791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45791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45791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45791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45791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45791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45791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45791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45791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45791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45791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45791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45791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45791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45791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45791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45791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45791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45791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45791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45791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45791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45791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45791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45791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45791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45791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45791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45791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45791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45791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45791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45791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45791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45791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45791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45791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45791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45791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45791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45791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45791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45791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45791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45791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45791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45791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45791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45791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45791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45791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45791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45791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45791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45791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45791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45791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45791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45791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45791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45791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45791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45791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45791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45791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45791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45791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45791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45791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45791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45791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45791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45791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45791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45791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45791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45791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45791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45791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45791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45791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45791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45791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45791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45791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45791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45791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45791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45791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45791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45791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45791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45791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45791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45791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45791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45791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45791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45791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45791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45791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45791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45791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45791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45791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45791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45791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45791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45791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45791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45791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45791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45791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45791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45791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45791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45791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45791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45791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45791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45791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45791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45791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45791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45791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45791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45791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45791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45791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45791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45791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45791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45791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45791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45791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45791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45791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45791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45791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45791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45791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45791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45791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45791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45791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45791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45791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45791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45791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45791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45791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45791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45791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45791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45791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45791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45791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45791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45791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45791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45791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45791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45791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45791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45791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45791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45791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45791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45791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45791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45791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45791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45791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45791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45791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45791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45791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45791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45791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45791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45791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45791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45791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45791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45791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45791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45791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45791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45791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45791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45791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45791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45791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45791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45791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45791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45791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45791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45791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45791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45791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45791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45791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45791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45791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45791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45791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45791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45791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45791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45791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45791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45791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45791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45791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45791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45791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45791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45791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45791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45791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45791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45791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45791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45791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45791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45791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45791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45791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45791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45791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45791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45791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45791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45791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45791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45791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45791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45791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45791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45791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45791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45791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45791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45791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45791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45791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45791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45791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45791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45791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45791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45791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45791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45791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45791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45791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45791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45791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45791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45791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45791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45791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45791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45791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45791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45791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45791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45791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45791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45791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45791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45791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45791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45791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45791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45791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45791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45791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45791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45791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45791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45791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45791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45791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45791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45791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45791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45791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45791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45791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45791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45791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45791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45791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45791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45791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45791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45791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45791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45791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45791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45791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45791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45791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45791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45791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45791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45791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45791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45791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45791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45791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45791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45791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45791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45791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45791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45791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45791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45791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45791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45791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45791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45791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45791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45791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45791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45791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45791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45791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45791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45791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45791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45791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45791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45791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45791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45791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45791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45791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45791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45791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45791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45791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45791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45791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45791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45791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45791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45791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45791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45791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45791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45791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45791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45791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45791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45791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45791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45791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45791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45791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45791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45791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45791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45791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45791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45791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45791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45791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45791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45791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45791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45791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45791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45791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45791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45791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45791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45791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45791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45791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45791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45791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45791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45791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45791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45791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45791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45791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45791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45791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45791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45791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45791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45791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45791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45791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45791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45791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45791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45791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45791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45791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45791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45791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45791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45791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45791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45791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45791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45791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45791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45791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45791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45791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45791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45791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45791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45791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45791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45791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45791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45791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45791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45791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45791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45791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45791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45791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45791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45791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45791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45791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45791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45791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45791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45791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45791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45791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45791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45791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45791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45791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45791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45791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45791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45791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45791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45791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45791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45791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45791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45791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45791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45791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45791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45791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45791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45791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45791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45791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45791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45791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45791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45791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45791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45791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45791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45791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45791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45791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45791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45791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45791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45791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45791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45791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45791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45791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45791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45791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45791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45791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45791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45791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45791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45791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45791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45791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45791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45791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45791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45791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45791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45791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45791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45791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45791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45791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45791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45791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45791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45791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45791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45791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45791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45791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45791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45791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45791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45791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45791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45791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45791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45791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45791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45791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45791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45791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45791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45791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45791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45791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45791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45791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45791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45791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45791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45791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45791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45791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45791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45791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45791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45791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45791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45791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45791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45791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45791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45791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45791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45791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45791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45791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45791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45791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45791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45791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45791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45791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45791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45791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45791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45791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45791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45791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45791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45791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45791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45791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45791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45791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45791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45791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45791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45791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45791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45791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45791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45791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45791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45791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45791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45791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45791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45791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45791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45791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45791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45791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45791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45791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45791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45791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45791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45791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45791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45791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45791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45791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45791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45791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45791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45791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45791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45791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45791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45791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45791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45791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45791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45791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45791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45791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45791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45791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45791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45791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45791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45791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45791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45791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45791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45791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45791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45791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45791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45791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45791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45791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45791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45791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45791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45791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45791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45791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45791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45791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45791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45791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45791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45791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45791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45791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45791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45791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45791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45791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45791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45791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45791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45791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45791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45791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45791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45791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45791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45791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45791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45791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45791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45791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45791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45791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45791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45791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45791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45791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45791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45791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45791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45791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45791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45791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45791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45791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45791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45791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45791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45791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45791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45791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45791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45791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45791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45791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45791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45791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45791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45791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45791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45791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45791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45791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45791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45791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45791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45791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45791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45791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45791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45791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45791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45791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45791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45791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45791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45791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45791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45791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45791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45791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45791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45791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45791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45791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45791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45791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45791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45791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45791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45791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45791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45791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45791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45791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45791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45791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45791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45791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45791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45791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45791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45791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45791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45791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45791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45791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45791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45791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45791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45791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45791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45791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45791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45791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45791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45791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45791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45791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45791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45791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45791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45791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45791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45791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45791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45791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45791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45791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45791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45791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45791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45791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45791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45791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45791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45791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45791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45791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45791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45791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45791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45791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45791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45791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45791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45791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45791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45791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45791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45791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45791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45791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45791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45791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45791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45791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45791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45791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45791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45791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45791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45791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45791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45791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45791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45791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45791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45791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45791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45791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45791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45791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45791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45791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45791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45791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45791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45791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45791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45791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45791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45791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45791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45791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45791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45791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45791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45791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45791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45791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45791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45791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45791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45791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45791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45791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45791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45791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45791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45791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45791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45791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45791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45791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45791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45791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45791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45791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45791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45791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45791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45791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45791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45791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45791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45791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45791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45791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45791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45791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45791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45791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45791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45791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45791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45791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45791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45791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45791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45791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45791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45791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45791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45791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45791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45791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45791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45791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45791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45791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45791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45791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45791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45791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45791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45791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45791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45791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45791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45791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45791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45791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45791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45791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45791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45791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45791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45791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45791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45791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45791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45791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45791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45791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45791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45791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45791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45791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45791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45791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45791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45791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45791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45791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45791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45791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45791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45791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45791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45791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45791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45791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45791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45791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45791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45791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45791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45791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45791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45791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45791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45791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45791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45791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45791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45791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45791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45791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45791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45791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45791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45791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45791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45791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45791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45791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45791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45791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45791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45791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45791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45791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45791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45791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45791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45791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45791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45791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45791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45791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45791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45791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45791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45791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45791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45791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45791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45791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45791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45791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45791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45791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45791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45791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45791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45791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45791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45791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45791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45791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45791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45791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45791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45791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45791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45791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45791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45791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45791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45791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45791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45791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45791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45791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45791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45791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45791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45791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45791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45791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45791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45791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45791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45791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45791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45791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45791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45791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45791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45791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45791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45791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45791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45791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45791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45791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45791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45791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45791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45791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45791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45791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45791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45791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45791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45791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45791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45791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45791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45791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45791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45791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45791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45791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45791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45791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45791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45791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45791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45791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45791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45791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45791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45791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45791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45791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45791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45791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45791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45791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45791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45791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45791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45791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45791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45791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45791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45791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45791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45791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45791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45791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45791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45791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45791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45791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45791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45791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45791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45791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45791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45791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45791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45791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45791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45791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45791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45791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45791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45791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45791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45791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45791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45791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45791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45791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45791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45791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45791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45791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45791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45791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45791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45791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45791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45791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45791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45791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45791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45791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45791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45791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45791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45791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45791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45791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45791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45791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45791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45791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45791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45791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45791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45791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45791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45791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45791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45791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45791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45791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45791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45791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45791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45791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45791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45791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45791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45791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45791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45791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45791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45791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45791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45791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45791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45791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45791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45791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45791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45791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45791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45791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45791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45791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45791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45791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45791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45791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45791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45791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45791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45791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45791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45791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45791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45791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45791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45791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45791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45791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45791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45791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45791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45791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45791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45791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45791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45791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45791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45791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45791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45791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45791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45791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45791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45791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45791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45791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45791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45791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45791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45791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45791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45791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45791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45791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45791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45791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45791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45791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45791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45791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45791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45791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45791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45791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45791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45791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45791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45791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45791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45791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45791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45791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45791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45791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45791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45791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45791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45791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45791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45791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45791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45791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45791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45791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45791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45791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45791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45791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45791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45791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45791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45791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45791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45791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45791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45791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45791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45791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45791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45791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45791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45791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45791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45791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45791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45791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45791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45791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45791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45791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45791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45791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45791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45791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45791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45791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45791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45791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45791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45791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45791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45791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45791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45791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45791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45791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45791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45791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45791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45791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45791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45791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45791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45791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45791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45791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45791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45791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45791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45791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45791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45791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45791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45791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45791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45791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45791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45791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45791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45791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45791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45791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45791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45791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45791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45791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45791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45791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45791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45791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45791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45791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45791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45791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45791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45791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45791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45791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45791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45791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45791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45791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45791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45791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45791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45791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45791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45791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45791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45791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45791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45791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45791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45791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45791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45791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45791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45791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45791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45791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45791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45791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45791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45791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45791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45791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45791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45791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45791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45791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45791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45791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45791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45791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45791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45791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45791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45791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45791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45791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45791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45791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45791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45791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45791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45791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45791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45791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45791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45791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45791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45791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45791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45791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45791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45791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45791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45791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45791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45791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45791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45791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45791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45791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45791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45791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45791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45791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45791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45791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45791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45791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45791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45791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45791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45791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45791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45791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45791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45791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45791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45791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45791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45791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45791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45791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45791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45791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45791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45791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45791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45791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45791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45791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45791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45791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45791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45791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45791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45791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45791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45791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45791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45791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45791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45791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45791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45791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45791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45791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45791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45791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45791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45791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45791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45791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45791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45791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45791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45791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45791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45791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45791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45791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45791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45791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45791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45791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45791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45791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45791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45791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45791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45791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45791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45791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45791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45791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45791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45791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45791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45791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45791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45791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45791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45791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45791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45791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45791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45791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45791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45791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45791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45791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45791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45791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45791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45791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45791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45791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45791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45791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45791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45791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45791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45791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45791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45791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45791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45791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45791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45791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45791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45791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45791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45791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45791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45791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45791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45791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45791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45791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45791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45791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45791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45791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45791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45791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45791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45791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45791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45791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45791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45791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45791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45791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45791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45791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45791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45791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45791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45791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45791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45791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45791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45791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45791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45791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45791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45791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45791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45791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45791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45791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45791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45791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45791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45791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45791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45791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45791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45791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45791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45791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45791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45791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45791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45791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45791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45791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45791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45791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45791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45791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45791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45791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45791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45791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45791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45791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45791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45791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45791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45791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45791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45791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45791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45791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45791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45791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45791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45791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45791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45791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45791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45791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45791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45791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45791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45791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45791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45791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45791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45791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45791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45791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45791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45791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45791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45791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45791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45791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45791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45791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45791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45791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45791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45791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45791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45791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45791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45791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45791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45791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45791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45791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45791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45791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45791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45791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45791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45791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45791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45791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45791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45791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45791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45791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45791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45791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45791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45791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45791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45791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45791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45791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45791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45791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45791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45791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45791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45791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45791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45791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45791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45791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45791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45791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45791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45791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45791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45791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45791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45791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45791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45791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45791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45791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45791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45791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45791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45791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45791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45791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45791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45791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45791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45791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45791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45791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45791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45791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45791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45791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45791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45791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45791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45791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45791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45791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45791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45791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45791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45791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45791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45791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45791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45791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45791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45791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45791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45791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45791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45791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45791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45791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45791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45791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45791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45791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45791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45791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45791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45791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45791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45791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45791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45791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45791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45791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45791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45791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45791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45791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45791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45791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45791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45791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45791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45791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45791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45791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45791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45791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45791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45791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45791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45791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45791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45791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45791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45791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45791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45791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45791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45791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45791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45791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45791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45791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45791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45791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45791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45791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45791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45791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45791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45791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45791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45791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45791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45791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45791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45791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45791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45791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45791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45791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45791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45791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45791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45791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45791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45791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45791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45791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45791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45791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45791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45791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45791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45791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45791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45791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45791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45791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45791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45791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45791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45791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45791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45791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45791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45791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45791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45791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45791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45791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45791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45791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45791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45791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45791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45791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45791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45791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45791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45791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45791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45791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45791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45791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45791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45791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18269-2025</t>
        </is>
      </c>
      <c r="B2388" s="1" t="n">
        <v>45762</v>
      </c>
      <c r="C2388" s="1" t="n">
        <v>45791</v>
      </c>
      <c r="D2388" t="inlineStr">
        <is>
          <t>VÄRMLANDS LÄN</t>
        </is>
      </c>
      <c r="E2388" t="inlineStr">
        <is>
          <t>ARVIKA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45791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18312-2025</t>
        </is>
      </c>
      <c r="B2390" s="1" t="n">
        <v>45762</v>
      </c>
      <c r="C2390" s="1" t="n">
        <v>45791</v>
      </c>
      <c r="D2390" t="inlineStr">
        <is>
          <t>VÄRMLANDS LÄN</t>
        </is>
      </c>
      <c r="E2390" t="inlineStr">
        <is>
          <t>ARVIKA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45791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45791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19158-2025</t>
        </is>
      </c>
      <c r="B2393" s="1" t="n">
        <v>45769</v>
      </c>
      <c r="C2393" s="1" t="n">
        <v>45791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45791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45791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45791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45791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45791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45791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20196-2025</t>
        </is>
      </c>
      <c r="B2400" s="1" t="n">
        <v>45772</v>
      </c>
      <c r="C2400" s="1" t="n">
        <v>45791</v>
      </c>
      <c r="D2400" t="inlineStr">
        <is>
          <t>VÄRMLANDS LÄN</t>
        </is>
      </c>
      <c r="E2400" t="inlineStr">
        <is>
          <t>ARVIKA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20195-2025</t>
        </is>
      </c>
      <c r="B2401" s="1" t="n">
        <v>45772</v>
      </c>
      <c r="C2401" s="1" t="n">
        <v>45791</v>
      </c>
      <c r="D2401" t="inlineStr">
        <is>
          <t>VÄRMLANDS LÄN</t>
        </is>
      </c>
      <c r="E2401" t="inlineStr">
        <is>
          <t>ARVIKA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20071-2025</t>
        </is>
      </c>
      <c r="B2402" s="1" t="n">
        <v>45772</v>
      </c>
      <c r="C2402" s="1" t="n">
        <v>45791</v>
      </c>
      <c r="D2402" t="inlineStr">
        <is>
          <t>VÄRMLANDS LÄN</t>
        </is>
      </c>
      <c r="E2402" t="inlineStr">
        <is>
          <t>ARVIKA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20498-2025</t>
        </is>
      </c>
      <c r="B2403" s="1" t="n">
        <v>45775</v>
      </c>
      <c r="C2403" s="1" t="n">
        <v>45791</v>
      </c>
      <c r="D2403" t="inlineStr">
        <is>
          <t>VÄRMLANDS LÄN</t>
        </is>
      </c>
      <c r="E2403" t="inlineStr">
        <is>
          <t>ARVIKA</t>
        </is>
      </c>
      <c r="F2403" t="inlineStr">
        <is>
          <t>Bergvik skog väst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20434-2025</t>
        </is>
      </c>
      <c r="B2404" s="1" t="n">
        <v>45775</v>
      </c>
      <c r="C2404" s="1" t="n">
        <v>45791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20521-2025</t>
        </is>
      </c>
      <c r="B2405" s="1" t="n">
        <v>45775</v>
      </c>
      <c r="C2405" s="1" t="n">
        <v>45791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11.4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20349-2025</t>
        </is>
      </c>
      <c r="B2406" s="1" t="n">
        <v>45775</v>
      </c>
      <c r="C2406" s="1" t="n">
        <v>45791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20582-2025</t>
        </is>
      </c>
      <c r="B2407" s="1" t="n">
        <v>45775</v>
      </c>
      <c r="C2407" s="1" t="n">
        <v>45791</v>
      </c>
      <c r="D2407" t="inlineStr">
        <is>
          <t>VÄRMLANDS LÄN</t>
        </is>
      </c>
      <c r="E2407" t="inlineStr">
        <is>
          <t>ARVIKA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20735-2025</t>
        </is>
      </c>
      <c r="B2408" s="1" t="n">
        <v>45776</v>
      </c>
      <c r="C2408" s="1" t="n">
        <v>45791</v>
      </c>
      <c r="D2408" t="inlineStr">
        <is>
          <t>VÄRMLANDS LÄN</t>
        </is>
      </c>
      <c r="E2408" t="inlineStr">
        <is>
          <t>ARVIKA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20634-2025</t>
        </is>
      </c>
      <c r="B2409" s="1" t="n">
        <v>45776</v>
      </c>
      <c r="C2409" s="1" t="n">
        <v>45791</v>
      </c>
      <c r="D2409" t="inlineStr">
        <is>
          <t>VÄRMLANDS LÄN</t>
        </is>
      </c>
      <c r="E2409" t="inlineStr">
        <is>
          <t>ARVIKA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21329-2025</t>
        </is>
      </c>
      <c r="B2410" s="1" t="n">
        <v>45782</v>
      </c>
      <c r="C2410" s="1" t="n">
        <v>45791</v>
      </c>
      <c r="D2410" t="inlineStr">
        <is>
          <t>VÄRMLANDS LÄN</t>
        </is>
      </c>
      <c r="E2410" t="inlineStr">
        <is>
          <t>ARVIKA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21580-2025</t>
        </is>
      </c>
      <c r="B2411" s="1" t="n">
        <v>45783</v>
      </c>
      <c r="C2411" s="1" t="n">
        <v>45791</v>
      </c>
      <c r="D2411" t="inlineStr">
        <is>
          <t>VÄRMLANDS LÄN</t>
        </is>
      </c>
      <c r="E2411" t="inlineStr">
        <is>
          <t>ARVIKA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21693-2025</t>
        </is>
      </c>
      <c r="B2412" s="1" t="n">
        <v>45783</v>
      </c>
      <c r="C2412" s="1" t="n">
        <v>45791</v>
      </c>
      <c r="D2412" t="inlineStr">
        <is>
          <t>VÄRMLANDS LÄN</t>
        </is>
      </c>
      <c r="E2412" t="inlineStr">
        <is>
          <t>ARVIKA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21780-2025</t>
        </is>
      </c>
      <c r="B2413" s="1" t="n">
        <v>45783</v>
      </c>
      <c r="C2413" s="1" t="n">
        <v>45791</v>
      </c>
      <c r="D2413" t="inlineStr">
        <is>
          <t>VÄRMLANDS LÄN</t>
        </is>
      </c>
      <c r="E2413" t="inlineStr">
        <is>
          <t>ARVIKA</t>
        </is>
      </c>
      <c r="G2413" t="n">
        <v>11.8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21907-2025</t>
        </is>
      </c>
      <c r="B2414" s="1" t="n">
        <v>45784</v>
      </c>
      <c r="C2414" s="1" t="n">
        <v>45791</v>
      </c>
      <c r="D2414" t="inlineStr">
        <is>
          <t>VÄRMLANDS LÄN</t>
        </is>
      </c>
      <c r="E2414" t="inlineStr">
        <is>
          <t>ARVIKA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22037-2025</t>
        </is>
      </c>
      <c r="B2415" s="1" t="n">
        <v>45785</v>
      </c>
      <c r="C2415" s="1" t="n">
        <v>45791</v>
      </c>
      <c r="D2415" t="inlineStr">
        <is>
          <t>VÄRMLANDS LÄN</t>
        </is>
      </c>
      <c r="E2415" t="inlineStr">
        <is>
          <t>ARVIKA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22162-2025</t>
        </is>
      </c>
      <c r="B2416" s="1" t="n">
        <v>45785</v>
      </c>
      <c r="C2416" s="1" t="n">
        <v>45791</v>
      </c>
      <c r="D2416" t="inlineStr">
        <is>
          <t>VÄRMLANDS LÄN</t>
        </is>
      </c>
      <c r="E2416" t="inlineStr">
        <is>
          <t>ARVIKA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22041-2025</t>
        </is>
      </c>
      <c r="B2417" s="1" t="n">
        <v>45785</v>
      </c>
      <c r="C2417" s="1" t="n">
        <v>45791</v>
      </c>
      <c r="D2417" t="inlineStr">
        <is>
          <t>VÄRMLANDS LÄN</t>
        </is>
      </c>
      <c r="E2417" t="inlineStr">
        <is>
          <t>ARVIKA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22170-2025</t>
        </is>
      </c>
      <c r="B2418" s="1" t="n">
        <v>45785</v>
      </c>
      <c r="C2418" s="1" t="n">
        <v>45791</v>
      </c>
      <c r="D2418" t="inlineStr">
        <is>
          <t>VÄRMLANDS LÄN</t>
        </is>
      </c>
      <c r="E2418" t="inlineStr">
        <is>
          <t>ARVIKA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22521-2025</t>
        </is>
      </c>
      <c r="B2419" s="1" t="n">
        <v>45786</v>
      </c>
      <c r="C2419" s="1" t="n">
        <v>45791</v>
      </c>
      <c r="D2419" t="inlineStr">
        <is>
          <t>VÄRMLANDS LÄN</t>
        </is>
      </c>
      <c r="E2419" t="inlineStr">
        <is>
          <t>ARVIKA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22485-2025</t>
        </is>
      </c>
      <c r="B2420" s="1" t="n">
        <v>45786</v>
      </c>
      <c r="C2420" s="1" t="n">
        <v>45791</v>
      </c>
      <c r="D2420" t="inlineStr">
        <is>
          <t>VÄRMLANDS LÄN</t>
        </is>
      </c>
      <c r="E2420" t="inlineStr">
        <is>
          <t>ARVIKA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22714-2025</t>
        </is>
      </c>
      <c r="B2421" s="1" t="n">
        <v>45788</v>
      </c>
      <c r="C2421" s="1" t="n">
        <v>45791</v>
      </c>
      <c r="D2421" t="inlineStr">
        <is>
          <t>VÄRMLANDS LÄN</t>
        </is>
      </c>
      <c r="E2421" t="inlineStr">
        <is>
          <t>ARVIKA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22835-2025</t>
        </is>
      </c>
      <c r="B2422" s="1" t="n">
        <v>45789</v>
      </c>
      <c r="C2422" s="1" t="n">
        <v>45791</v>
      </c>
      <c r="D2422" t="inlineStr">
        <is>
          <t>VÄRMLANDS LÄN</t>
        </is>
      </c>
      <c r="E2422" t="inlineStr">
        <is>
          <t>ARVIKA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22589-2025</t>
        </is>
      </c>
      <c r="B2423" s="1" t="n">
        <v>45789</v>
      </c>
      <c r="C2423" s="1" t="n">
        <v>45791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22834-2025</t>
        </is>
      </c>
      <c r="B2424" s="1" t="n">
        <v>45789</v>
      </c>
      <c r="C2424" s="1" t="n">
        <v>45791</v>
      </c>
      <c r="D2424" t="inlineStr">
        <is>
          <t>VÄRMLANDS LÄN</t>
        </is>
      </c>
      <c r="E2424" t="inlineStr">
        <is>
          <t>ARVIKA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22836-2025</t>
        </is>
      </c>
      <c r="B2425" s="1" t="n">
        <v>45789</v>
      </c>
      <c r="C2425" s="1" t="n">
        <v>45791</v>
      </c>
      <c r="D2425" t="inlineStr">
        <is>
          <t>VÄRMLANDS LÄN</t>
        </is>
      </c>
      <c r="E2425" t="inlineStr">
        <is>
          <t>ARVIKA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22992-2025</t>
        </is>
      </c>
      <c r="B2426" s="1" t="n">
        <v>45790</v>
      </c>
      <c r="C2426" s="1" t="n">
        <v>45791</v>
      </c>
      <c r="D2426" t="inlineStr">
        <is>
          <t>VÄRMLANDS LÄN</t>
        </is>
      </c>
      <c r="E2426" t="inlineStr">
        <is>
          <t>ARVIKA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>
      <c r="A2427" t="inlineStr">
        <is>
          <t>A 22849-2025</t>
        </is>
      </c>
      <c r="B2427" s="1" t="n">
        <v>45790</v>
      </c>
      <c r="C2427" s="1" t="n">
        <v>45791</v>
      </c>
      <c r="D2427" t="inlineStr">
        <is>
          <t>VÄRMLANDS LÄN</t>
        </is>
      </c>
      <c r="E2427" t="inlineStr">
        <is>
          <t>ARVIKA</t>
        </is>
      </c>
      <c r="F2427" t="inlineStr">
        <is>
          <t>Bergvik skog väst AB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2025-05-14T17:25:23Z</dcterms:created>
  <dcterms:modified xmlns:dcterms="http://purl.org/dc/terms/" xmlns:xsi="http://www.w3.org/2001/XMLSchema-instance" xsi:type="dcterms:W3CDTF">2025-05-14T17:25:25Z</dcterms:modified>
</cp:coreProperties>
</file>