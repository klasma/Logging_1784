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45809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Kortskaftad ärgspik
Spillkråka
Tretåig hackspett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45809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50311-2023</t>
        </is>
      </c>
      <c r="B9" s="1" t="n">
        <v>45216</v>
      </c>
      <c r="C9" s="1" t="n">
        <v>45809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4.1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Gyllenspindling
Kungsspindling
Dropptaggsvamp
Kamjordstjärna
Strimspindling</t>
        </is>
      </c>
      <c r="S9">
        <f>HYPERLINK("https://klasma.github.io/Logging_1784/artfynd/A 50311-2023 artfynd.xlsx", "A 50311-2023")</f>
        <v/>
      </c>
      <c r="T9">
        <f>HYPERLINK("https://klasma.github.io/Logging_1784/kartor/A 50311-2023 karta.png", "A 50311-2023")</f>
        <v/>
      </c>
      <c r="V9">
        <f>HYPERLINK("https://klasma.github.io/Logging_1784/klagomål/A 50311-2023 FSC-klagomål.docx", "A 50311-2023")</f>
        <v/>
      </c>
      <c r="W9">
        <f>HYPERLINK("https://klasma.github.io/Logging_1784/klagomålsmail/A 50311-2023 FSC-klagomål mail.docx", "A 50311-2023")</f>
        <v/>
      </c>
      <c r="X9">
        <f>HYPERLINK("https://klasma.github.io/Logging_1784/tillsyn/A 50311-2023 tillsynsbegäran.docx", "A 50311-2023")</f>
        <v/>
      </c>
      <c r="Y9">
        <f>HYPERLINK("https://klasma.github.io/Logging_1784/tillsynsmail/A 50311-2023 tillsynsbegäran mail.docx", "A 50311-2023")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45809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45809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45809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45809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45809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45809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45809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45809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45809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45809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45809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45809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45809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45809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45809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45809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45809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45809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45809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45809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45809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45809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45809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45809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45809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45809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45809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45809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45809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45809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45809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45809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45809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45809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45809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45809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45809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45809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45809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45809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45809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45809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45809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45809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45809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45809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45809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45809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45809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45809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45809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45809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45809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45809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45809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45809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45809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45809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45809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45809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45809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45809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45809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45809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45809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45809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45809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45809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45809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45809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45809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45809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45809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45809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25477-2025</t>
        </is>
      </c>
      <c r="B107" s="1" t="n">
        <v>45802</v>
      </c>
      <c r="C107" s="1" t="n">
        <v>45809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HYPERLINK("https://klasma.github.io/Logging_171784/artfynd/A 25477-2025 artfynd.xlsx", "A 25477-2025")</f>
        <v/>
      </c>
      <c r="T107">
        <f>HYPERLINK("https://klasma.github.io/Logging_171784/kartor/A 25477-2025 karta.png", "A 25477-2025")</f>
        <v/>
      </c>
      <c r="V107">
        <f>HYPERLINK("https://klasma.github.io/Logging_171784/klagomål/A 25477-2025 FSC-klagomål.docx", "A 25477-2025")</f>
        <v/>
      </c>
      <c r="W107">
        <f>HYPERLINK("https://klasma.github.io/Logging_171784/klagomålsmail/A 25477-2025 FSC-klagomål mail.docx", "A 25477-2025")</f>
        <v/>
      </c>
      <c r="X107">
        <f>HYPERLINK("https://klasma.github.io/Logging_171784/tillsyn/A 25477-2025 tillsynsbegäran.docx", "A 25477-2025")</f>
        <v/>
      </c>
      <c r="Y107">
        <f>HYPERLINK("https://klasma.github.io/Logging_171784/tillsynsmail/A 25477-2025 tillsynsbegäran mail.docx", "A 25477-2025")</f>
        <v/>
      </c>
    </row>
    <row r="108" ht="15" customHeight="1">
      <c r="A108" t="inlineStr">
        <is>
          <t>A 17779-2019</t>
        </is>
      </c>
      <c r="B108" s="1" t="n">
        <v>43556</v>
      </c>
      <c r="C108" s="1" t="n">
        <v>45809</v>
      </c>
      <c r="D108" t="inlineStr">
        <is>
          <t>VÄRMLANDS LÄN</t>
        </is>
      </c>
      <c r="E108" t="inlineStr">
        <is>
          <t>ARVIKA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18001-2019</t>
        </is>
      </c>
      <c r="B109" s="1" t="n">
        <v>43556</v>
      </c>
      <c r="C109" s="1" t="n">
        <v>45809</v>
      </c>
      <c r="D109" t="inlineStr">
        <is>
          <t>VÄRMLANDS LÄN</t>
        </is>
      </c>
      <c r="E109" t="inlineStr">
        <is>
          <t>ARVIKA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18243-2019</t>
        </is>
      </c>
      <c r="B110" s="1" t="n">
        <v>43557</v>
      </c>
      <c r="C110" s="1" t="n">
        <v>45809</v>
      </c>
      <c r="D110" t="inlineStr">
        <is>
          <t>VÄRMLANDS LÄN</t>
        </is>
      </c>
      <c r="E110" t="inlineStr">
        <is>
          <t>ARVIKA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18249-2019</t>
        </is>
      </c>
      <c r="B111" s="1" t="n">
        <v>43557</v>
      </c>
      <c r="C111" s="1" t="n">
        <v>45809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18117-2019</t>
        </is>
      </c>
      <c r="B112" s="1" t="n">
        <v>43558</v>
      </c>
      <c r="C112" s="1" t="n">
        <v>45809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18153-2019</t>
        </is>
      </c>
      <c r="B113" s="1" t="n">
        <v>43558</v>
      </c>
      <c r="C113" s="1" t="n">
        <v>45809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18574-2019</t>
        </is>
      </c>
      <c r="B114" s="1" t="n">
        <v>43560</v>
      </c>
      <c r="C114" s="1" t="n">
        <v>45809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19011-2019</t>
        </is>
      </c>
      <c r="B115" s="1" t="n">
        <v>43563</v>
      </c>
      <c r="C115" s="1" t="n">
        <v>45809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19096-2019</t>
        </is>
      </c>
      <c r="B116" s="1" t="n">
        <v>43564</v>
      </c>
      <c r="C116" s="1" t="n">
        <v>45809</v>
      </c>
      <c r="D116" t="inlineStr">
        <is>
          <t>VÄRMLANDS LÄN</t>
        </is>
      </c>
      <c r="E116" t="inlineStr">
        <is>
          <t>ARVIKA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19164-2019</t>
        </is>
      </c>
      <c r="B117" s="1" t="n">
        <v>43564</v>
      </c>
      <c r="C117" s="1" t="n">
        <v>45809</v>
      </c>
      <c r="D117" t="inlineStr">
        <is>
          <t>VÄRMLANDS LÄN</t>
        </is>
      </c>
      <c r="E117" t="inlineStr">
        <is>
          <t>ARVIKA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20364-2019</t>
        </is>
      </c>
      <c r="B118" s="1" t="n">
        <v>43571</v>
      </c>
      <c r="C118" s="1" t="n">
        <v>45809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20329-2019</t>
        </is>
      </c>
      <c r="B119" s="1" t="n">
        <v>43571</v>
      </c>
      <c r="C119" s="1" t="n">
        <v>45809</v>
      </c>
      <c r="D119" t="inlineStr">
        <is>
          <t>VÄRMLANDS LÄN</t>
        </is>
      </c>
      <c r="E119" t="inlineStr">
        <is>
          <t>ARVIKA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20927-2019</t>
        </is>
      </c>
      <c r="B120" s="1" t="n">
        <v>43578</v>
      </c>
      <c r="C120" s="1" t="n">
        <v>45809</v>
      </c>
      <c r="D120" t="inlineStr">
        <is>
          <t>VÄRMLANDS LÄN</t>
        </is>
      </c>
      <c r="E120" t="inlineStr">
        <is>
          <t>ARVIKA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21299-2019</t>
        </is>
      </c>
      <c r="B121" s="1" t="n">
        <v>43579</v>
      </c>
      <c r="C121" s="1" t="n">
        <v>45809</v>
      </c>
      <c r="D121" t="inlineStr">
        <is>
          <t>VÄRMLANDS LÄN</t>
        </is>
      </c>
      <c r="E121" t="inlineStr">
        <is>
          <t>ARVIKA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21447-2019</t>
        </is>
      </c>
      <c r="B122" s="1" t="n">
        <v>43580</v>
      </c>
      <c r="C122" s="1" t="n">
        <v>45809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21802-2019</t>
        </is>
      </c>
      <c r="B123" s="1" t="n">
        <v>43582</v>
      </c>
      <c r="C123" s="1" t="n">
        <v>45809</v>
      </c>
      <c r="D123" t="inlineStr">
        <is>
          <t>VÄRMLANDS LÄN</t>
        </is>
      </c>
      <c r="E123" t="inlineStr">
        <is>
          <t>ARVIKA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21804-2019</t>
        </is>
      </c>
      <c r="B124" s="1" t="n">
        <v>43582</v>
      </c>
      <c r="C124" s="1" t="n">
        <v>45809</v>
      </c>
      <c r="D124" t="inlineStr">
        <is>
          <t>VÄRMLANDS LÄN</t>
        </is>
      </c>
      <c r="E124" t="inlineStr">
        <is>
          <t>ARVIKA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23122-2019</t>
        </is>
      </c>
      <c r="B125" s="1" t="n">
        <v>43592</v>
      </c>
      <c r="C125" s="1" t="n">
        <v>45809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23646-2019</t>
        </is>
      </c>
      <c r="B126" s="1" t="n">
        <v>43594</v>
      </c>
      <c r="C126" s="1" t="n">
        <v>45809</v>
      </c>
      <c r="D126" t="inlineStr">
        <is>
          <t>VÄRMLANDS LÄN</t>
        </is>
      </c>
      <c r="E126" t="inlineStr">
        <is>
          <t>ARVIKA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24236-2019</t>
        </is>
      </c>
      <c r="B127" s="1" t="n">
        <v>43596</v>
      </c>
      <c r="C127" s="1" t="n">
        <v>45809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24240-2019</t>
        </is>
      </c>
      <c r="B128" s="1" t="n">
        <v>43596</v>
      </c>
      <c r="C128" s="1" t="n">
        <v>45809</v>
      </c>
      <c r="D128" t="inlineStr">
        <is>
          <t>VÄRMLANDS LÄN</t>
        </is>
      </c>
      <c r="E128" t="inlineStr">
        <is>
          <t>ARVIKA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24235-2019</t>
        </is>
      </c>
      <c r="B129" s="1" t="n">
        <v>43596</v>
      </c>
      <c r="C129" s="1" t="n">
        <v>45809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24249-2019</t>
        </is>
      </c>
      <c r="B130" s="1" t="n">
        <v>43596</v>
      </c>
      <c r="C130" s="1" t="n">
        <v>45809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24414-2019</t>
        </is>
      </c>
      <c r="B131" s="1" t="n">
        <v>43600</v>
      </c>
      <c r="C131" s="1" t="n">
        <v>45809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24468-2019</t>
        </is>
      </c>
      <c r="B132" s="1" t="n">
        <v>43600</v>
      </c>
      <c r="C132" s="1" t="n">
        <v>45809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24763-2019</t>
        </is>
      </c>
      <c r="B133" s="1" t="n">
        <v>43601</v>
      </c>
      <c r="C133" s="1" t="n">
        <v>45809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26527-2019</t>
        </is>
      </c>
      <c r="B134" s="1" t="n">
        <v>43612</v>
      </c>
      <c r="C134" s="1" t="n">
        <v>45809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26372-2019</t>
        </is>
      </c>
      <c r="B135" s="1" t="n">
        <v>43612</v>
      </c>
      <c r="C135" s="1" t="n">
        <v>45809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26653-2019</t>
        </is>
      </c>
      <c r="B136" s="1" t="n">
        <v>43613</v>
      </c>
      <c r="C136" s="1" t="n">
        <v>45809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26719-2019</t>
        </is>
      </c>
      <c r="B137" s="1" t="n">
        <v>43613</v>
      </c>
      <c r="C137" s="1" t="n">
        <v>45809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27076-2019</t>
        </is>
      </c>
      <c r="B138" s="1" t="n">
        <v>43614</v>
      </c>
      <c r="C138" s="1" t="n">
        <v>45809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29593-2019</t>
        </is>
      </c>
      <c r="B139" s="1" t="n">
        <v>43628</v>
      </c>
      <c r="C139" s="1" t="n">
        <v>45809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29588-2019</t>
        </is>
      </c>
      <c r="B140" s="1" t="n">
        <v>43628</v>
      </c>
      <c r="C140" s="1" t="n">
        <v>45809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29803-2019</t>
        </is>
      </c>
      <c r="B141" s="1" t="n">
        <v>43629</v>
      </c>
      <c r="C141" s="1" t="n">
        <v>45809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30328-2019</t>
        </is>
      </c>
      <c r="B142" s="1" t="n">
        <v>43633</v>
      </c>
      <c r="C142" s="1" t="n">
        <v>45809</v>
      </c>
      <c r="D142" t="inlineStr">
        <is>
          <t>VÄRMLANDS LÄN</t>
        </is>
      </c>
      <c r="E142" t="inlineStr">
        <is>
          <t>ARVIKA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30316-2019</t>
        </is>
      </c>
      <c r="B143" s="1" t="n">
        <v>43633</v>
      </c>
      <c r="C143" s="1" t="n">
        <v>45809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30325-2019</t>
        </is>
      </c>
      <c r="B144" s="1" t="n">
        <v>43633</v>
      </c>
      <c r="C144" s="1" t="n">
        <v>45809</v>
      </c>
      <c r="D144" t="inlineStr">
        <is>
          <t>VÄRMLANDS LÄN</t>
        </is>
      </c>
      <c r="E144" t="inlineStr">
        <is>
          <t>ARVIKA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30310-2019</t>
        </is>
      </c>
      <c r="B145" s="1" t="n">
        <v>43634</v>
      </c>
      <c r="C145" s="1" t="n">
        <v>45809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30353-2019</t>
        </is>
      </c>
      <c r="B146" s="1" t="n">
        <v>43634</v>
      </c>
      <c r="C146" s="1" t="n">
        <v>45809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30643-2019</t>
        </is>
      </c>
      <c r="B147" s="1" t="n">
        <v>43635</v>
      </c>
      <c r="C147" s="1" t="n">
        <v>45809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30636-2019</t>
        </is>
      </c>
      <c r="B148" s="1" t="n">
        <v>43635</v>
      </c>
      <c r="C148" s="1" t="n">
        <v>45809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622-2020</t>
        </is>
      </c>
      <c r="B149" s="1" t="n">
        <v>43635</v>
      </c>
      <c r="C149" s="1" t="n">
        <v>45809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30885-2019</t>
        </is>
      </c>
      <c r="B150" s="1" t="n">
        <v>43636</v>
      </c>
      <c r="C150" s="1" t="n">
        <v>45809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31218-2019</t>
        </is>
      </c>
      <c r="B151" s="1" t="n">
        <v>43640</v>
      </c>
      <c r="C151" s="1" t="n">
        <v>45809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31327-2019</t>
        </is>
      </c>
      <c r="B152" s="1" t="n">
        <v>43641</v>
      </c>
      <c r="C152" s="1" t="n">
        <v>45809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32185-2019</t>
        </is>
      </c>
      <c r="B153" s="1" t="n">
        <v>43643</v>
      </c>
      <c r="C153" s="1" t="n">
        <v>45809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32413-2019</t>
        </is>
      </c>
      <c r="B154" s="1" t="n">
        <v>43644</v>
      </c>
      <c r="C154" s="1" t="n">
        <v>45809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34023-2019</t>
        </is>
      </c>
      <c r="B155" s="1" t="n">
        <v>43654</v>
      </c>
      <c r="C155" s="1" t="n">
        <v>45809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36041-2019</t>
        </is>
      </c>
      <c r="B156" s="1" t="n">
        <v>43657</v>
      </c>
      <c r="C156" s="1" t="n">
        <v>45809</v>
      </c>
      <c r="D156" t="inlineStr">
        <is>
          <t>VÄRMLANDS LÄN</t>
        </is>
      </c>
      <c r="E156" t="inlineStr">
        <is>
          <t>ARVIKA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34582-2019</t>
        </is>
      </c>
      <c r="B157" s="1" t="n">
        <v>43657</v>
      </c>
      <c r="C157" s="1" t="n">
        <v>45809</v>
      </c>
      <c r="D157" t="inlineStr">
        <is>
          <t>VÄRMLANDS LÄN</t>
        </is>
      </c>
      <c r="E157" t="inlineStr">
        <is>
          <t>ARVIKA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36309-2019</t>
        </is>
      </c>
      <c r="B158" s="1" t="n">
        <v>43661</v>
      </c>
      <c r="C158" s="1" t="n">
        <v>45809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35181-2019</t>
        </is>
      </c>
      <c r="B159" s="1" t="n">
        <v>43662</v>
      </c>
      <c r="C159" s="1" t="n">
        <v>45809</v>
      </c>
      <c r="D159" t="inlineStr">
        <is>
          <t>VÄRMLANDS LÄN</t>
        </is>
      </c>
      <c r="E159" t="inlineStr">
        <is>
          <t>ARVIKA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36106-2019</t>
        </is>
      </c>
      <c r="B160" s="1" t="n">
        <v>43668</v>
      </c>
      <c r="C160" s="1" t="n">
        <v>45809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36648-2019</t>
        </is>
      </c>
      <c r="B161" s="1" t="n">
        <v>43671</v>
      </c>
      <c r="C161" s="1" t="n">
        <v>45809</v>
      </c>
      <c r="D161" t="inlineStr">
        <is>
          <t>VÄRMLANDS LÄN</t>
        </is>
      </c>
      <c r="E161" t="inlineStr">
        <is>
          <t>ARVIKA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37000-2019</t>
        </is>
      </c>
      <c r="B162" s="1" t="n">
        <v>43676</v>
      </c>
      <c r="C162" s="1" t="n">
        <v>45809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36999-2019</t>
        </is>
      </c>
      <c r="B163" s="1" t="n">
        <v>43676</v>
      </c>
      <c r="C163" s="1" t="n">
        <v>45809</v>
      </c>
      <c r="D163" t="inlineStr">
        <is>
          <t>VÄRMLANDS LÄN</t>
        </is>
      </c>
      <c r="E163" t="inlineStr">
        <is>
          <t>ARVIKA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37165-2019</t>
        </is>
      </c>
      <c r="B164" s="1" t="n">
        <v>43677</v>
      </c>
      <c r="C164" s="1" t="n">
        <v>45809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37199-2019</t>
        </is>
      </c>
      <c r="B165" s="1" t="n">
        <v>43677</v>
      </c>
      <c r="C165" s="1" t="n">
        <v>45809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37147-2019</t>
        </is>
      </c>
      <c r="B166" s="1" t="n">
        <v>43677</v>
      </c>
      <c r="C166" s="1" t="n">
        <v>45809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38002-2019</t>
        </is>
      </c>
      <c r="B167" s="1" t="n">
        <v>43683</v>
      </c>
      <c r="C167" s="1" t="n">
        <v>45809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38410-2019</t>
        </is>
      </c>
      <c r="B168" s="1" t="n">
        <v>43685</v>
      </c>
      <c r="C168" s="1" t="n">
        <v>45809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39740-2019</t>
        </is>
      </c>
      <c r="B169" s="1" t="n">
        <v>43691</v>
      </c>
      <c r="C169" s="1" t="n">
        <v>45809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40159-2019</t>
        </is>
      </c>
      <c r="B170" s="1" t="n">
        <v>43693</v>
      </c>
      <c r="C170" s="1" t="n">
        <v>45809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40397-2019</t>
        </is>
      </c>
      <c r="B171" s="1" t="n">
        <v>43696</v>
      </c>
      <c r="C171" s="1" t="n">
        <v>45809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41531-2019</t>
        </is>
      </c>
      <c r="B172" s="1" t="n">
        <v>43699</v>
      </c>
      <c r="C172" s="1" t="n">
        <v>45809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42102-2019</t>
        </is>
      </c>
      <c r="B173" s="1" t="n">
        <v>43702</v>
      </c>
      <c r="C173" s="1" t="n">
        <v>45809</v>
      </c>
      <c r="D173" t="inlineStr">
        <is>
          <t>VÄRMLANDS LÄN</t>
        </is>
      </c>
      <c r="E173" t="inlineStr">
        <is>
          <t>ARVIKA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42692-2019</t>
        </is>
      </c>
      <c r="B174" s="1" t="n">
        <v>43704</v>
      </c>
      <c r="C174" s="1" t="n">
        <v>45809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42485-2019</t>
        </is>
      </c>
      <c r="B175" s="1" t="n">
        <v>43704</v>
      </c>
      <c r="C175" s="1" t="n">
        <v>45809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42854-2019</t>
        </is>
      </c>
      <c r="B176" s="1" t="n">
        <v>43705</v>
      </c>
      <c r="C176" s="1" t="n">
        <v>45809</v>
      </c>
      <c r="D176" t="inlineStr">
        <is>
          <t>VÄRMLANDS LÄN</t>
        </is>
      </c>
      <c r="E176" t="inlineStr">
        <is>
          <t>ARVIKA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43146-2019</t>
        </is>
      </c>
      <c r="B177" s="1" t="n">
        <v>43705</v>
      </c>
      <c r="C177" s="1" t="n">
        <v>45809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44468-2019</t>
        </is>
      </c>
      <c r="B178" s="1" t="n">
        <v>43711</v>
      </c>
      <c r="C178" s="1" t="n">
        <v>45809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45796-2019</t>
        </is>
      </c>
      <c r="B179" s="1" t="n">
        <v>43712</v>
      </c>
      <c r="C179" s="1" t="n">
        <v>45809</v>
      </c>
      <c r="D179" t="inlineStr">
        <is>
          <t>VÄRMLANDS LÄN</t>
        </is>
      </c>
      <c r="E179" t="inlineStr">
        <is>
          <t>ARVIKA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44646-2019</t>
        </is>
      </c>
      <c r="B180" s="1" t="n">
        <v>43712</v>
      </c>
      <c r="C180" s="1" t="n">
        <v>45809</v>
      </c>
      <c r="D180" t="inlineStr">
        <is>
          <t>VÄRMLANDS LÄN</t>
        </is>
      </c>
      <c r="E180" t="inlineStr">
        <is>
          <t>ARVIKA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46270-2019</t>
        </is>
      </c>
      <c r="B181" s="1" t="n">
        <v>43718</v>
      </c>
      <c r="C181" s="1" t="n">
        <v>45809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46129-2019</t>
        </is>
      </c>
      <c r="B182" s="1" t="n">
        <v>43718</v>
      </c>
      <c r="C182" s="1" t="n">
        <v>45809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48077-2019</t>
        </is>
      </c>
      <c r="B183" s="1" t="n">
        <v>43725</v>
      </c>
      <c r="C183" s="1" t="n">
        <v>45809</v>
      </c>
      <c r="D183" t="inlineStr">
        <is>
          <t>VÄRMLANDS LÄN</t>
        </is>
      </c>
      <c r="E183" t="inlineStr">
        <is>
          <t>ARVIKA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48026-2019</t>
        </is>
      </c>
      <c r="B184" s="1" t="n">
        <v>43725</v>
      </c>
      <c r="C184" s="1" t="n">
        <v>45809</v>
      </c>
      <c r="D184" t="inlineStr">
        <is>
          <t>VÄRMLANDS LÄN</t>
        </is>
      </c>
      <c r="E184" t="inlineStr">
        <is>
          <t>ARVIKA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48549-2019</t>
        </is>
      </c>
      <c r="B185" s="1" t="n">
        <v>43727</v>
      </c>
      <c r="C185" s="1" t="n">
        <v>45809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48428-2019</t>
        </is>
      </c>
      <c r="B186" s="1" t="n">
        <v>43727</v>
      </c>
      <c r="C186" s="1" t="n">
        <v>45809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48892-2019</t>
        </is>
      </c>
      <c r="B187" s="1" t="n">
        <v>43728</v>
      </c>
      <c r="C187" s="1" t="n">
        <v>45809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49965-2019</t>
        </is>
      </c>
      <c r="B188" s="1" t="n">
        <v>43733</v>
      </c>
      <c r="C188" s="1" t="n">
        <v>45809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50540-2019</t>
        </is>
      </c>
      <c r="B189" s="1" t="n">
        <v>43735</v>
      </c>
      <c r="C189" s="1" t="n">
        <v>45809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50309-2019</t>
        </is>
      </c>
      <c r="B190" s="1" t="n">
        <v>43735</v>
      </c>
      <c r="C190" s="1" t="n">
        <v>45809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50953-2019</t>
        </is>
      </c>
      <c r="B191" s="1" t="n">
        <v>43738</v>
      </c>
      <c r="C191" s="1" t="n">
        <v>45809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51301-2019</t>
        </is>
      </c>
      <c r="B192" s="1" t="n">
        <v>43739</v>
      </c>
      <c r="C192" s="1" t="n">
        <v>45809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54709-2019</t>
        </is>
      </c>
      <c r="B193" s="1" t="n">
        <v>43748</v>
      </c>
      <c r="C193" s="1" t="n">
        <v>45809</v>
      </c>
      <c r="D193" t="inlineStr">
        <is>
          <t>VÄRMLANDS LÄN</t>
        </is>
      </c>
      <c r="E193" t="inlineStr">
        <is>
          <t>ARVIKA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53665-2019</t>
        </is>
      </c>
      <c r="B194" s="1" t="n">
        <v>43749</v>
      </c>
      <c r="C194" s="1" t="n">
        <v>45809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53491-2019</t>
        </is>
      </c>
      <c r="B195" s="1" t="n">
        <v>43749</v>
      </c>
      <c r="C195" s="1" t="n">
        <v>45809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55810-2019</t>
        </is>
      </c>
      <c r="B196" s="1" t="n">
        <v>43759</v>
      </c>
      <c r="C196" s="1" t="n">
        <v>45809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55608-2019</t>
        </is>
      </c>
      <c r="B197" s="1" t="n">
        <v>43760</v>
      </c>
      <c r="C197" s="1" t="n">
        <v>45809</v>
      </c>
      <c r="D197" t="inlineStr">
        <is>
          <t>VÄRMLANDS LÄN</t>
        </is>
      </c>
      <c r="E197" t="inlineStr">
        <is>
          <t>ARVIKA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56391-2019</t>
        </is>
      </c>
      <c r="B198" s="1" t="n">
        <v>43762</v>
      </c>
      <c r="C198" s="1" t="n">
        <v>45809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57350-2019</t>
        </is>
      </c>
      <c r="B199" s="1" t="n">
        <v>43767</v>
      </c>
      <c r="C199" s="1" t="n">
        <v>45809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58130-2019</t>
        </is>
      </c>
      <c r="B200" s="1" t="n">
        <v>43769</v>
      </c>
      <c r="C200" s="1" t="n">
        <v>45809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58733-2019</t>
        </is>
      </c>
      <c r="B201" s="1" t="n">
        <v>43773</v>
      </c>
      <c r="C201" s="1" t="n">
        <v>45809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58540-2019</t>
        </is>
      </c>
      <c r="B202" s="1" t="n">
        <v>43773</v>
      </c>
      <c r="C202" s="1" t="n">
        <v>45809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59389-2019</t>
        </is>
      </c>
      <c r="B203" s="1" t="n">
        <v>43775</v>
      </c>
      <c r="C203" s="1" t="n">
        <v>45809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59607-2019</t>
        </is>
      </c>
      <c r="B204" s="1" t="n">
        <v>43776</v>
      </c>
      <c r="C204" s="1" t="n">
        <v>45809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61098-2019</t>
        </is>
      </c>
      <c r="B205" s="1" t="n">
        <v>43782</v>
      </c>
      <c r="C205" s="1" t="n">
        <v>45809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61104-2019</t>
        </is>
      </c>
      <c r="B206" s="1" t="n">
        <v>43782</v>
      </c>
      <c r="C206" s="1" t="n">
        <v>45809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61099-2019</t>
        </is>
      </c>
      <c r="B207" s="1" t="n">
        <v>43782</v>
      </c>
      <c r="C207" s="1" t="n">
        <v>45809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61800-2019</t>
        </is>
      </c>
      <c r="B208" s="1" t="n">
        <v>43786</v>
      </c>
      <c r="C208" s="1" t="n">
        <v>45809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62238-2019</t>
        </is>
      </c>
      <c r="B209" s="1" t="n">
        <v>43788</v>
      </c>
      <c r="C209" s="1" t="n">
        <v>45809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62911-2019</t>
        </is>
      </c>
      <c r="B210" s="1" t="n">
        <v>43790</v>
      </c>
      <c r="C210" s="1" t="n">
        <v>45809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62922-2019</t>
        </is>
      </c>
      <c r="B211" s="1" t="n">
        <v>43790</v>
      </c>
      <c r="C211" s="1" t="n">
        <v>45809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62917-2019</t>
        </is>
      </c>
      <c r="B212" s="1" t="n">
        <v>43790</v>
      </c>
      <c r="C212" s="1" t="n">
        <v>45809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62931-2019</t>
        </is>
      </c>
      <c r="B213" s="1" t="n">
        <v>43790</v>
      </c>
      <c r="C213" s="1" t="n">
        <v>45809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62905-2019</t>
        </is>
      </c>
      <c r="B214" s="1" t="n">
        <v>43790</v>
      </c>
      <c r="C214" s="1" t="n">
        <v>45809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62914-2019</t>
        </is>
      </c>
      <c r="B215" s="1" t="n">
        <v>43790</v>
      </c>
      <c r="C215" s="1" t="n">
        <v>45809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62924-2019</t>
        </is>
      </c>
      <c r="B216" s="1" t="n">
        <v>43790</v>
      </c>
      <c r="C216" s="1" t="n">
        <v>45809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64912-2019</t>
        </is>
      </c>
      <c r="B217" s="1" t="n">
        <v>43795</v>
      </c>
      <c r="C217" s="1" t="n">
        <v>45809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64886-2019</t>
        </is>
      </c>
      <c r="B218" s="1" t="n">
        <v>43795</v>
      </c>
      <c r="C218" s="1" t="n">
        <v>45809</v>
      </c>
      <c r="D218" t="inlineStr">
        <is>
          <t>VÄRMLANDS LÄN</t>
        </is>
      </c>
      <c r="E218" t="inlineStr">
        <is>
          <t>ARVIKA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64510-2019</t>
        </is>
      </c>
      <c r="B219" s="1" t="n">
        <v>43798</v>
      </c>
      <c r="C219" s="1" t="n">
        <v>45809</v>
      </c>
      <c r="D219" t="inlineStr">
        <is>
          <t>VÄRMLANDS LÄN</t>
        </is>
      </c>
      <c r="E219" t="inlineStr">
        <is>
          <t>ARVIKA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64609-2019</t>
        </is>
      </c>
      <c r="B220" s="1" t="n">
        <v>43798</v>
      </c>
      <c r="C220" s="1" t="n">
        <v>45809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64519-2019</t>
        </is>
      </c>
      <c r="B221" s="1" t="n">
        <v>43798</v>
      </c>
      <c r="C221" s="1" t="n">
        <v>45809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65205-2019</t>
        </is>
      </c>
      <c r="B222" s="1" t="n">
        <v>43802</v>
      </c>
      <c r="C222" s="1" t="n">
        <v>45809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65880-2019</t>
        </is>
      </c>
      <c r="B223" s="1" t="n">
        <v>43805</v>
      </c>
      <c r="C223" s="1" t="n">
        <v>45809</v>
      </c>
      <c r="D223" t="inlineStr">
        <is>
          <t>VÄRMLANDS LÄN</t>
        </is>
      </c>
      <c r="E223" t="inlineStr">
        <is>
          <t>ARVIKA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66352-2019</t>
        </is>
      </c>
      <c r="B224" s="1" t="n">
        <v>43808</v>
      </c>
      <c r="C224" s="1" t="n">
        <v>45809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66818-2019</t>
        </is>
      </c>
      <c r="B225" s="1" t="n">
        <v>43810</v>
      </c>
      <c r="C225" s="1" t="n">
        <v>45809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67134-2019</t>
        </is>
      </c>
      <c r="B226" s="1" t="n">
        <v>43811</v>
      </c>
      <c r="C226" s="1" t="n">
        <v>45809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67700-2019</t>
        </is>
      </c>
      <c r="B227" s="1" t="n">
        <v>43815</v>
      </c>
      <c r="C227" s="1" t="n">
        <v>45809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68056-2019</t>
        </is>
      </c>
      <c r="B228" s="1" t="n">
        <v>43816</v>
      </c>
      <c r="C228" s="1" t="n">
        <v>45809</v>
      </c>
      <c r="D228" t="inlineStr">
        <is>
          <t>VÄRMLANDS LÄN</t>
        </is>
      </c>
      <c r="E228" t="inlineStr">
        <is>
          <t>ARVIKA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67903-2019</t>
        </is>
      </c>
      <c r="B229" s="1" t="n">
        <v>43816</v>
      </c>
      <c r="C229" s="1" t="n">
        <v>45809</v>
      </c>
      <c r="D229" t="inlineStr">
        <is>
          <t>VÄRMLANDS LÄN</t>
        </is>
      </c>
      <c r="E229" t="inlineStr">
        <is>
          <t>ARVIKA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68059-2019</t>
        </is>
      </c>
      <c r="B230" s="1" t="n">
        <v>43816</v>
      </c>
      <c r="C230" s="1" t="n">
        <v>45809</v>
      </c>
      <c r="D230" t="inlineStr">
        <is>
          <t>VÄRMLANDS LÄN</t>
        </is>
      </c>
      <c r="E230" t="inlineStr">
        <is>
          <t>ARVIKA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68372-2019</t>
        </is>
      </c>
      <c r="B231" s="1" t="n">
        <v>43817</v>
      </c>
      <c r="C231" s="1" t="n">
        <v>45809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68567-2019</t>
        </is>
      </c>
      <c r="B232" s="1" t="n">
        <v>43818</v>
      </c>
      <c r="C232" s="1" t="n">
        <v>45809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68560-2019</t>
        </is>
      </c>
      <c r="B233" s="1" t="n">
        <v>43818</v>
      </c>
      <c r="C233" s="1" t="n">
        <v>45809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68577-2019</t>
        </is>
      </c>
      <c r="B234" s="1" t="n">
        <v>43818</v>
      </c>
      <c r="C234" s="1" t="n">
        <v>45809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68573-2019</t>
        </is>
      </c>
      <c r="B235" s="1" t="n">
        <v>43818</v>
      </c>
      <c r="C235" s="1" t="n">
        <v>45809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68895-2019</t>
        </is>
      </c>
      <c r="B236" s="1" t="n">
        <v>43822</v>
      </c>
      <c r="C236" s="1" t="n">
        <v>45809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69086-2019</t>
        </is>
      </c>
      <c r="B237" s="1" t="n">
        <v>43829</v>
      </c>
      <c r="C237" s="1" t="n">
        <v>45809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91-2020</t>
        </is>
      </c>
      <c r="B238" s="1" t="n">
        <v>43832</v>
      </c>
      <c r="C238" s="1" t="n">
        <v>45809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14-2020</t>
        </is>
      </c>
      <c r="B239" s="1" t="n">
        <v>43832</v>
      </c>
      <c r="C239" s="1" t="n">
        <v>45809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94-2020</t>
        </is>
      </c>
      <c r="B240" s="1" t="n">
        <v>43832</v>
      </c>
      <c r="C240" s="1" t="n">
        <v>45809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197-2020</t>
        </is>
      </c>
      <c r="B241" s="1" t="n">
        <v>43833</v>
      </c>
      <c r="C241" s="1" t="n">
        <v>45809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239-2020</t>
        </is>
      </c>
      <c r="B242" s="1" t="n">
        <v>43835</v>
      </c>
      <c r="C242" s="1" t="n">
        <v>45809</v>
      </c>
      <c r="D242" t="inlineStr">
        <is>
          <t>VÄRMLANDS LÄN</t>
        </is>
      </c>
      <c r="E242" t="inlineStr">
        <is>
          <t>ARVIKA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323-2020</t>
        </is>
      </c>
      <c r="B243" s="1" t="n">
        <v>43837</v>
      </c>
      <c r="C243" s="1" t="n">
        <v>45809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351-2020</t>
        </is>
      </c>
      <c r="B244" s="1" t="n">
        <v>43837</v>
      </c>
      <c r="C244" s="1" t="n">
        <v>45809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1795-2020</t>
        </is>
      </c>
      <c r="B245" s="1" t="n">
        <v>43837</v>
      </c>
      <c r="C245" s="1" t="n">
        <v>45809</v>
      </c>
      <c r="D245" t="inlineStr">
        <is>
          <t>VÄRMLANDS LÄN</t>
        </is>
      </c>
      <c r="E245" t="inlineStr">
        <is>
          <t>ARVIKA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1791-2020</t>
        </is>
      </c>
      <c r="B246" s="1" t="n">
        <v>43837</v>
      </c>
      <c r="C246" s="1" t="n">
        <v>45809</v>
      </c>
      <c r="D246" t="inlineStr">
        <is>
          <t>VÄRMLANDS LÄN</t>
        </is>
      </c>
      <c r="E246" t="inlineStr">
        <is>
          <t>ARVIKA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858-2020</t>
        </is>
      </c>
      <c r="B247" s="1" t="n">
        <v>43839</v>
      </c>
      <c r="C247" s="1" t="n">
        <v>45809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996-2020</t>
        </is>
      </c>
      <c r="B248" s="1" t="n">
        <v>43839</v>
      </c>
      <c r="C248" s="1" t="n">
        <v>45809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854-2020</t>
        </is>
      </c>
      <c r="B249" s="1" t="n">
        <v>43839</v>
      </c>
      <c r="C249" s="1" t="n">
        <v>45809</v>
      </c>
      <c r="D249" t="inlineStr">
        <is>
          <t>VÄRMLANDS LÄN</t>
        </is>
      </c>
      <c r="E249" t="inlineStr">
        <is>
          <t>ARVIKA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2513-2020</t>
        </is>
      </c>
      <c r="B250" s="1" t="n">
        <v>43843</v>
      </c>
      <c r="C250" s="1" t="n">
        <v>45809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2706-2020</t>
        </is>
      </c>
      <c r="B251" s="1" t="n">
        <v>43843</v>
      </c>
      <c r="C251" s="1" t="n">
        <v>45809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2709-2020</t>
        </is>
      </c>
      <c r="B252" s="1" t="n">
        <v>43843</v>
      </c>
      <c r="C252" s="1" t="n">
        <v>45809</v>
      </c>
      <c r="D252" t="inlineStr">
        <is>
          <t>VÄRMLANDS LÄN</t>
        </is>
      </c>
      <c r="E252" t="inlineStr">
        <is>
          <t>ARVIKA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2771-2020</t>
        </is>
      </c>
      <c r="B253" s="1" t="n">
        <v>43843</v>
      </c>
      <c r="C253" s="1" t="n">
        <v>45809</v>
      </c>
      <c r="D253" t="inlineStr">
        <is>
          <t>VÄRMLANDS LÄN</t>
        </is>
      </c>
      <c r="E253" t="inlineStr">
        <is>
          <t>ARVIKA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2075-2020</t>
        </is>
      </c>
      <c r="B254" s="1" t="n">
        <v>43845</v>
      </c>
      <c r="C254" s="1" t="n">
        <v>45809</v>
      </c>
      <c r="D254" t="inlineStr">
        <is>
          <t>VÄRMLANDS LÄN</t>
        </is>
      </c>
      <c r="E254" t="inlineStr">
        <is>
          <t>ARVIKA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3903-2020</t>
        </is>
      </c>
      <c r="B255" s="1" t="n">
        <v>43846</v>
      </c>
      <c r="C255" s="1" t="n">
        <v>45809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2624-2020</t>
        </is>
      </c>
      <c r="B256" s="1" t="n">
        <v>43847</v>
      </c>
      <c r="C256" s="1" t="n">
        <v>45809</v>
      </c>
      <c r="D256" t="inlineStr">
        <is>
          <t>VÄRMLANDS LÄN</t>
        </is>
      </c>
      <c r="E256" t="inlineStr">
        <is>
          <t>ARVIKA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3420-2020</t>
        </is>
      </c>
      <c r="B257" s="1" t="n">
        <v>43852</v>
      </c>
      <c r="C257" s="1" t="n">
        <v>45809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3927-2020</t>
        </is>
      </c>
      <c r="B258" s="1" t="n">
        <v>43854</v>
      </c>
      <c r="C258" s="1" t="n">
        <v>45809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5359-2020</t>
        </is>
      </c>
      <c r="B259" s="1" t="n">
        <v>43857</v>
      </c>
      <c r="C259" s="1" t="n">
        <v>45809</v>
      </c>
      <c r="D259" t="inlineStr">
        <is>
          <t>VÄRMLANDS LÄN</t>
        </is>
      </c>
      <c r="E259" t="inlineStr">
        <is>
          <t>ARVIKA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5602-2020</t>
        </is>
      </c>
      <c r="B260" s="1" t="n">
        <v>43861</v>
      </c>
      <c r="C260" s="1" t="n">
        <v>45809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6169-2020</t>
        </is>
      </c>
      <c r="B261" s="1" t="n">
        <v>43865</v>
      </c>
      <c r="C261" s="1" t="n">
        <v>45809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6770-2020</t>
        </is>
      </c>
      <c r="B262" s="1" t="n">
        <v>43867</v>
      </c>
      <c r="C262" s="1" t="n">
        <v>45809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6696-2020</t>
        </is>
      </c>
      <c r="B263" s="1" t="n">
        <v>43867</v>
      </c>
      <c r="C263" s="1" t="n">
        <v>45809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7936-2020</t>
        </is>
      </c>
      <c r="B264" s="1" t="n">
        <v>43873</v>
      </c>
      <c r="C264" s="1" t="n">
        <v>45809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8342-2020</t>
        </is>
      </c>
      <c r="B265" s="1" t="n">
        <v>43874</v>
      </c>
      <c r="C265" s="1" t="n">
        <v>45809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10424-2020</t>
        </is>
      </c>
      <c r="B266" s="1" t="n">
        <v>43886</v>
      </c>
      <c r="C266" s="1" t="n">
        <v>45809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11170-2020</t>
        </is>
      </c>
      <c r="B267" s="1" t="n">
        <v>43891</v>
      </c>
      <c r="C267" s="1" t="n">
        <v>45809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11313-2020</t>
        </is>
      </c>
      <c r="B268" s="1" t="n">
        <v>43892</v>
      </c>
      <c r="C268" s="1" t="n">
        <v>45809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11660-2020</t>
        </is>
      </c>
      <c r="B269" s="1" t="n">
        <v>43893</v>
      </c>
      <c r="C269" s="1" t="n">
        <v>45809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12210-2020</t>
        </is>
      </c>
      <c r="B270" s="1" t="n">
        <v>43895</v>
      </c>
      <c r="C270" s="1" t="n">
        <v>45809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12399-2020</t>
        </is>
      </c>
      <c r="B271" s="1" t="n">
        <v>43896</v>
      </c>
      <c r="C271" s="1" t="n">
        <v>45809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12506-2020</t>
        </is>
      </c>
      <c r="B272" s="1" t="n">
        <v>43896</v>
      </c>
      <c r="C272" s="1" t="n">
        <v>45809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12559-2020</t>
        </is>
      </c>
      <c r="B273" s="1" t="n">
        <v>43898</v>
      </c>
      <c r="C273" s="1" t="n">
        <v>45809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12995-2020</t>
        </is>
      </c>
      <c r="B274" s="1" t="n">
        <v>43900</v>
      </c>
      <c r="C274" s="1" t="n">
        <v>45809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13060-2020</t>
        </is>
      </c>
      <c r="B275" s="1" t="n">
        <v>43900</v>
      </c>
      <c r="C275" s="1" t="n">
        <v>45809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13459-2020</t>
        </is>
      </c>
      <c r="B276" s="1" t="n">
        <v>43902</v>
      </c>
      <c r="C276" s="1" t="n">
        <v>45809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13623-2020</t>
        </is>
      </c>
      <c r="B277" s="1" t="n">
        <v>43903</v>
      </c>
      <c r="C277" s="1" t="n">
        <v>45809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13615-2020</t>
        </is>
      </c>
      <c r="B278" s="1" t="n">
        <v>43903</v>
      </c>
      <c r="C278" s="1" t="n">
        <v>45809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13828-2020</t>
        </is>
      </c>
      <c r="B279" s="1" t="n">
        <v>43905</v>
      </c>
      <c r="C279" s="1" t="n">
        <v>45809</v>
      </c>
      <c r="D279" t="inlineStr">
        <is>
          <t>VÄRMLANDS LÄN</t>
        </is>
      </c>
      <c r="E279" t="inlineStr">
        <is>
          <t>ARVIKA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14052-2020</t>
        </is>
      </c>
      <c r="B280" s="1" t="n">
        <v>43906</v>
      </c>
      <c r="C280" s="1" t="n">
        <v>45809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14445-2020</t>
        </is>
      </c>
      <c r="B281" s="1" t="n">
        <v>43908</v>
      </c>
      <c r="C281" s="1" t="n">
        <v>45809</v>
      </c>
      <c r="D281" t="inlineStr">
        <is>
          <t>VÄRMLANDS LÄN</t>
        </is>
      </c>
      <c r="E281" t="inlineStr">
        <is>
          <t>ARVIKA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14353-2020</t>
        </is>
      </c>
      <c r="B282" s="1" t="n">
        <v>43908</v>
      </c>
      <c r="C282" s="1" t="n">
        <v>45809</v>
      </c>
      <c r="D282" t="inlineStr">
        <is>
          <t>VÄRMLANDS LÄN</t>
        </is>
      </c>
      <c r="E282" t="inlineStr">
        <is>
          <t>ARVIKA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14661-2020</t>
        </is>
      </c>
      <c r="B283" s="1" t="n">
        <v>43909</v>
      </c>
      <c r="C283" s="1" t="n">
        <v>45809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14606-2020</t>
        </is>
      </c>
      <c r="B284" s="1" t="n">
        <v>43909</v>
      </c>
      <c r="C284" s="1" t="n">
        <v>45809</v>
      </c>
      <c r="D284" t="inlineStr">
        <is>
          <t>VÄRMLANDS LÄN</t>
        </is>
      </c>
      <c r="E284" t="inlineStr">
        <is>
          <t>ARVIKA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15022-2020</t>
        </is>
      </c>
      <c r="B285" s="1" t="n">
        <v>43910</v>
      </c>
      <c r="C285" s="1" t="n">
        <v>45809</v>
      </c>
      <c r="D285" t="inlineStr">
        <is>
          <t>VÄRMLANDS LÄN</t>
        </is>
      </c>
      <c r="E285" t="inlineStr">
        <is>
          <t>ARVIKA</t>
        </is>
      </c>
      <c r="G285" t="n">
        <v>29.3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15256-2020</t>
        </is>
      </c>
      <c r="B286" s="1" t="n">
        <v>43913</v>
      </c>
      <c r="C286" s="1" t="n">
        <v>45809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15259-2020</t>
        </is>
      </c>
      <c r="B287" s="1" t="n">
        <v>43913</v>
      </c>
      <c r="C287" s="1" t="n">
        <v>45809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15339-2020</t>
        </is>
      </c>
      <c r="B288" s="1" t="n">
        <v>43913</v>
      </c>
      <c r="C288" s="1" t="n">
        <v>45809</v>
      </c>
      <c r="D288" t="inlineStr">
        <is>
          <t>VÄRMLANDS LÄN</t>
        </is>
      </c>
      <c r="E288" t="inlineStr">
        <is>
          <t>ARVIKA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15627-2020</t>
        </is>
      </c>
      <c r="B289" s="1" t="n">
        <v>43914</v>
      </c>
      <c r="C289" s="1" t="n">
        <v>45809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15657-2020</t>
        </is>
      </c>
      <c r="B290" s="1" t="n">
        <v>43915</v>
      </c>
      <c r="C290" s="1" t="n">
        <v>45809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15853-2020</t>
        </is>
      </c>
      <c r="B291" s="1" t="n">
        <v>43915</v>
      </c>
      <c r="C291" s="1" t="n">
        <v>45809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16030-2020</t>
        </is>
      </c>
      <c r="B292" s="1" t="n">
        <v>43916</v>
      </c>
      <c r="C292" s="1" t="n">
        <v>45809</v>
      </c>
      <c r="D292" t="inlineStr">
        <is>
          <t>VÄRMLANDS LÄN</t>
        </is>
      </c>
      <c r="E292" t="inlineStr">
        <is>
          <t>ARVIKA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16035-2020</t>
        </is>
      </c>
      <c r="B293" s="1" t="n">
        <v>43916</v>
      </c>
      <c r="C293" s="1" t="n">
        <v>45809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16064-2020</t>
        </is>
      </c>
      <c r="B294" s="1" t="n">
        <v>43916</v>
      </c>
      <c r="C294" s="1" t="n">
        <v>45809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16329-2020</t>
        </is>
      </c>
      <c r="B295" s="1" t="n">
        <v>43917</v>
      </c>
      <c r="C295" s="1" t="n">
        <v>45809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17036-2020</t>
        </is>
      </c>
      <c r="B296" s="1" t="n">
        <v>43921</v>
      </c>
      <c r="C296" s="1" t="n">
        <v>45809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17732-2020</t>
        </is>
      </c>
      <c r="B297" s="1" t="n">
        <v>43924</v>
      </c>
      <c r="C297" s="1" t="n">
        <v>45809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17970-2020</t>
        </is>
      </c>
      <c r="B298" s="1" t="n">
        <v>43925</v>
      </c>
      <c r="C298" s="1" t="n">
        <v>45809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19519-2020</t>
        </is>
      </c>
      <c r="B299" s="1" t="n">
        <v>43939</v>
      </c>
      <c r="C299" s="1" t="n">
        <v>45809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20235-2020</t>
        </is>
      </c>
      <c r="B300" s="1" t="n">
        <v>43944</v>
      </c>
      <c r="C300" s="1" t="n">
        <v>45809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20564-2020</t>
        </is>
      </c>
      <c r="B301" s="1" t="n">
        <v>43948</v>
      </c>
      <c r="C301" s="1" t="n">
        <v>45809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20798-2020</t>
        </is>
      </c>
      <c r="B302" s="1" t="n">
        <v>43949</v>
      </c>
      <c r="C302" s="1" t="n">
        <v>45809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20898-2020</t>
        </is>
      </c>
      <c r="B303" s="1" t="n">
        <v>43950</v>
      </c>
      <c r="C303" s="1" t="n">
        <v>45809</v>
      </c>
      <c r="D303" t="inlineStr">
        <is>
          <t>VÄRMLANDS LÄN</t>
        </is>
      </c>
      <c r="E303" t="inlineStr">
        <is>
          <t>ARVIKA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23165-2020</t>
        </is>
      </c>
      <c r="B304" s="1" t="n">
        <v>43966</v>
      </c>
      <c r="C304" s="1" t="n">
        <v>45809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23362-2020</t>
        </is>
      </c>
      <c r="B305" s="1" t="n">
        <v>43967</v>
      </c>
      <c r="C305" s="1" t="n">
        <v>45809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24165-2020</t>
        </is>
      </c>
      <c r="B306" s="1" t="n">
        <v>43975</v>
      </c>
      <c r="C306" s="1" t="n">
        <v>45809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25237-2020</t>
        </is>
      </c>
      <c r="B307" s="1" t="n">
        <v>43979</v>
      </c>
      <c r="C307" s="1" t="n">
        <v>45809</v>
      </c>
      <c r="D307" t="inlineStr">
        <is>
          <t>VÄRMLANDS LÄN</t>
        </is>
      </c>
      <c r="E307" t="inlineStr">
        <is>
          <t>ARVIKA</t>
        </is>
      </c>
      <c r="G307" t="n">
        <v>26.4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25234-2020</t>
        </is>
      </c>
      <c r="B308" s="1" t="n">
        <v>43979</v>
      </c>
      <c r="C308" s="1" t="n">
        <v>45809</v>
      </c>
      <c r="D308" t="inlineStr">
        <is>
          <t>VÄRMLANDS LÄN</t>
        </is>
      </c>
      <c r="E308" t="inlineStr">
        <is>
          <t>ARVIKA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45809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45809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45809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45809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45809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45809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45809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45809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45809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45809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45809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45809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45809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45809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45809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45809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45809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45809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45809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45809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45809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45809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45809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45809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45809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45809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45809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45809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45809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45809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45809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45809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45809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45809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45809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45809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45809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45809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45809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45809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45809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45809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45809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45809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45809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45809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45809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45809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45809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45809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45809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45809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45809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45809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45809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45809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45809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45809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45809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45809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45809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45809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45809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45809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45809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45809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45809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45809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45809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45809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45809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45809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45809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45809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45809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45809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45809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45809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45809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45809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45809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45809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45809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45809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45809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45809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45809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45809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45809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45809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45809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45809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45809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45809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45809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45809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45809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45809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45809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45809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45809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45809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45809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45809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45809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45809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45809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45809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45809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45809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45809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45809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45809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45809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45809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45809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45809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45809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45809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45809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45809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45809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45809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45809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45809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45809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45809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45809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45809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45809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45809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45809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45809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45809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45809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45809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45809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45809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45809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45809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45809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45809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45809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45809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45809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45809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45809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45809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45809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45809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45809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45809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45809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45809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45809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45809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45809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45809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45809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45809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45809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45809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45809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45809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45809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45809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45809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45809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45809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45809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45809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45809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45809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45809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45809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45809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45809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45809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45809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45809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45809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45809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45809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45809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45809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45809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45809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45809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45809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45809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45809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45809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45809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45809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45809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45809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45809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45809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45809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45809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45809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45809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45809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45809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45809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45809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45809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45809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45809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45809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45809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45809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45809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45809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45809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45809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45809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45809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45809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45809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45809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45809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45809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45809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45809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45809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45809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45809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45809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45809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45809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45809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45809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45809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45809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45809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45809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45809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45809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45809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45809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45809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45809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45809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45809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45809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45809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45809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45809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45809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45809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45809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45809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45809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45809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45809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45809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45809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45809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45809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45809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45809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45809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45809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45809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45809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45809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45809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45809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45809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45809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45809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45809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45809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45809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45809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45809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45809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45809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45809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45809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45809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45809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45809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45809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45809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45809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45809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45809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45809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45809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45809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45809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45809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45809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45809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45809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45809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45809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45809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45809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45809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45809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45809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45809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45809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45809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45809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45809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45809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45809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45809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45809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45809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45809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45809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45809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45809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45809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45809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45809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45809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45809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45809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45809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45809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45809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45809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45809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45809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45809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45809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45809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45809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45809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45809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45809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45809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45809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45809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45809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45809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45809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45809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45809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45809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45809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45809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45809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45809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45809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45809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45809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45809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45809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45809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45809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45809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45809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45809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45809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45809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45809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45809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45809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45809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45809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45809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45809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45809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45809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45809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45809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45809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45809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45809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45809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45809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45809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45809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45809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45809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45809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45809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45809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45809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45809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45809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45809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45809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45809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45809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45809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45809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45809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45809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45809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45809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45809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45809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45809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45809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45809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45809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45809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45809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45809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45809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45809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45809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45809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45809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45809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45809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45809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45809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45809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45809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45809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45809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45809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45809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45809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45809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45809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45809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45809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45809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45809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45809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45809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45809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45809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45809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45809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45809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45809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45809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45809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45809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45809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45809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45809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45809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45809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45809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45809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45809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45809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45809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45809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45809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45809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45809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45809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45809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45809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45809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45809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45809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45809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45809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45809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45809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45809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45809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45809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45809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45809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45809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45809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45809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45809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45809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45809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45809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45809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45809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45809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45809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45809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45809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45809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45809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45809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45809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45809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45809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45809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45809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45809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45809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45809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45809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45809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45809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45809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45809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45809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45809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45809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45809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45809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45809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45809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45809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45809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45809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45809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45809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45809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45809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45809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45809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45809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45809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45809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45809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45809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45809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45809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45809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45809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45809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45809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45809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45809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45809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45809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45809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45809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45809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45809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45809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45809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45809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45809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45809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45809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45809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45809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45809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45809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45809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45809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45809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45809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45809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45809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45809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45809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45809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45809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45809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45809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45809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45809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45809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45809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45809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45809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45809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45809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45809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45809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45809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45809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45809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45809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45809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45809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45809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45809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45809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45809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45809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45809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45809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45809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45809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45809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45809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45809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45809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45809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45809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45809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45809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45809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45809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45809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45809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45809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45809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45809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45809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45809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45809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45809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45809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45809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45809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45809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45809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45809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45809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45809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45809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45809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45809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45809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45809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45809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45809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45809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45809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45809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45809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45809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45809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45809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45809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45809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45809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45809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45809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45809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45809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45809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45809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45809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45809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45809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45809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45809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45809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45809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45809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45809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45809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45809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45809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45809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45809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45809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45809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45809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45809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45809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45809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45809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45809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45809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45809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45809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45809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45809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45809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45809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45809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45809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45809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45809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45809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45809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45809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45809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45809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45809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45809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45809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45809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45809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45809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45809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45809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45809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45809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45809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45809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45809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45809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45809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45809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45809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45809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45809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45809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45809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45809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45809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45809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45809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45809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45809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45809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45809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45809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45809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45809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45809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45809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45809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45809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45809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45809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45809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45809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45809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45809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45809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45809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45809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45809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45809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45809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45809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45809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45809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45809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45809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45809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45809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45809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45809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45809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45809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45809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45809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45809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45809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45809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45809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45809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45809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45809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45809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45809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45809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45809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45809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45809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45809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45809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45809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45809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45809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45809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45809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45809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45809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45809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45809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45809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45809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45809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45809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45809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45809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45809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45809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45809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45809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45809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45809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45809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45809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45809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45809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45809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45809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45809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45809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45809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45809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45809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45809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45809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45809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45809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45809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45809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45809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45809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45809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45809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45809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45809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45809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45809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45809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45809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45809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45809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45809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45809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45809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45809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45809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45809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45809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45809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45809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45809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45809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45809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45809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45809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45809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45809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45809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45809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45809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45809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45809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45809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45809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45809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45809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45809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45809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45809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45809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45809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45809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45809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45809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45809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45809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45809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45809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45809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45809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45809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45809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45809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45809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45809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45809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45809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45809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45809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45809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45809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45809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45809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45809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45809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45809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45809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45809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45809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45809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45809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45809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45809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45809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45809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45809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45809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45809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45809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45809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45809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45809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45809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45809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45809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45809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45809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45809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45809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45809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45809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45809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45809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45809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45809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45809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45809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45809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45809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45809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45809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45809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45809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45809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45809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45809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45809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45809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45809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45809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45809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45809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45809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45809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45809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45809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45809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45809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45809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45809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45809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45809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45809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45809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45809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45809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45809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45809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45809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45809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45809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45809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45809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45809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45809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45809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45809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45809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45809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45809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45809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45809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45809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45809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45809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45809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45809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45809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45809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45809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45809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45809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45809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45809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45809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45809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45809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45809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45809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45809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45809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45809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45809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45809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45809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45809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45809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45809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45809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45809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45809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45809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45809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45809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45809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45809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45809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45809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45809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45809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45809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45809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45809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45809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45809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45809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45809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45809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45809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45809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45809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45809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45809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45809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45809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45809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45809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45809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45809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45809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45809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45809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45809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45809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45809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45809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45809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45809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45809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45809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45809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45809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45809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45809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45809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45809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45809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45809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45809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45809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45809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45809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45809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45809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45809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45809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45809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45809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45809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45809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45809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45809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45809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45809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45809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45809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45809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45809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45809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45809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45809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45809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45809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45809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45809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45809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45809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45809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45809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45809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45809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45809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45809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45809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45809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45809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45809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45809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45809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45809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45809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45809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45809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45809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45809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45809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45809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45809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45809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45809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45809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45809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45809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45809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45809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45809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45809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45809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45809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45809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45809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45809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45809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45809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45809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45809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45809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45809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45809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45809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45809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45809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45809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45809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45809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45809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45809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45809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45809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45809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45809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45809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45809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45809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45809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45809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45809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45809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45809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45809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45809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45809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45809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45809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45809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45809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45809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45809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45809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45809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45809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45809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45809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45809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45809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45809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45809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45809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45809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45809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45809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45809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45809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45809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45809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45809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45809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45809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45809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45809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45809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45809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45809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45809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45809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45809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45809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45809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45809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45809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45809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45809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45809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45809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45809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45809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45809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45809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45809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45809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45809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45809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45809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45809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45809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45809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45809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45809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45809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45809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45809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45809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45809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45809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45809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45809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45809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45809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45809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45809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45809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45809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45809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45809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45809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45809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45809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45809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45809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45809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45809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45809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45809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45809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45809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45809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45809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45809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45809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45809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45809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45809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45809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45809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45809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45809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45809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45809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45809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45809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45809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45809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45809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45809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45809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45809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45809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45809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45809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45809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45809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45809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45809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45809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45809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45809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45809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45809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45809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45809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45809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45809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45809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45809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45809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45809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45809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45809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45809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45809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45809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45809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45809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45809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45809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45809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45809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45809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45809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45809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45809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45809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45809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45809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45809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45809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45809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45809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45809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45809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45809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45809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45809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45809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45809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45809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45809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45809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45809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45809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45809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45809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45809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45809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45809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45809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45809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45809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45809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45809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45809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45809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45809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45809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45809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45809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45809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45809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45809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45809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45809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45809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45809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45809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45809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45809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45809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45809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45809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45809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45809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45809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45809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45809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45809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45809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45809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45809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45809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45809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45809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45809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45809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45809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45809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45809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45809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45809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45809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45809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45809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45809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45809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45809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45809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45809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45809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45809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45809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45809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45809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45809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45809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45809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45809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45809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45809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45809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45809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45809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45809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45809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45809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45809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45809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45809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45809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45809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45809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45809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45809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45809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45809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45809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45809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45809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45809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45809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45809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45809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45809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45809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45809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45809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45809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45809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45809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45809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45809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45809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45809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45809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45809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45809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45809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45809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45809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45809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45809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45809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45809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45809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45809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45809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45809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45809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45809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45809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45809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45809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45809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45809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45809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45809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45809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45809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45809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45809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45809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45809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45809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45809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45809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45809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45809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45809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45809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45809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45809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45809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45809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45809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45809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45809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45809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45809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45809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45809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45809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45809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45809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45809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45809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45809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45809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45809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45809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45809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45809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45809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45809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45809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45809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45809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45809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45809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45809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45809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45809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45809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45809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45809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45809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45809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45809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45809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45809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45809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45809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45809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45809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45809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45809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45809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45809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45809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45809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45809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45809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45809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45809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45809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45809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45809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45809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45809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45809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45809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45809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45809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45809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45809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45809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45809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45809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45809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45809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45809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45809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45809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45809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45809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45809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45809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45809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45809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45809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45809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45809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45809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45809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45809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45809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45809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45809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45809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45809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45809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45809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45809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45809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45809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45809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45809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45809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45809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45809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45809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45809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45809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45809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45809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45809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45809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45809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45809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45809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45809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45809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45809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45809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45809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45809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45809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45809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45809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45809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45809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45809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45809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45809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45809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45809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45809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45809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45809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45809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45809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45809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45809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45809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45809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45809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45809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45809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45809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45809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45809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45809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45809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45809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45809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45809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45809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45809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45809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45809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45809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45809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45809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45809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45809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45809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45809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45809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45809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45809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45809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45809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45809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45809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45809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45809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45809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45809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45809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45809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45809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45809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45809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45809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45809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45809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45809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45809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45809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45809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45809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45809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45809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45809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45809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45809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45809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45809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45809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45809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45809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45809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45809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45809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45809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45809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45809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45809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45809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45809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45809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45809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45809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45809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45809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45809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45809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45809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45809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45809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45809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45809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45809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45809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45809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45809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45809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45809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45809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45809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45809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45809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45809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45809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45809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45809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45809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45809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45809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45809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45809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45809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45809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45809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45809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45809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45809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45809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45809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45809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45809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45809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45809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45809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45809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45809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45809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45809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45809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45809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45809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45809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45809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45809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45809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45809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45809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45809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45809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45809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45809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45809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45809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45809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45809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45809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45809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45809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45809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45809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45809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45809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45809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45809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45809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45809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45809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45809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45809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45809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45809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45809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45809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45809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45809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45809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45809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45809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45809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45809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45809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45809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45809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45809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45809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45809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45809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45809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45809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45809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45809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45809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45809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45809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45809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45809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45809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45809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45809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45809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45809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45809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45809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45809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45809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45809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45809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45809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45809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45809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45809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45809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45809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45809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45809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45809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45809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45809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45809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45809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45809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45809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45809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45809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45809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45809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45809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45809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45809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45809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45809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45809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45809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45809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45809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45809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45809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45809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45809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45809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45809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45809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45809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45809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45809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45809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45809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45809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45809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45809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45809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45809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45809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45809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45809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45809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45809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45809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45809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45809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45809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45809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45809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45809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45809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45809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45809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45809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45809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45809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45809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45809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45809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45809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45809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45809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45809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45809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45809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45809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45809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45809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45809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45809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45809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45809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45809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45809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45809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45809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45809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45809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45809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45809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45809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45809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45809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45809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45809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45809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45809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45809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45809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45809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45809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45809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45809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45809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45809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45809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45809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45809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45809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45809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45809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45809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45809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45809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45809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45809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45809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45809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45809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45809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45809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45809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45809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45809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45809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45809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45809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45809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45809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45809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45809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45809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45809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45809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45809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45809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45809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45809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45809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45809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45809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45809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45809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45809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45809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45809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45809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45809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45809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45809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45809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45809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45809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45809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45809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45809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45809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45809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45809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45809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45809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45809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45809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45809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45809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45809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45809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45809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45809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45809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45809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45809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45809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45809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45809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45809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45809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45809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45809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45809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45809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45809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45809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45809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45809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45809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45809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45809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45809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45809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45809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45809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45809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45809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45809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45809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45809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45809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45809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45809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45809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45809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45809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45809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45809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45809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45809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45809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45809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45809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45809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45809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45809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45809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45809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45809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45809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45809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45809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45809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45809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45809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45809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45809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45809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45809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45809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45809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45809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45809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45809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45809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45809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45809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45809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45809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45809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45809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45809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45809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45809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45809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45809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45809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45809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45809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45809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45809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45809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45809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45809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45809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45809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45809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45809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45809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45809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45809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45809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45809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45809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45809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45809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45809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45809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45809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45809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45809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45809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45809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45809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45809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45809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45809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45809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45809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45809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45809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45809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45809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45809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45809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45809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45809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45809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45809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45809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45809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45809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45809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45809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45809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45809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45809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45809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45809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45809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45809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45809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45809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45809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45809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45809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45809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45809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45809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45809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45809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45809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45809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45809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45809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45809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45809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45809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45809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45809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45809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45809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45809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45809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45809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45809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45809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45809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45809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45809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45809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45809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45809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45809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45809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45809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45809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45809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45809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45809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45809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45809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45809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45809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45809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45809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45809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45809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45809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45809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45809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45809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45809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45809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45809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45809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45809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45809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45809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45809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45809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45809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45809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45809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45809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45809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45809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45809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45809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45809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45809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45809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45809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45809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45809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45809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45809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45809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45809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45809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45809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45809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45809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45809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45809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45809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45809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45809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45809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45809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45809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45809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45809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45809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45809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45809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45809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45809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45809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45809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45809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45809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45809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45809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45809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45809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45809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45809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45809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45809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45809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45809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45809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45809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45809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45809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45809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45809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45809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45809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45809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45809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22521-2025</t>
        </is>
      </c>
      <c r="B2432" s="1" t="n">
        <v>45786</v>
      </c>
      <c r="C2432" s="1" t="n">
        <v>45809</v>
      </c>
      <c r="D2432" t="inlineStr">
        <is>
          <t>VÄRMLANDS LÄN</t>
        </is>
      </c>
      <c r="E2432" t="inlineStr">
        <is>
          <t>ARVIKA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45809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22835-2025</t>
        </is>
      </c>
      <c r="B2434" s="1" t="n">
        <v>45789</v>
      </c>
      <c r="C2434" s="1" t="n">
        <v>45809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45809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22834-2025</t>
        </is>
      </c>
      <c r="B2436" s="1" t="n">
        <v>45789</v>
      </c>
      <c r="C2436" s="1" t="n">
        <v>45809</v>
      </c>
      <c r="D2436" t="inlineStr">
        <is>
          <t>VÄRMLANDS LÄN</t>
        </is>
      </c>
      <c r="E2436" t="inlineStr">
        <is>
          <t>ARVIKA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22836-2025</t>
        </is>
      </c>
      <c r="B2437" s="1" t="n">
        <v>45789</v>
      </c>
      <c r="C2437" s="1" t="n">
        <v>45809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45809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45809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45809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45809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45809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24098-2025</t>
        </is>
      </c>
      <c r="B2443" s="1" t="n">
        <v>45796</v>
      </c>
      <c r="C2443" s="1" t="n">
        <v>45809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24121-2025</t>
        </is>
      </c>
      <c r="B2444" s="1" t="n">
        <v>45796</v>
      </c>
      <c r="C2444" s="1" t="n">
        <v>45809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23940-2025</t>
        </is>
      </c>
      <c r="B2445" s="1" t="n">
        <v>45796</v>
      </c>
      <c r="C2445" s="1" t="n">
        <v>45809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5.7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23939-2025</t>
        </is>
      </c>
      <c r="B2446" s="1" t="n">
        <v>45796</v>
      </c>
      <c r="C2446" s="1" t="n">
        <v>45809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45809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45809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45809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45809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25077-2025</t>
        </is>
      </c>
      <c r="B2451" s="1" t="n">
        <v>45799</v>
      </c>
      <c r="C2451" s="1" t="n">
        <v>45809</v>
      </c>
      <c r="D2451" t="inlineStr">
        <is>
          <t>VÄRMLANDS LÄN</t>
        </is>
      </c>
      <c r="E2451" t="inlineStr">
        <is>
          <t>ARVIKA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24982-2025</t>
        </is>
      </c>
      <c r="B2452" s="1" t="n">
        <v>45799</v>
      </c>
      <c r="C2452" s="1" t="n">
        <v>45809</v>
      </c>
      <c r="D2452" t="inlineStr">
        <is>
          <t>VÄRMLANDS LÄN</t>
        </is>
      </c>
      <c r="E2452" t="inlineStr">
        <is>
          <t>ARVIKA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45809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25078-2025</t>
        </is>
      </c>
      <c r="B2454" s="1" t="n">
        <v>45799</v>
      </c>
      <c r="C2454" s="1" t="n">
        <v>45809</v>
      </c>
      <c r="D2454" t="inlineStr">
        <is>
          <t>VÄRMLANDS LÄN</t>
        </is>
      </c>
      <c r="E2454" t="inlineStr">
        <is>
          <t>ARVIKA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45809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45809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45809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45809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45809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45809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25489-2025</t>
        </is>
      </c>
      <c r="B2461" s="1" t="n">
        <v>45803</v>
      </c>
      <c r="C2461" s="1" t="n">
        <v>45809</v>
      </c>
      <c r="D2461" t="inlineStr">
        <is>
          <t>VÄRMLANDS LÄN</t>
        </is>
      </c>
      <c r="E2461" t="inlineStr">
        <is>
          <t>ARVIKA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25893-2025</t>
        </is>
      </c>
      <c r="B2462" s="1" t="n">
        <v>45804</v>
      </c>
      <c r="C2462" s="1" t="n">
        <v>45809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25862-2025</t>
        </is>
      </c>
      <c r="B2463" s="1" t="n">
        <v>45804</v>
      </c>
      <c r="C2463" s="1" t="n">
        <v>45809</v>
      </c>
      <c r="D2463" t="inlineStr">
        <is>
          <t>VÄRMLANDS LÄN</t>
        </is>
      </c>
      <c r="E2463" t="inlineStr">
        <is>
          <t>ARVIKA</t>
        </is>
      </c>
      <c r="F2463" t="inlineStr">
        <is>
          <t>Bergvik skog väst AB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25788-2025</t>
        </is>
      </c>
      <c r="B2464" s="1" t="n">
        <v>45804</v>
      </c>
      <c r="C2464" s="1" t="n">
        <v>45809</v>
      </c>
      <c r="D2464" t="inlineStr">
        <is>
          <t>VÄRMLANDS LÄN</t>
        </is>
      </c>
      <c r="E2464" t="inlineStr">
        <is>
          <t>ARVIKA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>
      <c r="A2465" t="inlineStr">
        <is>
          <t>A 26079-2025</t>
        </is>
      </c>
      <c r="B2465" s="1" t="n">
        <v>45805</v>
      </c>
      <c r="C2465" s="1" t="n">
        <v>45809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2025-06-01T11:50:21Z</dcterms:created>
  <dcterms:modified xmlns:dcterms="http://purl.org/dc/terms/" xmlns:xsi="http://www.w3.org/2001/XMLSchema-instance" xsi:type="dcterms:W3CDTF">2025-06-01T11:50:24Z</dcterms:modified>
</cp:coreProperties>
</file>