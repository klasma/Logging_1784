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45702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45702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45702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45702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45702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45702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45702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45702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45702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45702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45702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45702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45702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45702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45702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45702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45702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45702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45702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45702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45702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45702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45702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45702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45702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45702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45702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45702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45702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45702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45702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45702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45702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45702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45702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45702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45702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45702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45702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45702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45702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45702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45702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45702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45702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45702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45702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45702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45702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45702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45702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45702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45702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45702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45702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45702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45702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45702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45702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45702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45702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45702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5936-2025</t>
        </is>
      </c>
      <c r="B87" s="1" t="n">
        <v>45695</v>
      </c>
      <c r="C87" s="1" t="n">
        <v>45702</v>
      </c>
      <c r="D87" t="inlineStr">
        <is>
          <t>VÄRMLANDS LÄN</t>
        </is>
      </c>
      <c r="E87" t="inlineStr">
        <is>
          <t>ARVIKA</t>
        </is>
      </c>
      <c r="G87" t="n">
        <v>8.300000000000001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5936-2025 artfynd.xlsx", "A 5936-2025")</f>
        <v/>
      </c>
      <c r="T87">
        <f>HYPERLINK("https://klasma.github.io/Logging_1784/kartor/A 5936-2025 karta.png", "A 5936-2025")</f>
        <v/>
      </c>
      <c r="U87">
        <f>HYPERLINK("https://klasma.github.io/Logging_1784/knärot/A 5936-2025 karta knärot.png", "A 5936-2025")</f>
        <v/>
      </c>
      <c r="V87">
        <f>HYPERLINK("https://klasma.github.io/Logging_1784/klagomål/A 5936-2025 FSC-klagomål.docx", "A 5936-2025")</f>
        <v/>
      </c>
      <c r="W87">
        <f>HYPERLINK("https://klasma.github.io/Logging_1784/klagomålsmail/A 5936-2025 FSC-klagomål mail.docx", "A 5936-2025")</f>
        <v/>
      </c>
      <c r="X87">
        <f>HYPERLINK("https://klasma.github.io/Logging_1784/tillsyn/A 5936-2025 tillsynsbegäran.docx", "A 5936-2025")</f>
        <v/>
      </c>
      <c r="Y87">
        <f>HYPERLINK("https://klasma.github.io/Logging_1784/tillsynsmail/A 5936-2025 tillsynsbegäran mail.docx", "A 5936-2025")</f>
        <v/>
      </c>
    </row>
    <row r="88" ht="15" customHeight="1">
      <c r="A88" t="inlineStr">
        <is>
          <t>A 5956-2025</t>
        </is>
      </c>
      <c r="B88" s="1" t="n">
        <v>45695</v>
      </c>
      <c r="C88" s="1" t="n">
        <v>45702</v>
      </c>
      <c r="D88" t="inlineStr">
        <is>
          <t>VÄRMLANDS LÄN</t>
        </is>
      </c>
      <c r="E88" t="inlineStr">
        <is>
          <t>ARVIKA</t>
        </is>
      </c>
      <c r="G88" t="n">
        <v>5.2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5956-2025 artfynd.xlsx", "A 5956-2025")</f>
        <v/>
      </c>
      <c r="T88">
        <f>HYPERLINK("https://klasma.github.io/Logging_1784/kartor/A 5956-2025 karta.png", "A 5956-2025")</f>
        <v/>
      </c>
      <c r="U88">
        <f>HYPERLINK("https://klasma.github.io/Logging_1784/knärot/A 5956-2025 karta knärot.png", "A 5956-2025")</f>
        <v/>
      </c>
      <c r="V88">
        <f>HYPERLINK("https://klasma.github.io/Logging_1784/klagomål/A 5956-2025 FSC-klagomål.docx", "A 5956-2025")</f>
        <v/>
      </c>
      <c r="W88">
        <f>HYPERLINK("https://klasma.github.io/Logging_1784/klagomålsmail/A 5956-2025 FSC-klagomål mail.docx", "A 5956-2025")</f>
        <v/>
      </c>
      <c r="X88">
        <f>HYPERLINK("https://klasma.github.io/Logging_1784/tillsyn/A 5956-2025 tillsynsbegäran.docx", "A 5956-2025")</f>
        <v/>
      </c>
      <c r="Y88">
        <f>HYPERLINK("https://klasma.github.io/Logging_1784/tillsynsmail/A 5956-2025 tillsynsbegäran mail.docx", "A 5956-2025")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45702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45702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45702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45702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45702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45702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45702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45702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45702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45702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45702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45702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45702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45702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45702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45702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45702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45702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45702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45702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45702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45702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45702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45702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45702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45702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45702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45702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45702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45702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45702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45702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45702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45702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45702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45702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45702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45702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45702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45702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45702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45702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45702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45702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45702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45702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45702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45702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45702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45702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45702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45702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45702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45702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45702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45702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45702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45702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45702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45702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45702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45702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45702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45702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45702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45702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45702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45702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45702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45702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45702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45702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45702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45702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45702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45702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45702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45702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45702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45702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45702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45702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45702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45702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45702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45702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45702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45702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45702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45702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45702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45702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45702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45702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45702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45702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45702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45702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45702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45702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45702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45702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45702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45702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45702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45702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45702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45702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45702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45702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45702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45702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45702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45702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45702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45702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45702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45702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45702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45702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45702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45702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45702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45702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45702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45702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45702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45702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45702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45702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45702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45702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45702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45702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45702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45702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45702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45702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45702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45702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45702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45702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45702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45702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45702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45702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45702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45702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45702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45702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45702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45702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45702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45702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45702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45702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45702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45702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45702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45702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45702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45702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45702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45702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45702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45702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45702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45702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45702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45702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45702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45702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45702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45702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45702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45702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45702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45702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45702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45702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45702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45702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45702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45702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45702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45702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45702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45702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45702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45702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45702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45702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45702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45702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45702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45702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45702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45702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45702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45702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45702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45702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45702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45702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45702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45702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45702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45702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45702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45702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45702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45702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45702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45702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45702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45702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45702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45702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45702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45702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45702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45702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45702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45702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45702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45702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45702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45702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45702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45702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45702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45702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45702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45702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45702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45702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45702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45702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45702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45702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45702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45702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45702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45702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45702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45702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45702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45702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45702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45702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45702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45702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45702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45702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45702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45702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45702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45702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45702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45702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45702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45702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45702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45702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45702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45702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45702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45702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45702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45702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45702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45702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45702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45702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45702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45702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45702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45702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45702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45702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45702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45702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45702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45702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45702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45702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45702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45702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45702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45702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45702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45702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45702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45702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45702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45702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45702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45702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45702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45702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45702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45702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45702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45702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45702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45702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45702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45702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45702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45702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45702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45702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45702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45702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45702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45702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45702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45702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45702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45702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45702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45702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45702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45702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45702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45702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45702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45702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45702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45702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45702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45702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45702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45702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45702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45702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45702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45702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45702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45702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45702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45702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45702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45702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45702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45702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45702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45702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45702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45702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45702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45702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45702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45702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45702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45702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45702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45702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45702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45702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45702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45702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45702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45702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45702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45702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45702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45702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45702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45702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45702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45702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45702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45702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45702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45702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45702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45702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45702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45702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45702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45702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45702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45702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45702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45702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45702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45702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45702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45702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45702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45702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45702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45702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45702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45702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45702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45702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45702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45702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45702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45702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45702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45702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45702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45702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45702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45702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45702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45702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45702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45702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45702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45702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45702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45702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45702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45702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45702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45702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45702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45702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45702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45702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45702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45702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45702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45702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45702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45702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45702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45702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45702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45702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45702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45702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45702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45702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45702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45702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45702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45702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45702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45702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45702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45702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45702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45702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45702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45702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45702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45702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45702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45702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45702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45702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45702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45702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45702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45702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45702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45702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45702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45702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45702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45702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45702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45702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45702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45702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45702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45702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45702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45702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45702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45702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45702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45702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45702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45702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45702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45702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45702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45702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45702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45702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45702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45702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45702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45702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45702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45702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45702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45702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45702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45702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45702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45702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45702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45702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45702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45702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45702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45702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45702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45702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45702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45702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45702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45702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45702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45702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45702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45702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45702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45702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45702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45702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45702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45702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45702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45702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45702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45702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45702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45702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45702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45702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45702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45702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45702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45702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45702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45702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45702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45702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45702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45702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45702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45702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45702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45702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45702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45702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45702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45702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45702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45702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45702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45702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45702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45702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45702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45702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45702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45702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45702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45702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45702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45702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45702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45702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45702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45702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45702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45702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45702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45702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45702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45702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45702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45702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45702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45702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45702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45702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45702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45702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45702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45702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45702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45702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45702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45702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45702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45702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45702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45702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45702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45702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45702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45702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45702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45702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45702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45702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45702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45702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45702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45702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45702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45702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45702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45702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45702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45702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45702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45702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45702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45702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45702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45702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45702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45702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45702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45702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45702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45702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45702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45702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45702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45702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45702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45702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45702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45702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45702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45702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45702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45702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45702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45702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45702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45702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45702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45702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45702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45702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45702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45702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45702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45702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45702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45702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45702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45702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45702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45702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45702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45702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45702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45702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45702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45702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45702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45702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45702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45702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45702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45702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45702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45702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45702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45702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45702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45702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45702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45702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45702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45702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45702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45702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45702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45702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45702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45702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45702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45702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45702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45702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45702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45702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45702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45702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45702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45702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45702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45702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45702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45702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45702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45702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45702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45702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45702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45702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45702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45702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45702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45702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45702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45702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45702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45702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45702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45702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45702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45702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45702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45702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45702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45702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45702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45702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45702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45702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45702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45702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45702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45702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45702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45702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45702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45702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45702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45702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45702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45702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45702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45702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45702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45702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45702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45702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45702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45702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45702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45702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45702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45702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45702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45702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45702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45702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45702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45702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45702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45702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45702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45702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45702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45702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45702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45702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45702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45702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45702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45702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45702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45702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45702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45702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45702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45702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45702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45702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45702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45702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45702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45702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45702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45702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45702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45702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45702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45702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45702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45702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45702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45702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45702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45702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45702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45702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45702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45702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45702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45702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45702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45702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45702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45702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45702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45702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45702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45702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45702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45702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45702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45702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45702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45702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45702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45702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45702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45702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45702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45702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45702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45702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45702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45702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45702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45702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45702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45702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45702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45702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45702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45702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45702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45702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45702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45702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45702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45702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45702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45702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45702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45702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45702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45702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45702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45702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45702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45702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45702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45702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45702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45702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45702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45702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45702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45702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45702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45702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45702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45702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45702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45702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45702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45702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45702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45702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45702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45702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45702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45702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45702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45702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45702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45702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45702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45702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45702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45702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45702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45702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45702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45702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45702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45702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45702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45702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45702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45702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45702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45702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45702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45702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45702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45702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45702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45702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45702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45702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45702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45702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45702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45702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45702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45702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45702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45702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45702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45702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45702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45702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45702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45702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45702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45702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45702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45702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45702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45702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45702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45702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45702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45702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45702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45702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45702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45702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45702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45702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45702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45702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45702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45702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45702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45702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45702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45702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45702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45702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45702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45702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45702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45702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45702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45702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45702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45702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45702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45702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45702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45702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45702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45702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45702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45702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45702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45702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45702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45702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45702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45702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45702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45702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45702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45702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45702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45702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45702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45702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45702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45702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45702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45702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45702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45702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45702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45702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45702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45702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45702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45702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45702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45702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45702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45702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45702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45702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45702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45702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45702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45702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45702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45702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45702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45702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45702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45702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45702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45702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45702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45702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45702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45702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45702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45702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45702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45702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45702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45702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45702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45702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45702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45702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45702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45702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45702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45702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45702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45702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45702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45702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45702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45702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45702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45702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45702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45702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45702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45702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45702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45702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45702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45702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45702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45702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45702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45702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45702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45702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45702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45702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45702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45702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45702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45702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45702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45702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45702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45702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45702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45702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45702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45702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45702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45702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45702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45702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45702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45702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45702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45702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45702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45702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45702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45702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45702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45702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45702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45702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45702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45702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45702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45702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45702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45702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45702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45702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45702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45702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45702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45702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45702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45702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45702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45702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45702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45702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45702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45702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45702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45702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45702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45702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45702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45702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45702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45702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45702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45702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45702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45702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45702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45702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45702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45702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45702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45702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45702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45702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45702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45702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45702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45702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45702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45702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45702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45702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45702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45702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45702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45702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45702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45702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45702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45702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45702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45702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45702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45702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45702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45702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45702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45702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45702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45702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45702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45702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45702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45702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45702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45702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45702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45702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45702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45702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45702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45702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45702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45702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45702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45702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45702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45702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45702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45702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45702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45702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45702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45702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45702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45702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45702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45702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45702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45702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45702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45702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45702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45702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45702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45702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45702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45702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45702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45702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45702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45702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45702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45702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45702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45702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45702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45702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45702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45702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45702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45702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45702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45702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45702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45702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45702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45702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45702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45702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45702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45702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45702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45702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45702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45702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45702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45702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45702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45702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45702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45702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45702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45702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45702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45702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45702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45702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45702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45702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45702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45702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45702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45702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45702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45702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45702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45702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45702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45702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45702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45702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45702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45702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45702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45702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45702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45702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45702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45702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45702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45702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45702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45702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45702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45702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45702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45702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45702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45702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45702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45702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45702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45702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45702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45702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45702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45702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45702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45702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45702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45702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45702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45702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45702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45702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45702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45702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45702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45702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45702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45702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45702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45702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45702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45702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45702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45702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45702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45702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45702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45702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45702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45702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45702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45702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45702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45702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45702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45702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45702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45702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45702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45702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45702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45702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45702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45702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45702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45702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45702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45702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45702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45702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45702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45702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45702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45702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45702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45702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45702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45702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45702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45702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45702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45702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45702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45702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45702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45702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45702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45702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45702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45702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45702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45702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45702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45702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45702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45702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45702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45702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45702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45702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45702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45702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45702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45702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45702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45702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45702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45702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45702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45702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45702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45702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45702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45702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45702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45702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45702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45702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45702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45702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45702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45702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45702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45702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45702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45702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45702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45702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45702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45702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45702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45702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45702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45702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45702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45702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45702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45702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45702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45702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45702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45702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45702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45702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45702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45702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45702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45702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45702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45702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45702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45702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45702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45702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45702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45702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45702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45702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45702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45702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45702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45702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45702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45702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45702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45702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45702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45702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45702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45702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45702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45702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45702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45702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45702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45702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45702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45702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45702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45702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45702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45702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45702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45702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45702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45702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45702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45702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45702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45702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45702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45702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45702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45702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45702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45702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45702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45702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45702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45702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45702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45702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45702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45702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45702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45702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45702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45702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45702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45702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45702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45702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45702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45702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45702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45702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45702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45702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45702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45702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45702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45702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45702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45702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45702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45702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45702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45702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45702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45702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45702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45702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45702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45702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45702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45702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45702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45702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45702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45702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45702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45702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45702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45702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45702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45702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45702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45702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45702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45702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45702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45702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45702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45702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45702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45702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45702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45702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45702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45702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45702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45702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45702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45702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45702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45702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45702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45702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45702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45702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45702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45702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45702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45702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45702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45702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45702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45702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45702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45702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45702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45702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45702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45702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45702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45702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45702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45702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45702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45702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45702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45702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45702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45702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45702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45702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45702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45702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45702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45702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45702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45702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45702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45702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45702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45702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45702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45702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45702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45702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45702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45702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45702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45702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45702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45702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45702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45702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45702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45702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45702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45702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45702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45702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45702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45702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45702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45702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45702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45702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45702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45702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45702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45702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45702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45702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45702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45702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45702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45702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45702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45702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45702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45702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45702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45702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45702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45702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45702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45702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45702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45702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45702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45702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45702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45702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45702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45702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45702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45702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45702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45702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45702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45702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45702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45702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45702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45702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45702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45702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45702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45702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45702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45702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45702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45702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45702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45702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45702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45702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45702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45702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45702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45702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45702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45702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45702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45702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45702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45702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45702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45702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45702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45702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45702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45702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45702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45702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45702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45702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45702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45702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45702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45702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45702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45702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45702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45702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45702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45702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45702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45702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45702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45702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45702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45702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45702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45702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45702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45702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45702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45702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45702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45702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45702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45702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45702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45702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45702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45702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45702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45702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45702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45702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45702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45702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45702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45702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45702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45702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45702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45702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45702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45702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45702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45702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45702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45702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45702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45702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45702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45702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45702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45702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45702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45702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45702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45702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45702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45702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45702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45702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45702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45702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45702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45702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45702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45702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45702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45702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45702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45702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45702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45702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45702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45702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45702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45702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45702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45702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45702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45702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45702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45702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45702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45702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45702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45702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45702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45702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45702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45702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45702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45702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45702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45702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45702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45702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45702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45702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45702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45702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45702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45702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45702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45702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45702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45702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45702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45702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45702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45702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45702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45702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45702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2320-2025</t>
        </is>
      </c>
      <c r="B2214" s="1" t="n">
        <v>45673</v>
      </c>
      <c r="C2214" s="1" t="n">
        <v>45702</v>
      </c>
      <c r="D2214" t="inlineStr">
        <is>
          <t>VÄRMLANDS LÄN</t>
        </is>
      </c>
      <c r="E2214" t="inlineStr">
        <is>
          <t>ARVIKA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2186-2025</t>
        </is>
      </c>
      <c r="B2215" s="1" t="n">
        <v>45673</v>
      </c>
      <c r="C2215" s="1" t="n">
        <v>45702</v>
      </c>
      <c r="D2215" t="inlineStr">
        <is>
          <t>VÄRMLANDS LÄN</t>
        </is>
      </c>
      <c r="E2215" t="inlineStr">
        <is>
          <t>ARVIKA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45702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2356-2025</t>
        </is>
      </c>
      <c r="B2217" s="1" t="n">
        <v>45673</v>
      </c>
      <c r="C2217" s="1" t="n">
        <v>45702</v>
      </c>
      <c r="D2217" t="inlineStr">
        <is>
          <t>VÄRMLANDS LÄN</t>
        </is>
      </c>
      <c r="E2217" t="inlineStr">
        <is>
          <t>ARVIKA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2564-2025</t>
        </is>
      </c>
      <c r="B2218" s="1" t="n">
        <v>45674</v>
      </c>
      <c r="C2218" s="1" t="n">
        <v>45702</v>
      </c>
      <c r="D2218" t="inlineStr">
        <is>
          <t>VÄRMLANDS LÄN</t>
        </is>
      </c>
      <c r="E2218" t="inlineStr">
        <is>
          <t>ARVIKA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45702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45702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45702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2703-2025</t>
        </is>
      </c>
      <c r="B2222" s="1" t="n">
        <v>45677</v>
      </c>
      <c r="C2222" s="1" t="n">
        <v>45702</v>
      </c>
      <c r="D2222" t="inlineStr">
        <is>
          <t>VÄRMLANDS LÄN</t>
        </is>
      </c>
      <c r="E2222" t="inlineStr">
        <is>
          <t>ARVIKA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2702-2025</t>
        </is>
      </c>
      <c r="B2223" s="1" t="n">
        <v>45677</v>
      </c>
      <c r="C2223" s="1" t="n">
        <v>45702</v>
      </c>
      <c r="D2223" t="inlineStr">
        <is>
          <t>VÄRMLANDS LÄN</t>
        </is>
      </c>
      <c r="E2223" t="inlineStr">
        <is>
          <t>ARVIKA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45702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45702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45702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45702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45702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3610-2025</t>
        </is>
      </c>
      <c r="B2229" s="1" t="n">
        <v>45681</v>
      </c>
      <c r="C2229" s="1" t="n">
        <v>45702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45702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45702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45702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45702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4238-2025</t>
        </is>
      </c>
      <c r="B2234" s="1" t="n">
        <v>45685</v>
      </c>
      <c r="C2234" s="1" t="n">
        <v>45702</v>
      </c>
      <c r="D2234" t="inlineStr">
        <is>
          <t>VÄRMLANDS LÄN</t>
        </is>
      </c>
      <c r="E2234" t="inlineStr">
        <is>
          <t>ARVIKA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4211-2025</t>
        </is>
      </c>
      <c r="B2235" s="1" t="n">
        <v>45685</v>
      </c>
      <c r="C2235" s="1" t="n">
        <v>45702</v>
      </c>
      <c r="D2235" t="inlineStr">
        <is>
          <t>VÄRMLANDS LÄN</t>
        </is>
      </c>
      <c r="E2235" t="inlineStr">
        <is>
          <t>ARVIKA</t>
        </is>
      </c>
      <c r="G2235" t="n">
        <v>11.1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45702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45702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45702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4706-2025</t>
        </is>
      </c>
      <c r="B2239" s="1" t="n">
        <v>45688</v>
      </c>
      <c r="C2239" s="1" t="n">
        <v>45702</v>
      </c>
      <c r="D2239" t="inlineStr">
        <is>
          <t>VÄRMLANDS LÄN</t>
        </is>
      </c>
      <c r="E2239" t="inlineStr">
        <is>
          <t>ARVIKA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4736-2025</t>
        </is>
      </c>
      <c r="B2240" s="1" t="n">
        <v>45688</v>
      </c>
      <c r="C2240" s="1" t="n">
        <v>45702</v>
      </c>
      <c r="D2240" t="inlineStr">
        <is>
          <t>VÄRMLANDS LÄN</t>
        </is>
      </c>
      <c r="E2240" t="inlineStr">
        <is>
          <t>ARVIKA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5053-2025</t>
        </is>
      </c>
      <c r="B2241" s="1" t="n">
        <v>45691</v>
      </c>
      <c r="C2241" s="1" t="n">
        <v>45702</v>
      </c>
      <c r="D2241" t="inlineStr">
        <is>
          <t>VÄRMLANDS LÄN</t>
        </is>
      </c>
      <c r="E2241" t="inlineStr">
        <is>
          <t>ARVIKA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45702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45702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5072-2025</t>
        </is>
      </c>
      <c r="B2244" s="1" t="n">
        <v>45691</v>
      </c>
      <c r="C2244" s="1" t="n">
        <v>45702</v>
      </c>
      <c r="D2244" t="inlineStr">
        <is>
          <t>VÄRMLANDS LÄN</t>
        </is>
      </c>
      <c r="E2244" t="inlineStr">
        <is>
          <t>ARVIKA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4997-2025</t>
        </is>
      </c>
      <c r="B2245" s="1" t="n">
        <v>45691</v>
      </c>
      <c r="C2245" s="1" t="n">
        <v>45702</v>
      </c>
      <c r="D2245" t="inlineStr">
        <is>
          <t>VÄRMLANDS LÄN</t>
        </is>
      </c>
      <c r="E2245" t="inlineStr">
        <is>
          <t>ARVIKA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45702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45702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45702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45702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45702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45702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45702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45702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45702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45702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6227-2025</t>
        </is>
      </c>
      <c r="B2256" s="1" t="n">
        <v>45698</v>
      </c>
      <c r="C2256" s="1" t="n">
        <v>45702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6223-2025</t>
        </is>
      </c>
      <c r="B2257" s="1" t="n">
        <v>45698</v>
      </c>
      <c r="C2257" s="1" t="n">
        <v>45702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6241-2025</t>
        </is>
      </c>
      <c r="B2258" s="1" t="n">
        <v>45698</v>
      </c>
      <c r="C2258" s="1" t="n">
        <v>45702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  <c r="U2258">
        <f>HYPERLINK("https://klasma.github.io/Logging_1784/knärot/A 6241-2025 karta knärot.png", "A 6241-2025")</f>
        <v/>
      </c>
      <c r="V2258">
        <f>HYPERLINK("https://klasma.github.io/Logging_1784/klagomål/A 6241-2025 FSC-klagomål.docx", "A 6241-2025")</f>
        <v/>
      </c>
      <c r="W2258">
        <f>HYPERLINK("https://klasma.github.io/Logging_1784/klagomålsmail/A 6241-2025 FSC-klagomål mail.docx", "A 6241-2025")</f>
        <v/>
      </c>
      <c r="X2258">
        <f>HYPERLINK("https://klasma.github.io/Logging_1784/tillsyn/A 6241-2025 tillsynsbegäran.docx", "A 6241-2025")</f>
        <v/>
      </c>
      <c r="Y2258">
        <f>HYPERLINK("https://klasma.github.io/Logging_1784/tillsynsmail/A 6241-2025 tillsynsbegäran mail.docx", "A 6241-2025")</f>
        <v/>
      </c>
    </row>
    <row r="2259" ht="15" customHeight="1">
      <c r="A2259" t="inlineStr">
        <is>
          <t>A 6250-2025</t>
        </is>
      </c>
      <c r="B2259" s="1" t="n">
        <v>45698</v>
      </c>
      <c r="C2259" s="1" t="n">
        <v>45702</v>
      </c>
      <c r="D2259" t="inlineStr">
        <is>
          <t>VÄRMLANDS LÄN</t>
        </is>
      </c>
      <c r="E2259" t="inlineStr">
        <is>
          <t>ARVIKA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6237-2025</t>
        </is>
      </c>
      <c r="B2260" s="1" t="n">
        <v>45698</v>
      </c>
      <c r="C2260" s="1" t="n">
        <v>45702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45702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>
      <c r="A2262" t="inlineStr">
        <is>
          <t>A 6978-2025</t>
        </is>
      </c>
      <c r="B2262" s="1" t="n">
        <v>45701</v>
      </c>
      <c r="C2262" s="1" t="n">
        <v>45702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2025-02-14T16:31:05Z</dcterms:created>
  <dcterms:modified xmlns:dcterms="http://purl.org/dc/terms/" xmlns:xsi="http://www.w3.org/2001/XMLSchema-instance" xsi:type="dcterms:W3CDTF">2025-02-14T16:31:07Z</dcterms:modified>
</cp:coreProperties>
</file>