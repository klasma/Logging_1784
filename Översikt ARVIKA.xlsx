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45794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45794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45794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45794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45794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45794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45794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45794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45794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45794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45794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45794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45794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45794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45794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45794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45794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45794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45794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45794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45794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45794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45794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45794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45794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45794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45794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45794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45794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45794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45794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45794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45794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45794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45794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45794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45794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45794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45794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45794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45794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45794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45794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45794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45794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45794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45794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45794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45794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45794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45794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45794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45794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45794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45794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45794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45794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45794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45794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45794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45794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45794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45794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45794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45794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45794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45794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45794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45794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45794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45794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45794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45794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45794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45794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45794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45794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45794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45794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45794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45794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45794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45794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45794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45794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45794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19301-2025</t>
        </is>
      </c>
      <c r="B105" s="1" t="n">
        <v>45769</v>
      </c>
      <c r="C105" s="1" t="n">
        <v>45794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3.1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HYPERLINK("https://klasma.github.io/Logging_171784/artfynd/A 19301-2025 artfynd.xlsx", "A 19301-2025")</f>
        <v/>
      </c>
      <c r="T105">
        <f>HYPERLINK("https://klasma.github.io/Logging_171784/kartor/A 19301-2025 karta.png", "A 19301-2025")</f>
        <v/>
      </c>
      <c r="V105">
        <f>HYPERLINK("https://klasma.github.io/Logging_171784/klagomål/A 19301-2025 FSC-klagomål.docx", "A 19301-2025")</f>
        <v/>
      </c>
      <c r="W105">
        <f>HYPERLINK("https://klasma.github.io/Logging_171784/klagomålsmail/A 19301-2025 FSC-klagomål mail.docx", "A 19301-2025")</f>
        <v/>
      </c>
      <c r="X105">
        <f>HYPERLINK("https://klasma.github.io/Logging_171784/tillsyn/A 19301-2025 tillsynsbegäran.docx", "A 19301-2025")</f>
        <v/>
      </c>
      <c r="Y105">
        <f>HYPERLINK("https://klasma.github.io/Logging_171784/tillsynsmail/A 19301-2025 tillsynsbegäran mail.docx", "A 19301-2025")</f>
        <v/>
      </c>
      <c r="Z105">
        <f>HYPERLINK("https://klasma.github.io/Logging_171784/fåglar/A 19301-2025 prioriterade fågelarter.docx", "A 19301-2025")</f>
        <v/>
      </c>
    </row>
    <row r="106" ht="15" customHeight="1">
      <c r="A106" t="inlineStr">
        <is>
          <t>A 17779-2019</t>
        </is>
      </c>
      <c r="B106" s="1" t="n">
        <v>43556</v>
      </c>
      <c r="C106" s="1" t="n">
        <v>45794</v>
      </c>
      <c r="D106" t="inlineStr">
        <is>
          <t>VÄRMLANDS LÄN</t>
        </is>
      </c>
      <c r="E106" t="inlineStr">
        <is>
          <t>ARVIKA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18001-2019</t>
        </is>
      </c>
      <c r="B107" s="1" t="n">
        <v>43556</v>
      </c>
      <c r="C107" s="1" t="n">
        <v>45794</v>
      </c>
      <c r="D107" t="inlineStr">
        <is>
          <t>VÄRMLANDS LÄN</t>
        </is>
      </c>
      <c r="E107" t="inlineStr">
        <is>
          <t>ARVIKA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18243-2019</t>
        </is>
      </c>
      <c r="B108" s="1" t="n">
        <v>43557</v>
      </c>
      <c r="C108" s="1" t="n">
        <v>45794</v>
      </c>
      <c r="D108" t="inlineStr">
        <is>
          <t>VÄRMLANDS LÄN</t>
        </is>
      </c>
      <c r="E108" t="inlineStr">
        <is>
          <t>ARVIKA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18249-2019</t>
        </is>
      </c>
      <c r="B109" s="1" t="n">
        <v>43557</v>
      </c>
      <c r="C109" s="1" t="n">
        <v>45794</v>
      </c>
      <c r="D109" t="inlineStr">
        <is>
          <t>VÄRMLANDS LÄN</t>
        </is>
      </c>
      <c r="E109" t="inlineStr">
        <is>
          <t>ARVIKA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18117-2019</t>
        </is>
      </c>
      <c r="B110" s="1" t="n">
        <v>43558</v>
      </c>
      <c r="C110" s="1" t="n">
        <v>45794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18153-2019</t>
        </is>
      </c>
      <c r="B111" s="1" t="n">
        <v>43558</v>
      </c>
      <c r="C111" s="1" t="n">
        <v>45794</v>
      </c>
      <c r="D111" t="inlineStr">
        <is>
          <t>VÄRMLANDS LÄN</t>
        </is>
      </c>
      <c r="E111" t="inlineStr">
        <is>
          <t>ARVIKA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18574-2019</t>
        </is>
      </c>
      <c r="B112" s="1" t="n">
        <v>43560</v>
      </c>
      <c r="C112" s="1" t="n">
        <v>45794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19011-2019</t>
        </is>
      </c>
      <c r="B113" s="1" t="n">
        <v>43563</v>
      </c>
      <c r="C113" s="1" t="n">
        <v>45794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19096-2019</t>
        </is>
      </c>
      <c r="B114" s="1" t="n">
        <v>43564</v>
      </c>
      <c r="C114" s="1" t="n">
        <v>45794</v>
      </c>
      <c r="D114" t="inlineStr">
        <is>
          <t>VÄRMLANDS LÄN</t>
        </is>
      </c>
      <c r="E114" t="inlineStr">
        <is>
          <t>ARVIKA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19164-2019</t>
        </is>
      </c>
      <c r="B115" s="1" t="n">
        <v>43564</v>
      </c>
      <c r="C115" s="1" t="n">
        <v>45794</v>
      </c>
      <c r="D115" t="inlineStr">
        <is>
          <t>VÄRMLANDS LÄN</t>
        </is>
      </c>
      <c r="E115" t="inlineStr">
        <is>
          <t>ARVIKA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20364-2019</t>
        </is>
      </c>
      <c r="B116" s="1" t="n">
        <v>43571</v>
      </c>
      <c r="C116" s="1" t="n">
        <v>45794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20329-2019</t>
        </is>
      </c>
      <c r="B117" s="1" t="n">
        <v>43571</v>
      </c>
      <c r="C117" s="1" t="n">
        <v>45794</v>
      </c>
      <c r="D117" t="inlineStr">
        <is>
          <t>VÄRMLANDS LÄN</t>
        </is>
      </c>
      <c r="E117" t="inlineStr">
        <is>
          <t>ARVIKA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20927-2019</t>
        </is>
      </c>
      <c r="B118" s="1" t="n">
        <v>43578</v>
      </c>
      <c r="C118" s="1" t="n">
        <v>45794</v>
      </c>
      <c r="D118" t="inlineStr">
        <is>
          <t>VÄRMLANDS LÄN</t>
        </is>
      </c>
      <c r="E118" t="inlineStr">
        <is>
          <t>ARVIKA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21299-2019</t>
        </is>
      </c>
      <c r="B119" s="1" t="n">
        <v>43579</v>
      </c>
      <c r="C119" s="1" t="n">
        <v>45794</v>
      </c>
      <c r="D119" t="inlineStr">
        <is>
          <t>VÄRMLANDS LÄN</t>
        </is>
      </c>
      <c r="E119" t="inlineStr">
        <is>
          <t>ARVIKA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21447-2019</t>
        </is>
      </c>
      <c r="B120" s="1" t="n">
        <v>43580</v>
      </c>
      <c r="C120" s="1" t="n">
        <v>45794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21802-2019</t>
        </is>
      </c>
      <c r="B121" s="1" t="n">
        <v>43582</v>
      </c>
      <c r="C121" s="1" t="n">
        <v>45794</v>
      </c>
      <c r="D121" t="inlineStr">
        <is>
          <t>VÄRMLANDS LÄN</t>
        </is>
      </c>
      <c r="E121" t="inlineStr">
        <is>
          <t>ARVIKA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21804-2019</t>
        </is>
      </c>
      <c r="B122" s="1" t="n">
        <v>43582</v>
      </c>
      <c r="C122" s="1" t="n">
        <v>45794</v>
      </c>
      <c r="D122" t="inlineStr">
        <is>
          <t>VÄRMLANDS LÄN</t>
        </is>
      </c>
      <c r="E122" t="inlineStr">
        <is>
          <t>ARVIKA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23122-2019</t>
        </is>
      </c>
      <c r="B123" s="1" t="n">
        <v>43592</v>
      </c>
      <c r="C123" s="1" t="n">
        <v>45794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23646-2019</t>
        </is>
      </c>
      <c r="B124" s="1" t="n">
        <v>43594</v>
      </c>
      <c r="C124" s="1" t="n">
        <v>45794</v>
      </c>
      <c r="D124" t="inlineStr">
        <is>
          <t>VÄRMLANDS LÄN</t>
        </is>
      </c>
      <c r="E124" t="inlineStr">
        <is>
          <t>ARVIKA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24236-2019</t>
        </is>
      </c>
      <c r="B125" s="1" t="n">
        <v>43596</v>
      </c>
      <c r="C125" s="1" t="n">
        <v>45794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24240-2019</t>
        </is>
      </c>
      <c r="B126" s="1" t="n">
        <v>43596</v>
      </c>
      <c r="C126" s="1" t="n">
        <v>45794</v>
      </c>
      <c r="D126" t="inlineStr">
        <is>
          <t>VÄRMLANDS LÄN</t>
        </is>
      </c>
      <c r="E126" t="inlineStr">
        <is>
          <t>ARVIKA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24235-2019</t>
        </is>
      </c>
      <c r="B127" s="1" t="n">
        <v>43596</v>
      </c>
      <c r="C127" s="1" t="n">
        <v>45794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24249-2019</t>
        </is>
      </c>
      <c r="B128" s="1" t="n">
        <v>43596</v>
      </c>
      <c r="C128" s="1" t="n">
        <v>45794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24414-2019</t>
        </is>
      </c>
      <c r="B129" s="1" t="n">
        <v>43600</v>
      </c>
      <c r="C129" s="1" t="n">
        <v>45794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24468-2019</t>
        </is>
      </c>
      <c r="B130" s="1" t="n">
        <v>43600</v>
      </c>
      <c r="C130" s="1" t="n">
        <v>45794</v>
      </c>
      <c r="D130" t="inlineStr">
        <is>
          <t>VÄRMLANDS LÄN</t>
        </is>
      </c>
      <c r="E130" t="inlineStr">
        <is>
          <t>ARVIKA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24687-2019</t>
        </is>
      </c>
      <c r="B131" s="1" t="n">
        <v>43601</v>
      </c>
      <c r="C131" s="1" t="n">
        <v>45794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45794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45794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45794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45794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45794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45794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45794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45794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45794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45794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45794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45794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45794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45794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45794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45794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45794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45794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45794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45794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45794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45794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45794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45794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45794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45794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45794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45794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45794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45794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45794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45794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45794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45794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45794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45794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45794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45794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45794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45794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45794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45794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45794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45794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45794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45794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45794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45794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45794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45794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45794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45794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45794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45794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45794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45794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45794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45794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45794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45794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45794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45794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45794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45794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45794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45794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45794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45794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45794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45794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45794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45794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45794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45794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45794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45794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45794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45794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45794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45794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45794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45794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45794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45794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45794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45794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45794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45794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45794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45794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45794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45794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45794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45794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45794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45794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45794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45794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45794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45794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45794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45794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45794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45794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45794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45794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45794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45794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45794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45794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45794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45794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45794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45794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45794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45794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45794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45794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45794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45794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45794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45794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45794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45794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45794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45794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45794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45794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45794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45794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45794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45794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45794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45794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45794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45794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45794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45794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45794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45794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45794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45794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45794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45794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45794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45794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45794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45794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45794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45794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45794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45794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45794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45794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45794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45794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45794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45794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45794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45794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45794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45794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45794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45794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45794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45794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45794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45794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45794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45794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45794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45794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45794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45794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45794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45794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45794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45794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45794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45794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45794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45794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45794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45794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45794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45794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45794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45794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45794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45794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45794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45794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45794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45794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45794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45794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45794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45794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45794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45794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45794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45794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45794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45794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45794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45794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45794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45794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45794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45794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45794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45794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45794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45794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45794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45794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45794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45794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45794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45794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45794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45794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45794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45794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45794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45794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45794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45794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45794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45794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45794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45794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45794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45794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45794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45794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45794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45794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45794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45794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45794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45794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45794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45794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45794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45794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45794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45794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45794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45794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45794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45794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45794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45794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45794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45794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45794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45794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45794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45794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45794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45794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45794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45794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45794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45794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45794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45794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45794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45794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45794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45794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45794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45794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45794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45794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45794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45794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45794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45794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45794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45794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45794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45794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45794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45794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45794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45794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45794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45794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45794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45794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45794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45794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45794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45794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45794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45794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45794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45794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45794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45794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45794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45794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45794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45794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45794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45794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45794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45794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45794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45794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45794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45794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45794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45794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45794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45794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45794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45794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45794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45794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45794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45794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45794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45794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45794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45794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45794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45794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45794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45794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45794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45794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45794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45794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45794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45794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45794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45794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45794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45794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45794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45794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45794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45794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45794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45794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45794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45794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45794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45794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45794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45794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45794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45794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45794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45794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45794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45794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45794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45794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45794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45794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45794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45794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45794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45794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45794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45794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45794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45794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45794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45794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45794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45794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45794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45794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45794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45794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45794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45794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45794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45794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45794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45794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45794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45794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45794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45794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45794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45794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45794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45794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45794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45794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45794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45794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45794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45794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45794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45794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45794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45794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45794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45794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45794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45794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45794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45794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45794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45794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45794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45794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45794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45794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45794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45794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45794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45794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45794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45794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45794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45794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45794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45794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45794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45794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45794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45794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45794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45794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45794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45794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45794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45794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45794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45794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45794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45794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45794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45794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45794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45794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45794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45794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45794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45794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45794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45794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45794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45794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45794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45794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45794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45794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45794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45794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45794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45794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45794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45794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45794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45794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45794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45794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45794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45794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45794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45794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45794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45794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45794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45794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45794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45794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45794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45794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45794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45794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45794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45794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45794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45794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45794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45794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45794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45794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45794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45794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45794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45794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45794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45794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45794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45794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45794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45794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45794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45794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45794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45794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45794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45794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45794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45794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45794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45794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45794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45794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45794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45794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45794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45794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45794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45794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45794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45794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45794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45794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45794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45794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45794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45794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45794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45794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45794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45794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45794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45794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45794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45794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45794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45794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45794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45794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45794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45794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45794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45794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45794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45794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45794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45794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45794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45794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45794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45794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45794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45794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45794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45794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45794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45794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45794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45794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45794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45794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45794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45794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45794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45794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45794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45794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45794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45794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45794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45794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45794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45794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45794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45794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45794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45794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45794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45794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45794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45794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45794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45794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45794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45794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45794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45794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45794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45794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45794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45794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45794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45794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45794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45794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45794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45794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45794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45794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45794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45794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45794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45794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45794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45794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45794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45794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45794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45794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45794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45794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45794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45794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45794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45794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45794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45794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45794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45794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45794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45794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45794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45794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45794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45794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45794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45794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45794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45794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45794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45794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45794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45794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45794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45794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45794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45794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45794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45794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45794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45794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45794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45794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45794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45794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45794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45794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45794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45794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45794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45794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45794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45794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45794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45794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45794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45794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45794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45794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45794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45794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45794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45794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45794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45794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45794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45794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45794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45794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45794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45794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45794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45794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45794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45794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45794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45794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45794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45794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45794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45794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45794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45794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45794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45794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45794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45794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45794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45794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45794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45794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45794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45794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45794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45794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45794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45794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45794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45794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45794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45794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45794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45794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45794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45794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45794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45794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45794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45794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45794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45794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45794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45794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45794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45794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45794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45794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45794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45794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45794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45794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45794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45794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45794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45794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45794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45794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45794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45794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45794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45794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45794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45794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45794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45794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45794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45794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45794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45794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45794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45794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45794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45794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45794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45794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45794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45794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45794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45794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45794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45794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45794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45794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45794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45794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45794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45794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45794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45794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45794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45794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45794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45794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45794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45794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45794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45794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45794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45794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45794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45794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45794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45794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45794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45794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45794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45794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45794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45794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45794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45794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45794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45794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45794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45794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45794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45794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45794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45794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45794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45794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45794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45794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45794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45794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45794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45794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45794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45794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45794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45794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45794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45794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45794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45794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45794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45794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45794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45794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45794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45794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45794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45794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45794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45794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45794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45794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45794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45794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45794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45794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45794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45794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45794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45794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45794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45794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45794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45794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45794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45794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45794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45794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45794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45794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45794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45794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45794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45794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45794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45794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45794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45794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45794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45794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45794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45794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45794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45794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45794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45794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45794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45794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45794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45794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45794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45794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45794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45794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45794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45794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45794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45794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45794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45794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45794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45794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45794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45794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45794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45794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45794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45794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45794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45794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45794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45794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45794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45794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45794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45794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45794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45794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45794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45794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45794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45794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45794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45794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45794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45794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45794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45794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45794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45794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45794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45794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45794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45794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45794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45794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45794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45794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45794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45794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45794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45794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45794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45794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45794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45794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45794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45794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45794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45794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45794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45794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45794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45794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45794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45794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45794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45794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45794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45794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45794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45794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45794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45794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45794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45794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45794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45794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45794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45794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45794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45794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45794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45794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45794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45794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45794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45794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45794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45794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45794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45794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45794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45794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45794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45794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45794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45794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45794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45794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45794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45794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45794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45794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45794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45794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45794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45794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45794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45794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45794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45794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45794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45794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45794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45794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45794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45794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45794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45794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45794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45794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45794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45794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45794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45794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45794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45794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45794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45794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45794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45794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45794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45794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45794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45794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45794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45794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45794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45794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45794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45794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45794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45794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45794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45794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45794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45794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45794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45794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45794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45794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45794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45794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45794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45794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45794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45794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45794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45794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45794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45794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45794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45794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45794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45794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45794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45794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45794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45794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45794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45794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45794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45794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45794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45794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45794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45794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45794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45794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45794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45794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45794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45794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45794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45794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45794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45794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45794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45794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45794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45794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45794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45794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45794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45794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45794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45794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45794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45794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45794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45794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45794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45794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45794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45794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45794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45794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45794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45794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45794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45794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45794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45794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45794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45794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45794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45794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45794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45794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45794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45794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45794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45794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45794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45794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45794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45794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45794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45794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45794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45794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45794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45794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45794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45794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45794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45794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45794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45794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45794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45794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45794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45794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45794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45794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45794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45794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45794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45794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45794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45794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45794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45794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45794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45794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45794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45794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45794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45794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45794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45794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45794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45794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45794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45794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45794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45794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45794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45794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45794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45794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45794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45794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45794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45794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45794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45794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45794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45794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45794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45794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45794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45794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45794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45794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45794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45794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45794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45794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45794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45794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45794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45794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45794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45794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45794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45794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45794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45794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45794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45794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45794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45794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45794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45794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45794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45794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45794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45794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45794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45794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45794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45794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45794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45794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45794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45794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45794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45794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45794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45794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45794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45794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45794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45794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45794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45794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45794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45794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45794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45794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45794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45794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45794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45794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45794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45794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45794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45794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45794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45794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45794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45794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45794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45794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45794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45794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45794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45794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45794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45794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45794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45794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45794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45794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45794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45794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45794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45794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45794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45794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45794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45794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45794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45794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45794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45794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45794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45794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45794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45794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45794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45794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45794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45794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45794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45794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45794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45794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45794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45794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45794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45794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45794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45794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45794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45794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45794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45794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45794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45794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45794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45794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45794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45794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45794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45794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45794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45794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45794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45794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45794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45794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45794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45794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45794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45794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45794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45794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45794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45794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45794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45794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45794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45794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45794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45794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45794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45794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45794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45794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45794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45794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45794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45794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45794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45794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45794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45794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45794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45794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45794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45794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45794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45794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45794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45794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45794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45794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45794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45794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45794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45794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45794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45794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45794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45794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45794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45794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45794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45794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45794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45794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45794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45794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45794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45794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45794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45794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45794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45794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45794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45794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45794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45794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45794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45794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45794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45794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45794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45794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45794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45794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45794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45794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45794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45794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45794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45794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45794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45794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45794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45794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45794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45794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45794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45794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45794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45794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45794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45794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45794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45794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45794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45794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45794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45794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45794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45794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45794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45794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45794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45794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45794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45794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45794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45794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45794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45794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45794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45794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45794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45794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45794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45794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45794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45794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45794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45794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45794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45794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45794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45794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45794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45794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45794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45794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45794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45794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45794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45794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45794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45794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45794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45794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45794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45794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45794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45794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45794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45794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45794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45794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45794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45794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45794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45794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45794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45794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45794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45794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45794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45794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45794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45794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45794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45794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45794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45794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45794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45794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45794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45794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45794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45794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45794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45794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45794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45794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45794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45794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45794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45794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45794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45794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45794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45794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45794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45794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45794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45794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45794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45794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45794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45794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45794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45794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45794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45794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45794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45794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45794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45794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45794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45794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45794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45794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45794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45794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45794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45794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45794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45794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45794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45794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45794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45794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45794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45794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45794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45794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45794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45794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45794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45794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45794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45794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45794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45794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45794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45794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45794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45794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45794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45794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45794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45794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45794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45794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45794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45794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45794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45794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45794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45794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45794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45794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45794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45794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45794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45794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45794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45794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45794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45794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45794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45794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45794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45794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45794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45794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45794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45794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45794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45794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45794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45794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45794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45794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45794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45794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45794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45794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45794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45794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45794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45794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45794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45794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45794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45794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45794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45794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45794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45794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45794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45794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45794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45794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45794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45794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45794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45794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45794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45794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45794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45794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45794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45794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45794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45794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45794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45794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45794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45794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45794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45794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45794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45794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45794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45794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45794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45794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45794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45794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45794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45794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45794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45794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45794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45794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45794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45794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45794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45794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45794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45794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45794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45794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45794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45794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45794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45794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45794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45794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45794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45794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45794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45794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45794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45794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45794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45794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45794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45794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45794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45794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45794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45794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45794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45794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45794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45794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45794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45794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45794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45794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45794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45794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45794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45794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45794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45794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45794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45794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45794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45794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45794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45794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45794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45794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45794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45794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45794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45794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45794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45794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45794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45794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45794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45794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45794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45794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45794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45794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45794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45794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45794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45794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45794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45794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45794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45794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45794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45794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45794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45794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45794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45794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45794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45794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45794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45794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45794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45794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45794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45794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45794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45794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45794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45794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45794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45794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45794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45794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45794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45794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45794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45794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45794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45794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45794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45794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45794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45794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45794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45794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45794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45794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45794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45794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45794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45794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45794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45794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45794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45794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45794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45794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45794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45794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45794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45794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45794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45794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45794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45794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45794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45794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45794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45794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45794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45794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45794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45794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45794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45794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45794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45794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45794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45794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45794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45794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45794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45794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45794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45794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45794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45794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45794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45794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45794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45794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45794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45794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45794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45794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45794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45794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45794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45794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45794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45794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45794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45794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45794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45794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45794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45794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45794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45794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45794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45794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45794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45794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45794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45794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45794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45794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45794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45794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45794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45794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45794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45794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45794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45794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45794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45794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45794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45794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45794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45794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45794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45794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45794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45794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45794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45794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45794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45794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45794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45794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45794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45794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45794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45794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45794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45794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45794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45794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45794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45794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45794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45794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45794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45794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45794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45794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45794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45794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45794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45794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45794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45794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45794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45794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45794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45794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45794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45794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45794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45794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45794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45794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45794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45794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45794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45794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45794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45794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45794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45794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45794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45794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45794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45794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45794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45794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45794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45794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45794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45794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45794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45794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45794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45794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45794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45794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45794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45794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45794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45794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45794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45794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45794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45794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45794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45794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45794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45794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45794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45794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45794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45794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45794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45794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45794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45794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45794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45794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45794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45794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45794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45794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45794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45794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45794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45794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45794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45794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45794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45794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45794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45794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45794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45794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45794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45794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45794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45794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45794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45794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45794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45794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45794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45794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45794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45794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45794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45794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45794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45794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45794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45794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45794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45794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45794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45794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45794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45794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45794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45794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45794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45794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45794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45794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45794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45794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45794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45794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45794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45794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45794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45794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45794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45794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45794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45794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45794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45794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45794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45794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45794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45794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45794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45794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45794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45794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45794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45794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45794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45794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45794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45794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45794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19177-2025</t>
        </is>
      </c>
      <c r="B2393" s="1" t="n">
        <v>45769</v>
      </c>
      <c r="C2393" s="1" t="n">
        <v>45794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19216-2025</t>
        </is>
      </c>
      <c r="B2394" s="1" t="n">
        <v>45769</v>
      </c>
      <c r="C2394" s="1" t="n">
        <v>45794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19158-2025</t>
        </is>
      </c>
      <c r="B2395" s="1" t="n">
        <v>45769</v>
      </c>
      <c r="C2395" s="1" t="n">
        <v>45794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19390-2025</t>
        </is>
      </c>
      <c r="B2396" s="1" t="n">
        <v>45769</v>
      </c>
      <c r="C2396" s="1" t="n">
        <v>45794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19586-2025</t>
        </is>
      </c>
      <c r="B2397" s="1" t="n">
        <v>45770</v>
      </c>
      <c r="C2397" s="1" t="n">
        <v>45794</v>
      </c>
      <c r="D2397" t="inlineStr">
        <is>
          <t>VÄRMLANDS LÄN</t>
        </is>
      </c>
      <c r="E2397" t="inlineStr">
        <is>
          <t>ARVIKA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19683-2025</t>
        </is>
      </c>
      <c r="B2398" s="1" t="n">
        <v>45770</v>
      </c>
      <c r="C2398" s="1" t="n">
        <v>45794</v>
      </c>
      <c r="D2398" t="inlineStr">
        <is>
          <t>VÄRMLANDS LÄN</t>
        </is>
      </c>
      <c r="E2398" t="inlineStr">
        <is>
          <t>ARVIKA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19591-2025</t>
        </is>
      </c>
      <c r="B2399" s="1" t="n">
        <v>45770</v>
      </c>
      <c r="C2399" s="1" t="n">
        <v>45794</v>
      </c>
      <c r="D2399" t="inlineStr">
        <is>
          <t>VÄRMLANDS LÄN</t>
        </is>
      </c>
      <c r="E2399" t="inlineStr">
        <is>
          <t>ARVIKA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45794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20196-2025</t>
        </is>
      </c>
      <c r="B2401" s="1" t="n">
        <v>45772</v>
      </c>
      <c r="C2401" s="1" t="n">
        <v>45794</v>
      </c>
      <c r="D2401" t="inlineStr">
        <is>
          <t>VÄRMLANDS LÄN</t>
        </is>
      </c>
      <c r="E2401" t="inlineStr">
        <is>
          <t>ARVIKA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20071-2025</t>
        </is>
      </c>
      <c r="B2402" s="1" t="n">
        <v>45772</v>
      </c>
      <c r="C2402" s="1" t="n">
        <v>45794</v>
      </c>
      <c r="D2402" t="inlineStr">
        <is>
          <t>VÄRMLANDS LÄN</t>
        </is>
      </c>
      <c r="E2402" t="inlineStr">
        <is>
          <t>ARVIKA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45794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20171-2025</t>
        </is>
      </c>
      <c r="B2404" s="1" t="n">
        <v>45772</v>
      </c>
      <c r="C2404" s="1" t="n">
        <v>45794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20188-2025</t>
        </is>
      </c>
      <c r="B2405" s="1" t="n">
        <v>45772</v>
      </c>
      <c r="C2405" s="1" t="n">
        <v>45794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20020-2025</t>
        </is>
      </c>
      <c r="B2406" s="1" t="n">
        <v>45772</v>
      </c>
      <c r="C2406" s="1" t="n">
        <v>45794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20066-2025</t>
        </is>
      </c>
      <c r="B2407" s="1" t="n">
        <v>45772</v>
      </c>
      <c r="C2407" s="1" t="n">
        <v>45794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20096-2025</t>
        </is>
      </c>
      <c r="B2408" s="1" t="n">
        <v>45772</v>
      </c>
      <c r="C2408" s="1" t="n">
        <v>45794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20434-2025</t>
        </is>
      </c>
      <c r="B2409" s="1" t="n">
        <v>45775</v>
      </c>
      <c r="C2409" s="1" t="n">
        <v>45794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20582-2025</t>
        </is>
      </c>
      <c r="B2410" s="1" t="n">
        <v>45775</v>
      </c>
      <c r="C2410" s="1" t="n">
        <v>45794</v>
      </c>
      <c r="D2410" t="inlineStr">
        <is>
          <t>VÄRMLANDS LÄN</t>
        </is>
      </c>
      <c r="E2410" t="inlineStr">
        <is>
          <t>ARVIKA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20349-2025</t>
        </is>
      </c>
      <c r="B2411" s="1" t="n">
        <v>45775</v>
      </c>
      <c r="C2411" s="1" t="n">
        <v>45794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45794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45794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45794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45794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45794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20319-2025</t>
        </is>
      </c>
      <c r="B2417" s="1" t="n">
        <v>45775</v>
      </c>
      <c r="C2417" s="1" t="n">
        <v>45794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20634-2025</t>
        </is>
      </c>
      <c r="B2418" s="1" t="n">
        <v>45776</v>
      </c>
      <c r="C2418" s="1" t="n">
        <v>45794</v>
      </c>
      <c r="D2418" t="inlineStr">
        <is>
          <t>VÄRMLANDS LÄN</t>
        </is>
      </c>
      <c r="E2418" t="inlineStr">
        <is>
          <t>ARVIKA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45794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21329-2025</t>
        </is>
      </c>
      <c r="B2420" s="1" t="n">
        <v>45782</v>
      </c>
      <c r="C2420" s="1" t="n">
        <v>45794</v>
      </c>
      <c r="D2420" t="inlineStr">
        <is>
          <t>VÄRMLANDS LÄN</t>
        </is>
      </c>
      <c r="E2420" t="inlineStr">
        <is>
          <t>ARVIKA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21580-2025</t>
        </is>
      </c>
      <c r="B2421" s="1" t="n">
        <v>45783</v>
      </c>
      <c r="C2421" s="1" t="n">
        <v>45794</v>
      </c>
      <c r="D2421" t="inlineStr">
        <is>
          <t>VÄRMLANDS LÄN</t>
        </is>
      </c>
      <c r="E2421" t="inlineStr">
        <is>
          <t>ARVIKA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45794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45794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45794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22037-2025</t>
        </is>
      </c>
      <c r="B2425" s="1" t="n">
        <v>45785</v>
      </c>
      <c r="C2425" s="1" t="n">
        <v>45794</v>
      </c>
      <c r="D2425" t="inlineStr">
        <is>
          <t>VÄRMLANDS LÄN</t>
        </is>
      </c>
      <c r="E2425" t="inlineStr">
        <is>
          <t>ARVIKA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45794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22162-2025</t>
        </is>
      </c>
      <c r="B2427" s="1" t="n">
        <v>45785</v>
      </c>
      <c r="C2427" s="1" t="n">
        <v>45794</v>
      </c>
      <c r="D2427" t="inlineStr">
        <is>
          <t>VÄRMLANDS LÄN</t>
        </is>
      </c>
      <c r="E2427" t="inlineStr">
        <is>
          <t>ARVIKA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22170-2025</t>
        </is>
      </c>
      <c r="B2428" s="1" t="n">
        <v>45785</v>
      </c>
      <c r="C2428" s="1" t="n">
        <v>45794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22485-2025</t>
        </is>
      </c>
      <c r="B2429" s="1" t="n">
        <v>45786</v>
      </c>
      <c r="C2429" s="1" t="n">
        <v>45794</v>
      </c>
      <c r="D2429" t="inlineStr">
        <is>
          <t>VÄRMLANDS LÄN</t>
        </is>
      </c>
      <c r="E2429" t="inlineStr">
        <is>
          <t>ARVIKA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22521-2025</t>
        </is>
      </c>
      <c r="B2430" s="1" t="n">
        <v>45786</v>
      </c>
      <c r="C2430" s="1" t="n">
        <v>45794</v>
      </c>
      <c r="D2430" t="inlineStr">
        <is>
          <t>VÄRMLANDS LÄN</t>
        </is>
      </c>
      <c r="E2430" t="inlineStr">
        <is>
          <t>ARVIKA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45794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22835-2025</t>
        </is>
      </c>
      <c r="B2432" s="1" t="n">
        <v>45789</v>
      </c>
      <c r="C2432" s="1" t="n">
        <v>45794</v>
      </c>
      <c r="D2432" t="inlineStr">
        <is>
          <t>VÄRMLANDS LÄN</t>
        </is>
      </c>
      <c r="E2432" t="inlineStr">
        <is>
          <t>ARVIKA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22589-2025</t>
        </is>
      </c>
      <c r="B2433" s="1" t="n">
        <v>45789</v>
      </c>
      <c r="C2433" s="1" t="n">
        <v>45794</v>
      </c>
      <c r="D2433" t="inlineStr">
        <is>
          <t>VÄRMLANDS LÄN</t>
        </is>
      </c>
      <c r="E2433" t="inlineStr">
        <is>
          <t>ARVIKA</t>
        </is>
      </c>
      <c r="F2433" t="inlineStr">
        <is>
          <t>Bergvik skog väst AB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22834-2025</t>
        </is>
      </c>
      <c r="B2434" s="1" t="n">
        <v>45789</v>
      </c>
      <c r="C2434" s="1" t="n">
        <v>45794</v>
      </c>
      <c r="D2434" t="inlineStr">
        <is>
          <t>VÄRMLANDS LÄN</t>
        </is>
      </c>
      <c r="E2434" t="inlineStr">
        <is>
          <t>ARVIKA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22836-2025</t>
        </is>
      </c>
      <c r="B2435" s="1" t="n">
        <v>45789</v>
      </c>
      <c r="C2435" s="1" t="n">
        <v>45794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22849-2025</t>
        </is>
      </c>
      <c r="B2436" s="1" t="n">
        <v>45790</v>
      </c>
      <c r="C2436" s="1" t="n">
        <v>45794</v>
      </c>
      <c r="D2436" t="inlineStr">
        <is>
          <t>VÄRMLANDS LÄN</t>
        </is>
      </c>
      <c r="E2436" t="inlineStr">
        <is>
          <t>ARVIKA</t>
        </is>
      </c>
      <c r="F2436" t="inlineStr">
        <is>
          <t>Bergvik skog väst AB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22992-2025</t>
        </is>
      </c>
      <c r="B2437" s="1" t="n">
        <v>45790</v>
      </c>
      <c r="C2437" s="1" t="n">
        <v>45794</v>
      </c>
      <c r="D2437" t="inlineStr">
        <is>
          <t>VÄRMLANDS LÄN</t>
        </is>
      </c>
      <c r="E2437" t="inlineStr">
        <is>
          <t>ARVIKA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23084-2025</t>
        </is>
      </c>
      <c r="B2438" s="1" t="n">
        <v>45791</v>
      </c>
      <c r="C2438" s="1" t="n">
        <v>45794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>
      <c r="A2439" t="inlineStr">
        <is>
          <t>A 23806-2025</t>
        </is>
      </c>
      <c r="B2439" s="1" t="n">
        <v>45793</v>
      </c>
      <c r="C2439" s="1" t="n">
        <v>45794</v>
      </c>
      <c r="D2439" t="inlineStr">
        <is>
          <t>VÄRMLANDS LÄN</t>
        </is>
      </c>
      <c r="E2439" t="inlineStr">
        <is>
          <t>ARVIKA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2025-05-17T17:12:19Z</dcterms:created>
  <dcterms:modified xmlns:dcterms="http://purl.org/dc/terms/" xmlns:xsi="http://www.w3.org/2001/XMLSchema-instance" xsi:type="dcterms:W3CDTF">2025-05-17T17:12:21Z</dcterms:modified>
</cp:coreProperties>
</file>